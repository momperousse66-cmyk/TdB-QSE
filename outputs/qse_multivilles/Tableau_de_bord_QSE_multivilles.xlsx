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70168cb3544bc5" /></Relationships>
</file>

<file path=xl/workbook.xml><?xml version="1.0" encoding="utf-8"?>
<x:workbook xmlns:x="http://schemas.openxmlformats.org/spreadsheetml/2006/main">
  <x:sheets>
    <x:sheet xmlns:r="http://schemas.openxmlformats.org/officeDocument/2006/relationships" name="Tableau de bord" sheetId="1" r:id="R28ffb34c810d48f6"/>
    <x:sheet xmlns:r="http://schemas.openxmlformats.org/officeDocument/2006/relationships" name="Actions" sheetId="2" r:id="R6ce0559f68024ec7"/>
    <x:sheet xmlns:r="http://schemas.openxmlformats.org/officeDocument/2006/relationships" name="Plans de prévention" sheetId="3" r:id="R3ea2b3b0e63f416a"/>
    <x:sheet xmlns:r="http://schemas.openxmlformats.org/officeDocument/2006/relationships" name="Contrôles qualité" sheetId="4" r:id="R2d4a3e94a7c14faa"/>
    <x:sheet xmlns:r="http://schemas.openxmlformats.org/officeDocument/2006/relationships" name="Échéances" sheetId="5" r:id="R41d9d5b74b034b8b"/>
    <x:sheet xmlns:r="http://schemas.openxmlformats.org/officeDocument/2006/relationships" name="Réclamations" sheetId="6" r:id="R3cf122962dea4ad9"/>
    <x:sheet xmlns:r="http://schemas.openxmlformats.org/officeDocument/2006/relationships" name="Suivi mensuel" sheetId="7" r:id="R75f2514a55ee4dd0"/>
    <x:sheet xmlns:r="http://schemas.openxmlformats.org/officeDocument/2006/relationships" name="Paramètres" sheetId="8" r:id="R8d3f5f60595c4b4a"/>
    <x:sheet xmlns:r="http://schemas.openxmlformats.org/officeDocument/2006/relationships" name="Analyse et mode emploi" sheetId="9" r:id="R79aeeb62e8fd428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dd/mm/yyyy"/>
    <x:numFmt numFmtId="202" formatCode="mm/yyyy"/>
  </x:numFmts>
  <x:fonts count="5">
    <x:font>
      <x:sz val="11"/>
      <x:name val="Carlito"/>
    </x:font>
    <x:font>
      <x:sz val="10"/>
      <x:color rgb="FF243746"/>
      <x:name val="Arial"/>
    </x:font>
    <x:font>
      <x:b/>
      <x:sz val="16"/>
      <x:color rgb="FF243B53"/>
      <x:name val="Arial"/>
    </x:font>
    <x:font>
      <x:b/>
      <x:sz val="10"/>
      <x:color rgb="FFFFFFFF"/>
      <x:name val="Arial"/>
    </x:font>
    <x:font>
      <x:b/>
      <x:sz val="10"/>
      <x:color rgb="FF243746"/>
      <x:name val="Arial"/>
    </x:font>
  </x:fonts>
  <x:fills count="5">
    <x:fill>
      <x:patternFill patternType="none"/>
    </x:fill>
    <x:fill>
      <x:patternFill patternType="gray125"/>
    </x:fill>
    <x:fill>
      <x:patternFill patternType="solid">
        <x:fgColor rgb="FF243B53"/>
      </x:patternFill>
    </x:fill>
    <x:fill>
      <x:patternFill patternType="solid">
        <x:fgColor rgb="FFFFF2CC"/>
      </x:patternFill>
    </x:fill>
    <x:fill>
      <x:patternFill patternType="solid">
        <x:fgColor rgb="FFEDF2F7"/>
      </x:patternFill>
    </x:fill>
  </x:fills>
  <x:borders count="2">
    <x:border/>
    <x:border>
      <x:bottom style="thin">
        <x:color rgb="FF243B53"/>
      </x:bottom>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201" fontId="1" fillId="3"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2" fontId="1"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0" fillId="0" borderId="0" xfId="0" applyNumberFormat="1" applyFont="1" applyFill="1" applyBorder="1"/>
    <x:xf numFmtId="0" fontId="1" fillId="0" borderId="0" xfId="0" applyNumberFormat="1" applyFont="1" applyFill="1" applyBorder="1" applyAlignment="1">
      <x:alignment vertical="center" wrapText="1"/>
    </x:xf>
    <x:xf numFmtId="0" fontId="4" fillId="0" borderId="0" xfId="0" applyNumberFormat="1" applyFont="1" applyFill="1" applyBorder="1" applyAlignment="1">
      <x:alignment vertical="center"/>
    </x:xf>
  </x:cellXfs>
  <x:cellStyles count="1">
    <x:cellStyle name="Normal" xfId="0"/>
  </x:cellStyles>
  <x:dxfs count="50">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875900"/>
      </x:font>
      <x:fill>
        <x:patternFill patternType="solid">
          <x:bgColor rgb="FFFCE8C3"/>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875900"/>
      </x:font>
      <x:fill>
        <x:patternFill patternType="solid">
          <x:bgColor rgb="FFFCE8C3"/>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875900"/>
      </x:font>
      <x:fill>
        <x:patternFill patternType="solid">
          <x:bgColor rgb="FFFCE8C3"/>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875900"/>
      </x:font>
      <x:fill>
        <x:patternFill patternType="solid">
          <x:bgColor rgb="FFFCE8C3"/>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875900"/>
      </x:font>
      <x:fill>
        <x:patternFill patternType="solid">
          <x:bgColor rgb="FFFCE8C3"/>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875900"/>
      </x:font>
      <x:fill>
        <x:patternFill patternType="solid">
          <x:bgColor rgb="FFFCE8C3"/>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875900"/>
      </x:font>
      <x:fill>
        <x:patternFill patternType="solid">
          <x:bgColor rgb="FFFCE8C3"/>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9C2525"/>
      </x:font>
      <x:fill>
        <x:patternFill patternType="solid">
          <x:bgColor rgb="FFFCE4E4"/>
        </x:patternFill>
      </x:fill>
    </x:dxf>
    <x:dxf>
      <x:font>
        <x:color rgb="FF875900"/>
      </x:font>
      <x:fill>
        <x:patternFill patternType="solid">
          <x:bgColor rgb="FFFCE8C3"/>
        </x:patternFill>
      </x:fill>
    </x:dxf>
    <x:dxf>
      <x:font>
        <x:color rgb="FF9C2525"/>
      </x:font>
      <x:fill>
        <x:patternFill patternType="solid">
          <x:bgColor rgb="FFFCE4E4"/>
        </x:patternFill>
      </x:fill>
    </x:dxf>
    <x:dxf>
      <x:font>
        <x:color rgb="FF9C2525"/>
      </x:font>
      <x:fill>
        <x:patternFill patternType="solid">
          <x:bgColor rgb="FFFCE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e9797bdc89f437f" /><Relationship Type="http://schemas.openxmlformats.org/officeDocument/2006/relationships/theme" Target="/xl/theme/theme1.xml" Id="R4be6d9aa35104fe4" /><Relationship Type="http://schemas.openxmlformats.org/officeDocument/2006/relationships/sharedStrings" Target="/xl/sharedStrings.xml" Id="Rb9d05941d1e1420b" /><Relationship Type="http://schemas.openxmlformats.org/officeDocument/2006/relationships/worksheet" Target="/xl/worksheets/sheet1.xml" Id="R28ffb34c810d48f6" /><Relationship Type="http://schemas.openxmlformats.org/officeDocument/2006/relationships/worksheet" Target="/xl/worksheets/sheet2.xml" Id="R6ce0559f68024ec7" /><Relationship Type="http://schemas.openxmlformats.org/officeDocument/2006/relationships/worksheet" Target="/xl/worksheets/sheet3.xml" Id="R3ea2b3b0e63f416a" /><Relationship Type="http://schemas.openxmlformats.org/officeDocument/2006/relationships/worksheet" Target="/xl/worksheets/sheet4.xml" Id="R2d4a3e94a7c14faa" /><Relationship Type="http://schemas.openxmlformats.org/officeDocument/2006/relationships/worksheet" Target="/xl/worksheets/sheet5.xml" Id="R41d9d5b74b034b8b" /><Relationship Type="http://schemas.openxmlformats.org/officeDocument/2006/relationships/worksheet" Target="/xl/worksheets/sheet6.xml" Id="R3cf122962dea4ad9" /><Relationship Type="http://schemas.openxmlformats.org/officeDocument/2006/relationships/worksheet" Target="/xl/worksheets/sheet7.xml" Id="R75f2514a55ee4dd0" /><Relationship Type="http://schemas.openxmlformats.org/officeDocument/2006/relationships/worksheet" Target="/xl/worksheets/sheet8.xml" Id="R8d3f5f60595c4b4a" /><Relationship Type="http://schemas.openxmlformats.org/officeDocument/2006/relationships/worksheet" Target="/xl/worksheets/sheet9.xml" Id="R79aeeb62e8fd4280" /></Relationships>
</file>

<file path=xl/drawings/_rels/drawing1.xml.rels>&#65279;<?xml version="1.0" encoding="utf-8"?><Relationships xmlns="http://schemas.openxmlformats.org/package/2006/relationships"><Relationship Type="http://schemas.openxmlformats.org/officeDocument/2006/relationships/chart" Target="/xl/drawings/charts/chart1.xml" Id="Rdc3eb077899948ca" /><Relationship Type="http://schemas.openxmlformats.org/officeDocument/2006/relationships/chart" Target="/xl/drawings/charts/chart2.xml" Id="Re3130b12d52f403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Indice qualité mensuel (%)</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barChart>
        <c:barDir val="col"/>
        <c:varyColors val="0"/>
        <c:ser>
          <c:idx val="0"/>
          <c:order val="0"/>
          <c:tx>
            <c:v>Indice qualité</c:v>
          </c:tx>
          <c:cat>
            <c:strRef>
              <c:f>'Tableau de bord'!$A$45:$A$56</c:f>
              <c:strCache>
                <c:ptCount val="0"/>
              </c:strCache>
            </c:strRef>
          </c:cat>
          <c:val>
            <c:numRef>
              <c:f>'Tableau de bord'!$B$45:$B$56</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Avancement des actions</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barChart>
        <c:barDir val="col"/>
        <c:varyColors val="0"/>
        <c:ser>
          <c:idx val="0"/>
          <c:order val="0"/>
          <c:tx>
            <c:v>Nombre</c:v>
          </c:tx>
          <c:cat>
            <c:strRef>
              <c:f>'Tableau de bord'!$F$27:$F$30</c:f>
              <c:strCache>
                <c:ptCount val="0"/>
              </c:strCache>
            </c:strRef>
          </c:cat>
          <c:val>
            <c:numRef>
              <c:f>'Tableau de bord'!$G$27:$G$30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8</xdr:row>
      <xdr:rowOff>0</xdr:rowOff>
    </xdr:from>
    <xdr:to>
      <xdr:col>13</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c3eb077899948ca"/>
        </a:graphicData>
      </a:graphic>
    </xdr:graphicFrame>
    <xdr:clientData/>
  </xdr:twoCellAnchor>
  <xdr:twoCellAnchor>
    <xdr:from>
      <xdr:col>8</xdr:col>
      <xdr:colOff>0</xdr:colOff>
      <xdr:row>24</xdr:row>
      <xdr:rowOff>0</xdr:rowOff>
    </xdr:from>
    <xdr:to>
      <xdr:col>16</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3130b12d52f4039"/>
        </a:graphicData>
      </a:graphic>
    </xdr:graphicFrame>
    <xdr:clientData/>
  </xdr:twoCellAnchor>
</xdr:wsDr>
</file>

<file path=xl/tables/table1.xml><?xml version="1.0" encoding="utf-8"?>
<x:table xmlns:x="http://schemas.openxmlformats.org/spreadsheetml/2006/main" id="2" name="ActionsQSE" displayName="ActionsQSE" ref="A5:P505" headerRowCount="1" totalsRowCount="0" totalsRowShown="0">
  <x:autoFilter ref="A5:P505"/>
  <x:tableColumns count="16">
    <x:tableColumn id="1" name="Ville"/>
    <x:tableColumn id="2" name="ID action"/>
    <x:tableColumn id="3" name="Famille"/>
    <x:tableColumn id="4" name="Origine / site"/>
    <x:tableColumn id="5" name="Ouverture"/>
    <x:tableColumn id="6" name="Problème"/>
    <x:tableColumn id="7" name="Action à réaliser"/>
    <x:tableColumn id="8" name="Responsable"/>
    <x:tableColumn id="9" name="Échéance"/>
    <x:tableColumn id="10" name="Réalisation"/>
    <x:tableColumn id="11" name="Évaluation"/>
    <x:tableColumn id="12" name="Preuves / observations"/>
    <x:tableColumn id="13" name="Avancement calculé"/>
    <x:tableColumn id="14" name="Retard (jours)"/>
    <x:tableColumn id="15" name="Source"/>
    <x:tableColumn id="16" name="Contrôle saisie"/>
  </x:tableColumns>
  <x:tableStyleInfo name="TableStyleMedium2" showFirstColumn="0" showLastColumn="0" showRowStripes="1" showColumnStripes="0"/>
</x:table>
</file>

<file path=xl/tables/table2.xml><?xml version="1.0" encoding="utf-8"?>
<x:table xmlns:x="http://schemas.openxmlformats.org/spreadsheetml/2006/main" id="3" name="PlansPrevention" displayName="PlansPrevention" ref="A5:R505" headerRowCount="1" totalsRowCount="0" totalsRowShown="0">
  <x:autoFilter ref="A5:R505"/>
  <x:tableColumns count="18">
    <x:tableColumn id="1" name="Ville"/>
    <x:tableColumn id="2" name="ID suivi"/>
    <x:tableColumn id="3" name="OTP"/>
    <x:tableColumn id="4" name="Client / site"/>
    <x:tableColumn id="5" name="Responsable"/>
    <x:tableColumn id="6" name="Échéance source"/>
    <x:tableColumn id="7" name="Analyse faite"/>
    <x:tableColumn id="8" name="Analyse envoyée"/>
    <x:tableColumn id="9" name="Signé ISOR"/>
    <x:tableColumn id="10" name="Signé client"/>
    <x:tableColumn id="11" name="Commenté agents"/>
    <x:tableColumn id="12" name="DTA"/>
    <x:tableColumn id="13" name="Commentaires"/>
    <x:tableColumn id="14" name="Jours restants"/>
    <x:tableColumn id="15" name="État échéance"/>
    <x:tableColumn id="16" name="PdP complet"/>
    <x:tableColumn id="17" name="Source"/>
    <x:tableColumn id="18" name="Contrôle OTP"/>
  </x:tableColumns>
  <x:tableStyleInfo name="TableStyleMedium2" showFirstColumn="0" showLastColumn="0" showRowStripes="1" showColumnStripes="0"/>
</x:table>
</file>

<file path=xl/tables/table3.xml><?xml version="1.0" encoding="utf-8"?>
<x:table xmlns:x="http://schemas.openxmlformats.org/spreadsheetml/2006/main" id="4" name="Controles" displayName="Controles" ref="A5:I505" headerRowCount="1" totalsRowCount="0" totalsRowShown="0">
  <x:autoFilter ref="A5:I505"/>
  <x:tableColumns count="9">
    <x:tableColumn id="1" name="Ville"/>
    <x:tableColumn id="2" name="ID contrôle"/>
    <x:tableColumn id="3" name="Site"/>
    <x:tableColumn id="4" name="Type"/>
    <x:tableColumn id="5" name="Contrôleur"/>
    <x:tableColumn id="6" name="Date réalisée"/>
    <x:tableColumn id="7" name="Note (%)"/>
    <x:tableColumn id="8" name="Source"/>
    <x:tableColumn id="9" name="Contrôle saisie"/>
  </x:tableColumns>
  <x:tableStyleInfo name="TableStyleMedium2" showFirstColumn="0" showLastColumn="0" showRowStripes="1" showColumnStripes="0"/>
</x:table>
</file>

<file path=xl/tables/table4.xml><?xml version="1.0" encoding="utf-8"?>
<x:table xmlns:x="http://schemas.openxmlformats.org/spreadsheetml/2006/main" id="5" name="Echeances" displayName="Echeances" ref="A5:M505" headerRowCount="1" totalsRowCount="0" totalsRowShown="0">
  <x:autoFilter ref="A5:M505"/>
  <x:tableColumns count="13">
    <x:tableColumn id="1" name="Ville"/>
    <x:tableColumn id="2" name="ID suivi"/>
    <x:tableColumn id="3" name="Famille"/>
    <x:tableColumn id="4" name="Site"/>
    <x:tableColumn id="5" name="Personne / vérificateur"/>
    <x:tableColumn id="6" name="Objet"/>
    <x:tableColumn id="7" name="Dernière réalisation"/>
    <x:tableColumn id="8" name="Prochaine échéance"/>
    <x:tableColumn id="9" name="Qualification source"/>
    <x:tableColumn id="10" name="Commentaires"/>
    <x:tableColumn id="11" name="Jours restants"/>
    <x:tableColumn id="12" name="État échéance"/>
    <x:tableColumn id="13" name="Source"/>
  </x:tableColumns>
  <x:tableStyleInfo name="TableStyleMedium2" showFirstColumn="0" showLastColumn="0" showRowStripes="1" showColumnStripes="0"/>
</x:table>
</file>

<file path=xl/tables/table5.xml><?xml version="1.0" encoding="utf-8"?>
<x:table xmlns:x="http://schemas.openxmlformats.org/spreadsheetml/2006/main" id="6" name="Reclamations" displayName="Reclamations" ref="A5:O505" headerRowCount="1" totalsRowCount="0" totalsRowShown="0">
  <x:autoFilter ref="A5:O505"/>
  <x:tableColumns count="15">
    <x:tableColumn id="1" name="Ville"/>
    <x:tableColumn id="2" name="ID dossier"/>
    <x:tableColumn id="3" name="Client"/>
    <x:tableColumn id="4" name="Catégorie"/>
    <x:tableColumn id="5" name="Canal"/>
    <x:tableColumn id="6" name="Émission"/>
    <x:tableColumn id="7" name="Réception"/>
    <x:tableColumn id="8" name="Réponse"/>
    <x:tableColumn id="9" name="Responsable"/>
    <x:tableColumn id="10" name="Motif / détail"/>
    <x:tableColumn id="11" name="Action menée"/>
    <x:tableColumn id="12" name="État action source"/>
    <x:tableColumn id="13" name="Délai (jours)"/>
    <x:tableColumn id="14" name="État réponse"/>
    <x:tableColumn id="15" name="Source"/>
  </x:tableColumns>
  <x:tableStyleInfo name="TableStyleMedium2" showFirstColumn="0" showLastColumn="0" showRowStripes="1" showColumnStripes="0"/>
</x:table>
</file>

<file path=xl/tables/table6.xml><?xml version="1.0" encoding="utf-8"?>
<x:table xmlns:x="http://schemas.openxmlformats.org/spreadsheetml/2006/main" id="1" name="Mensuel" displayName="Mensuel" ref="A5:R505" headerRowCount="1" totalsRowCount="0" totalsRowShown="0">
  <x:autoFilter ref="A5:R505"/>
  <x:tableColumns count="18">
    <x:tableColumn id="1" name="Ville"/>
    <x:tableColumn id="2" name="Mois"/>
    <x:tableColumn id="3" name="Produits écolabellisés (%)"/>
    <x:tableColumn id="4" name="Papier (feuilles)"/>
    <x:tableColumn id="5" name="Électricité (kWh)"/>
    <x:tableColumn id="6" name="CO2 (kg)"/>
    <x:tableColumn id="7" name="Distance (km)"/>
    <x:tableColumn id="8" name="AT avec arrêt"/>
    <x:tableColumn id="9" name="AT analysés"/>
    <x:tableColumn id="10" name="Audits prévus"/>
    <x:tableColumn id="11" name="Audits réalisés"/>
    <x:tableColumn id="12" name="Satisfaction (%)"/>
    <x:tableColumn id="13" name="Avis suivis (stock)"/>
    <x:tableColumn id="14" name="Avis clôturés (stock)"/>
    <x:tableColumn id="15" name="Urgences à traiter (stock)"/>
    <x:tableColumn id="16" name="Urgences traitées (stock)"/>
    <x:tableColumn id="17" name="Commentaires / source"/>
    <x:tableColumn id="18" name="Contrôle saisi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8fee67d40da4964" /></Relationships>
</file>

<file path=xl/worksheets/_rels/sheet2.xml.rels>&#65279;<?xml version="1.0" encoding="utf-8"?><Relationships xmlns="http://schemas.openxmlformats.org/package/2006/relationships"><Relationship Type="http://schemas.openxmlformats.org/officeDocument/2006/relationships/table" Target="/xl/tables/table1.xml" Id="R3d8bbd6241174be3" /></Relationships>
</file>

<file path=xl/worksheets/_rels/sheet3.xml.rels>&#65279;<?xml version="1.0" encoding="utf-8"?><Relationships xmlns="http://schemas.openxmlformats.org/package/2006/relationships"><Relationship Type="http://schemas.openxmlformats.org/officeDocument/2006/relationships/table" Target="/xl/tables/table2.xml" Id="R819aeab4161a40fe" /></Relationships>
</file>

<file path=xl/worksheets/_rels/sheet4.xml.rels>&#65279;<?xml version="1.0" encoding="utf-8"?><Relationships xmlns="http://schemas.openxmlformats.org/package/2006/relationships"><Relationship Type="http://schemas.openxmlformats.org/officeDocument/2006/relationships/table" Target="/xl/tables/table3.xml" Id="Rc2583e552e024fa7" /></Relationships>
</file>

<file path=xl/worksheets/_rels/sheet5.xml.rels>&#65279;<?xml version="1.0" encoding="utf-8"?><Relationships xmlns="http://schemas.openxmlformats.org/package/2006/relationships"><Relationship Type="http://schemas.openxmlformats.org/officeDocument/2006/relationships/table" Target="/xl/tables/table4.xml" Id="R66c70e40ba874c0a" /></Relationships>
</file>

<file path=xl/worksheets/_rels/sheet6.xml.rels>&#65279;<?xml version="1.0" encoding="utf-8"?><Relationships xmlns="http://schemas.openxmlformats.org/package/2006/relationships"><Relationship Type="http://schemas.openxmlformats.org/officeDocument/2006/relationships/table" Target="/xl/tables/table5.xml" Id="Rfcbb5627f6fe4b19" /></Relationships>
</file>

<file path=xl/worksheets/_rels/sheet7.xml.rels>&#65279;<?xml version="1.0" encoding="utf-8"?><Relationships xmlns="http://schemas.openxmlformats.org/package/2006/relationships"><Relationship Type="http://schemas.openxmlformats.org/officeDocument/2006/relationships/table" Target="/xl/tables/table6.xml" Id="Ra2899d02c55948d7" /></Relationships>
</file>

<file path=xl/worksheets/sheet1.xml><?xml version="1.0" encoding="utf-8"?>
<x:worksheet xmlns:x="http://schemas.openxmlformats.org/spreadsheetml/2006/main">
  <x:sheetPr>
    <x:tabColor rgb="FF243B53"/>
  </x:sheetPr>
  <x:sheetViews>
    <x:sheetView showGridLines="0" workbookViewId="0"/>
  </x:sheetViews>
  <x:sheetFormatPr defaultRowHeight="15"/>
  <x:cols>
    <x:col min="1" max="1" width="42" hidden="0" customWidth="1"/>
    <x:col min="2" max="2" width="19" hidden="0" customWidth="1"/>
    <x:col min="3" max="3" width="17" hidden="0" customWidth="1"/>
    <x:col min="4" max="4" width="24" hidden="0" customWidth="1"/>
    <x:col min="5" max="5" width="3" hidden="0" customWidth="1"/>
    <x:col min="6" max="6" width="27"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1" ht="23" customHeight="1">
      <x:c r="A1" s="2"/>
      <x:c r="B1" s="2"/>
      <x:c r="C1" s="2"/>
      <x:c r="D1" s="2"/>
      <x:c r="E1" s="2"/>
      <x:c r="F1" s="2"/>
      <x:c r="G1" s="2"/>
      <x:c r="H1" s="2"/>
      <x:c r="I1" s="2"/>
      <x:c r="J1" s="2"/>
      <x:c r="K1" s="2"/>
      <x:c r="L1" s="2"/>
    </x:row>
    <x:row r="2" ht="23" customHeight="1">
      <x:c r="A2" s="3" t="str">
        <x:v>Tableau de bord QSE</x:v>
      </x:c>
      <x:c r="B2" s="2"/>
      <x:c r="C2" s="2"/>
      <x:c r="D2" s="2"/>
      <x:c r="E2" s="2"/>
      <x:c r="F2" s="2"/>
      <x:c r="G2" s="2"/>
      <x:c r="H2" s="2"/>
      <x:c r="I2" s="2"/>
      <x:c r="J2" s="2"/>
      <x:c r="K2" s="2"/>
      <x:c r="L2" s="2"/>
    </x:row>
    <x:row r="3" ht="23" customHeight="1">
      <x:c r="A3" s="4"/>
      <x:c r="B3" s="4"/>
      <x:c r="C3" s="4"/>
      <x:c r="D3" s="4"/>
      <x:c r="E3" s="4"/>
      <x:c r="F3" s="4"/>
      <x:c r="G3" s="4"/>
      <x:c r="H3" s="4"/>
      <x:c r="I3" s="4"/>
      <x:c r="J3" s="4"/>
      <x:c r="K3" s="4"/>
      <x:c r="L3" s="4"/>
    </x:row>
    <x:row r="4" ht="23" customHeight="1">
      <x:c r="A4" s="2"/>
      <x:c r="B4" s="2"/>
      <x:c r="C4" s="2"/>
      <x:c r="D4" s="2"/>
      <x:c r="E4" s="2"/>
      <x:c r="F4" s="2"/>
      <x:c r="G4" s="2"/>
      <x:c r="H4" s="2"/>
      <x:c r="I4" s="2"/>
      <x:c r="J4" s="2"/>
      <x:c r="K4" s="2"/>
      <x:c r="L4" s="2"/>
    </x:row>
    <x:row r="5" ht="23" customHeight="1">
      <x:c r="A5" s="2" t="str">
        <x:v>Ville</x:v>
      </x:c>
      <x:c r="B5" s="9" t="str">
        <x:v>Lille</x:v>
      </x:c>
      <x:c r="C5" s="2"/>
      <x:c r="D5" s="2" t="str">
        <x:v>Situation au</x:v>
      </x:c>
      <x:c r="E5" s="2"/>
      <x:c r="F5" s="11" t="n">
        <x:v>46279</x:v>
      </x:c>
      <x:c r="G5" s="2"/>
      <x:c r="H5" s="2"/>
      <x:c r="I5" s="2"/>
      <x:c r="J5" s="2"/>
      <x:c r="K5" s="2"/>
      <x:c r="L5" s="2"/>
    </x:row>
    <x:row r="6" ht="23" customHeight="1">
      <x:c r="A6" s="2" t="str">
        <x:v>Mois des indicateurs</x:v>
      </x:c>
      <x:c r="B6" s="16" t="n">
        <x:v>46204</x:v>
      </x:c>
      <x:c r="C6" s="2"/>
      <x:c r="D6" s="2" t="str">
        <x:v>Année des tendances</x:v>
      </x:c>
      <x:c r="E6" s="2"/>
      <x:c r="F6" s="2" t="n">
        <x:f>YEAR(B6)</x:f>
        <x:v>2026</x:v>
      </x:c>
      <x:c r="G6" s="2"/>
      <x:c r="H6" s="2"/>
      <x:c r="I6" s="2"/>
      <x:c r="J6" s="2"/>
      <x:c r="K6" s="2"/>
      <x:c r="L6" s="2"/>
    </x:row>
    <x:row r="7" ht="23" customHeight="1">
      <x:c r="A7" s="2"/>
      <x:c r="B7" s="2"/>
      <x:c r="C7" s="2"/>
      <x:c r="D7" s="2"/>
      <x:c r="E7" s="2"/>
      <x:c r="F7" s="2"/>
      <x:c r="G7" s="2"/>
      <x:c r="H7" s="2"/>
      <x:c r="I7" s="2"/>
      <x:c r="J7" s="2"/>
      <x:c r="K7" s="2"/>
      <x:c r="L7" s="2"/>
    </x:row>
    <x:row r="8" ht="23" customHeight="1">
      <x:c r="A8" s="2"/>
      <x:c r="B8" s="2"/>
      <x:c r="C8" s="2"/>
      <x:c r="D8" s="2"/>
      <x:c r="E8" s="2"/>
      <x:c r="F8" s="2"/>
      <x:c r="G8" s="2"/>
      <x:c r="H8" s="2"/>
      <x:c r="I8" s="2"/>
      <x:c r="J8" s="2"/>
      <x:c r="K8" s="2"/>
      <x:c r="L8" s="2"/>
    </x:row>
    <x:row r="9" ht="38" customHeight="1">
      <x:c r="A9" s="8" t="str">
        <x:v>Activité du mois</x:v>
      </x:c>
      <x:c r="B9" s="8" t="str">
        <x:v>Résultat</x:v>
      </x:c>
      <x:c r="C9" s="8" t="str">
        <x:v>Objectif</x:v>
      </x:c>
      <x:c r="D9" s="8" t="str">
        <x:v>Lecture</x:v>
      </x:c>
      <x:c r="E9" s="2"/>
      <x:c r="F9" s="2"/>
      <x:c r="G9" s="2"/>
      <x:c r="H9" s="2"/>
      <x:c r="I9" s="2"/>
      <x:c r="J9" s="2"/>
      <x:c r="K9" s="2"/>
      <x:c r="L9" s="2"/>
    </x:row>
    <x:row r="10" ht="23" customHeight="1">
      <x:c r="A10" s="2" t="str">
        <x:v>Contrôles qualité enregistrés</x:v>
      </x:c>
      <x:c r="B10" s="2" t="n">
        <x:f>IF(COUNTIFS('Contrôles qualité'!$A$6:$A$505,$B$5,'Contrôles qualité'!$F$6:$F$505,"&gt;="&amp;$B$6,'Contrôles qualité'!$F$6:$F$505,"&lt;"&amp;EDATE($B$6,1))=0,"n.d.",COUNTIFS('Contrôles qualité'!$A$6:$A$505,$B$5,'Contrôles qualité'!$F$6:$F$505,"&gt;="&amp;$B$6,'Contrôles qualité'!$F$6:$F$505,"&lt;"&amp;EDATE($B$6,1)))</x:f>
        <x:v>49</x:v>
      </x:c>
      <x:c r="C10" s="2"/>
      <x:c r="D10" s="2"/>
      <x:c r="E10" s="2"/>
      <x:c r="F10" s="2"/>
      <x:c r="G10" s="2"/>
      <x:c r="H10" s="2"/>
      <x:c r="I10" s="2"/>
      <x:c r="J10" s="2"/>
      <x:c r="K10" s="2"/>
      <x:c r="L10" s="2"/>
    </x:row>
    <x:row r="11" ht="23" customHeight="1">
      <x:c r="A11" s="2" t="str">
        <x:v>Indice qualité (moyenne des notes)</x:v>
      </x:c>
      <x:c r="B11" s="17" t="n">
        <x:f>IF(COUNTIFS('Contrôles qualité'!$A$6:$A$505,$B$5,'Contrôles qualité'!$F$6:$F$505,"&gt;="&amp;$B$6,'Contrôles qualité'!$F$6:$F$505,"&lt;"&amp;EDATE($B$6,1),'Contrôles qualité'!$G$6:$G$505,"&gt;=0")=0,"n.d.",SUMIFS('Contrôles qualité'!$G$6:$G$505,'Contrôles qualité'!$A$6:$A$505,$B$5,'Contrôles qualité'!$F$6:$F$505,"&gt;="&amp;$B$6,'Contrôles qualité'!$F$6:$F$505,"&lt;"&amp;EDATE($B$6,1))/COUNTIFS('Contrôles qualité'!$A$6:$A$505,$B$5,'Contrôles qualité'!$F$6:$F$505,"&gt;="&amp;$B$6,'Contrôles qualité'!$F$6:$F$505,"&lt;"&amp;EDATE($B$6,1),'Contrôles qualité'!$G$6:$G$505,"&gt;=0",'Contrôles qualité'!$G$6:$G$505,"&lt;&gt;"))</x:f>
        <x:v>0.9526061224489799</x:v>
      </x:c>
      <x:c r="C11" s="17" t="str">
        <x:f>IF('Paramètres'!E7="","",'Paramètres'!E7)</x:f>
      </x:c>
      <x:c r="D11" s="2" t="str">
        <x:f>IF(NOT(ISNUMBER(B11)),"Données absentes",IF(C11="","Cible à définir",IF(B11&gt;=C11,"Objectif atteint","Sous objectif")))</x:f>
        <x:v>Cible à définir</x:v>
      </x:c>
      <x:c r="E11" s="2"/>
      <x:c r="F11" s="2"/>
      <x:c r="G11" s="2"/>
      <x:c r="H11" s="2"/>
      <x:c r="I11" s="2"/>
      <x:c r="J11" s="2"/>
      <x:c r="K11" s="2"/>
      <x:c r="L11" s="2"/>
    </x:row>
    <x:row r="12" ht="23" customHeight="1">
      <x:c r="A12" s="2" t="str">
        <x:v>Réclamations reçues (catégorie seule)</x:v>
      </x:c>
      <x:c r="B12" s="2" t="str">
        <x:f>IF(COUNTIFS('Réclamations'!$A$6:$A$505,$B$5,'Réclamations'!$G$6:$G$505,"&gt;="&amp;$B$6,'Réclamations'!$G$6:$G$505,"&lt;"&amp;EDATE($B$6,1),'Réclamations'!$D$6:$D$505,"Réclamation")=0,"n.d.",COUNTIFS('Réclamations'!$A$6:$A$505,$B$5,'Réclamations'!$G$6:$G$505,"&gt;="&amp;$B$6,'Réclamations'!$G$6:$G$505,"&lt;"&amp;EDATE($B$6,1),'Réclamations'!$D$6:$D$505,"Réclamation"))</x:f>
        <x:v>n.d.</x:v>
      </x:c>
      <x:c r="C12" s="2"/>
      <x:c r="D12" s="2"/>
      <x:c r="E12" s="2"/>
      <x:c r="F12" s="2"/>
      <x:c r="G12" s="2"/>
      <x:c r="H12" s="2"/>
      <x:c r="I12" s="2"/>
      <x:c r="J12" s="2"/>
      <x:c r="K12" s="2"/>
      <x:c r="L12" s="2"/>
    </x:row>
    <x:row r="13" ht="23" customHeight="1">
      <x:c r="A13" s="2" t="str">
        <x:v>Produits écolabellisés</x:v>
      </x:c>
      <x:c r="B13" s="17" t="str">
        <x:f>IF(COUNTIFS('Suivi mensuel'!$A$6:$A$505,$B$5,'Suivi mensuel'!$B$6:$B$505,$B$6)&gt;1,"Doublon",IF(COUNTIFS('Suivi mensuel'!$A$6:$A$505,$B$5,'Suivi mensuel'!$B$6:$B$505,$B$6,'Suivi mensuel'!$C$6:$C$505,"&gt;=0",'Suivi mensuel'!$C$6:$C$505,"&lt;&gt;")=0,"n.d.",SUMIFS('Suivi mensuel'!$C$6:$C$505,'Suivi mensuel'!$A$6:$A$505,$B$5,'Suivi mensuel'!$B$6:$B$505,$B$6)))</x:f>
        <x:v>n.d.</x:v>
      </x:c>
      <x:c r="C13" s="2"/>
      <x:c r="D13" s="2"/>
      <x:c r="E13" s="2"/>
      <x:c r="F13" s="2"/>
      <x:c r="G13" s="2"/>
      <x:c r="H13" s="2"/>
      <x:c r="I13" s="2"/>
      <x:c r="J13" s="2"/>
      <x:c r="K13" s="2"/>
      <x:c r="L13" s="2"/>
    </x:row>
    <x:row r="14" ht="23" customHeight="1">
      <x:c r="A14" s="2" t="str">
        <x:v>Papier consommé (feuilles)</x:v>
      </x:c>
      <x:c r="B14" s="2" t="str">
        <x:f>IF(COUNTIFS('Suivi mensuel'!$A$6:$A$505,$B$5,'Suivi mensuel'!$B$6:$B$505,$B$6)&gt;1,"Doublon",IF(COUNTIFS('Suivi mensuel'!$A$6:$A$505,$B$5,'Suivi mensuel'!$B$6:$B$505,$B$6,'Suivi mensuel'!$D$6:$D$505,"&gt;=0",'Suivi mensuel'!$D$6:$D$505,"&lt;&gt;")=0,"n.d.",SUMIFS('Suivi mensuel'!$D$6:$D$505,'Suivi mensuel'!$A$6:$A$505,$B$5,'Suivi mensuel'!$B$6:$B$505,$B$6)))</x:f>
        <x:v>n.d.</x:v>
      </x:c>
      <x:c r="C14" s="2"/>
      <x:c r="D14" s="2"/>
      <x:c r="E14" s="2"/>
      <x:c r="F14" s="2"/>
      <x:c r="G14" s="2"/>
      <x:c r="H14" s="2"/>
      <x:c r="I14" s="2"/>
      <x:c r="J14" s="2"/>
      <x:c r="K14" s="2"/>
      <x:c r="L14" s="2"/>
    </x:row>
    <x:row r="15" ht="23" customHeight="1">
      <x:c r="A15" s="2" t="str">
        <x:v>Électricité (kWh)</x:v>
      </x:c>
      <x:c r="B15" s="2" t="str">
        <x:f>IF(COUNTIFS('Suivi mensuel'!$A$6:$A$505,$B$5,'Suivi mensuel'!$B$6:$B$505,$B$6)&gt;1,"Doublon",IF(COUNTIFS('Suivi mensuel'!$A$6:$A$505,$B$5,'Suivi mensuel'!$B$6:$B$505,$B$6,'Suivi mensuel'!$E$6:$E$505,"&gt;=0",'Suivi mensuel'!$E$6:$E$505,"&lt;&gt;")=0,"n.d.",SUMIFS('Suivi mensuel'!$E$6:$E$505,'Suivi mensuel'!$A$6:$A$505,$B$5,'Suivi mensuel'!$B$6:$B$505,$B$6)))</x:f>
        <x:v>n.d.</x:v>
      </x:c>
      <x:c r="C15" s="2"/>
      <x:c r="D15" s="2"/>
      <x:c r="E15" s="2"/>
      <x:c r="F15" s="2"/>
      <x:c r="G15" s="2"/>
      <x:c r="H15" s="2"/>
      <x:c r="I15" s="2"/>
      <x:c r="J15" s="2"/>
      <x:c r="K15" s="2"/>
      <x:c r="L15" s="2"/>
    </x:row>
    <x:row r="16" ht="23" customHeight="1">
      <x:c r="A16" s="2" t="str">
        <x:v>Émissions du parc auto (kg CO2)</x:v>
      </x:c>
      <x:c r="B16" s="2" t="str">
        <x:f>IF(COUNTIFS('Suivi mensuel'!$A$6:$A$505,$B$5,'Suivi mensuel'!$B$6:$B$505,$B$6)&gt;1,"Doublon",IF(COUNTIFS('Suivi mensuel'!$A$6:$A$505,$B$5,'Suivi mensuel'!$B$6:$B$505,$B$6,'Suivi mensuel'!$F$6:$F$505,"&gt;=0",'Suivi mensuel'!$F$6:$F$505,"&lt;&gt;")=0,"n.d.",SUMIFS('Suivi mensuel'!$F$6:$F$505,'Suivi mensuel'!$A$6:$A$505,$B$5,'Suivi mensuel'!$B$6:$B$505,$B$6)))</x:f>
        <x:v>n.d.</x:v>
      </x:c>
      <x:c r="C16" s="2"/>
      <x:c r="D16" s="2"/>
      <x:c r="E16" s="2"/>
      <x:c r="F16" s="2"/>
      <x:c r="G16" s="2"/>
      <x:c r="H16" s="2"/>
      <x:c r="I16" s="2"/>
      <x:c r="J16" s="2"/>
      <x:c r="K16" s="2"/>
      <x:c r="L16" s="2"/>
    </x:row>
    <x:row r="17" ht="23" customHeight="1">
      <x:c r="A17" s="2" t="str">
        <x:v>Distance parcourue (km)</x:v>
      </x:c>
      <x:c r="B17" s="2" t="str">
        <x:f>IF(COUNTIFS('Suivi mensuel'!$A$6:$A$505,$B$5,'Suivi mensuel'!$B$6:$B$505,$B$6)&gt;1,"Doublon",IF(COUNTIFS('Suivi mensuel'!$A$6:$A$505,$B$5,'Suivi mensuel'!$B$6:$B$505,$B$6,'Suivi mensuel'!$G$6:$G$505,"&gt;=0",'Suivi mensuel'!$G$6:$G$505,"&lt;&gt;")=0,"n.d.",SUMIFS('Suivi mensuel'!$G$6:$G$505,'Suivi mensuel'!$A$6:$A$505,$B$5,'Suivi mensuel'!$B$6:$B$505,$B$6)))</x:f>
        <x:v>n.d.</x:v>
      </x:c>
      <x:c r="C17" s="2"/>
      <x:c r="D17" s="2"/>
      <x:c r="E17" s="2"/>
      <x:c r="F17" s="2"/>
      <x:c r="G17" s="2"/>
      <x:c r="H17" s="2"/>
      <x:c r="I17" s="2"/>
      <x:c r="J17" s="2"/>
      <x:c r="K17" s="2"/>
      <x:c r="L17" s="2"/>
    </x:row>
    <x:row r="18" ht="23" customHeight="1">
      <x:c r="A18" s="2" t="str">
        <x:v>AT avec arrêt</x:v>
      </x:c>
      <x:c r="B18" s="2" t="str">
        <x:f>IF(COUNTIFS('Suivi mensuel'!$A$6:$A$505,$B$5,'Suivi mensuel'!$B$6:$B$505,$B$6)&gt;1,"Doublon",IF(COUNTIFS('Suivi mensuel'!$A$6:$A$505,$B$5,'Suivi mensuel'!$B$6:$B$505,$B$6,'Suivi mensuel'!$H$6:$H$505,"&gt;=0",'Suivi mensuel'!$H$6:$H$505,"&lt;&gt;")=0,"n.d.",SUMIFS('Suivi mensuel'!$H$6:$H$505,'Suivi mensuel'!$A$6:$A$505,$B$5,'Suivi mensuel'!$B$6:$B$505,$B$6)))</x:f>
        <x:v>n.d.</x:v>
      </x:c>
      <x:c r="C18" s="2"/>
      <x:c r="D18" s="2"/>
      <x:c r="E18" s="2"/>
      <x:c r="F18" s="2"/>
      <x:c r="G18" s="2"/>
      <x:c r="H18" s="2"/>
      <x:c r="I18" s="2"/>
      <x:c r="J18" s="2"/>
      <x:c r="K18" s="2"/>
      <x:c r="L18" s="2"/>
    </x:row>
    <x:row r="19" ht="23" customHeight="1">
      <x:c r="A19" s="2" t="str">
        <x:v>AT analysés</x:v>
      </x:c>
      <x:c r="B19" s="2" t="str">
        <x:f>IF(COUNTIFS('Suivi mensuel'!$A$6:$A$505,$B$5,'Suivi mensuel'!$B$6:$B$505,$B$6)&gt;1,"Doublon",IF(COUNTIFS('Suivi mensuel'!$A$6:$A$505,$B$5,'Suivi mensuel'!$B$6:$B$505,$B$6,'Suivi mensuel'!$I$6:$I$505,"&gt;=0",'Suivi mensuel'!$I$6:$I$505,"&lt;&gt;")=0,"n.d.",SUMIFS('Suivi mensuel'!$I$6:$I$505,'Suivi mensuel'!$A$6:$A$505,$B$5,'Suivi mensuel'!$B$6:$B$505,$B$6)))</x:f>
        <x:v>n.d.</x:v>
      </x:c>
      <x:c r="C19" s="2"/>
      <x:c r="D19" s="2"/>
      <x:c r="E19" s="2"/>
      <x:c r="F19" s="2"/>
      <x:c r="G19" s="2"/>
      <x:c r="H19" s="2"/>
      <x:c r="I19" s="2"/>
      <x:c r="J19" s="2"/>
      <x:c r="K19" s="2"/>
      <x:c r="L19" s="2"/>
    </x:row>
    <x:row r="20" ht="23" customHeight="1">
      <x:c r="A20" s="2" t="str">
        <x:v>Audits réalisés</x:v>
      </x:c>
      <x:c r="B20" s="2" t="str">
        <x:f>IF(COUNTIFS('Suivi mensuel'!$A$6:$A$505,$B$5,'Suivi mensuel'!$B$6:$B$505,$B$6)&gt;1,"Doublon",IF(COUNTIFS('Suivi mensuel'!$A$6:$A$505,$B$5,'Suivi mensuel'!$B$6:$B$505,$B$6,'Suivi mensuel'!$K$6:$K$505,"&gt;=0",'Suivi mensuel'!$K$6:$K$505,"&lt;&gt;")=0,"n.d.",SUMIFS('Suivi mensuel'!$K$6:$K$505,'Suivi mensuel'!$A$6:$A$505,$B$5,'Suivi mensuel'!$B$6:$B$505,$B$6)))</x:f>
        <x:v>n.d.</x:v>
      </x:c>
      <x:c r="C20" s="2"/>
      <x:c r="D20" s="2"/>
      <x:c r="E20" s="2"/>
      <x:c r="F20" s="2"/>
      <x:c r="G20" s="2"/>
      <x:c r="H20" s="2"/>
      <x:c r="I20" s="2"/>
      <x:c r="J20" s="2"/>
      <x:c r="K20" s="2"/>
      <x:c r="L20" s="2"/>
    </x:row>
    <x:row r="21" ht="23" customHeight="1">
      <x:c r="A21" s="2" t="str">
        <x:v>Satisfaction client</x:v>
      </x:c>
      <x:c r="B21" s="17" t="str">
        <x:f>IF(COUNTIFS('Suivi mensuel'!$A$6:$A$505,$B$5,'Suivi mensuel'!$B$6:$B$505,$B$6)&gt;1,"Doublon",IF(COUNTIFS('Suivi mensuel'!$A$6:$A$505,$B$5,'Suivi mensuel'!$B$6:$B$505,$B$6,'Suivi mensuel'!$L$6:$L$505,"&gt;=0",'Suivi mensuel'!$L$6:$L$505,"&lt;&gt;")=0,"n.d.",SUMIFS('Suivi mensuel'!$L$6:$L$505,'Suivi mensuel'!$A$6:$A$505,$B$5,'Suivi mensuel'!$B$6:$B$505,$B$6)))</x:f>
        <x:v>n.d.</x:v>
      </x:c>
      <x:c r="C21" s="2"/>
      <x:c r="D21" s="2"/>
      <x:c r="E21" s="2"/>
      <x:c r="F21" s="2"/>
      <x:c r="G21" s="2"/>
      <x:c r="H21" s="2"/>
      <x:c r="I21" s="2"/>
      <x:c r="J21" s="2"/>
      <x:c r="K21" s="2"/>
      <x:c r="L21" s="2"/>
    </x:row>
    <x:row r="22" ht="23" customHeight="1">
      <x:c r="A22" s="2"/>
      <x:c r="B22" s="2"/>
      <x:c r="C22" s="2"/>
      <x:c r="D22" s="2"/>
      <x:c r="E22" s="2"/>
      <x:c r="F22" s="2"/>
      <x:c r="G22" s="2"/>
      <x:c r="H22" s="2"/>
      <x:c r="I22" s="2"/>
      <x:c r="J22" s="2"/>
      <x:c r="K22" s="2"/>
      <x:c r="L22" s="2"/>
    </x:row>
    <x:row r="23" ht="23" customHeight="1">
      <x:c r="A23" s="2"/>
      <x:c r="B23" s="2"/>
      <x:c r="C23" s="2"/>
      <x:c r="D23" s="2"/>
      <x:c r="E23" s="2"/>
      <x:c r="F23" s="2"/>
      <x:c r="G23" s="2"/>
      <x:c r="H23" s="2"/>
      <x:c r="I23" s="2"/>
      <x:c r="J23" s="2"/>
      <x:c r="K23" s="2"/>
      <x:c r="L23" s="2"/>
    </x:row>
    <x:row r="24" ht="38" customHeight="1">
      <x:c r="A24" s="8" t="str">
        <x:v>Registres à la date de situation</x:v>
      </x:c>
      <x:c r="B24" s="8" t="str">
        <x:v>Résultat</x:v>
      </x:c>
      <x:c r="C24" s="8" t="str">
        <x:v>Base</x:v>
      </x:c>
      <x:c r="D24" s="8" t="str">
        <x:v>Lecture</x:v>
      </x:c>
      <x:c r="E24" s="2"/>
      <x:c r="F24" s="2"/>
      <x:c r="G24" s="2"/>
      <x:c r="H24" s="2"/>
      <x:c r="I24" s="2"/>
      <x:c r="J24" s="2"/>
      <x:c r="K24" s="2"/>
      <x:c r="L24" s="2"/>
    </x:row>
    <x:row r="25" ht="23" customHeight="1">
      <x:c r="A25" s="2" t="str">
        <x:v>Actions réalisées</x:v>
      </x:c>
      <x:c r="B25" s="17" t="n">
        <x:f>IF(COUNTIFS('Actions'!$A$6:$A$505,$B$5)=0,"n.d.",COUNTIFS('Actions'!$A$6:$A$505,$B$5,'Actions'!$M$6:$M$505,"Réalisée")/COUNTIFS('Actions'!$A$6:$A$505,$B$5))</x:f>
        <x:v>0.631578947368421</x:v>
      </x:c>
      <x:c r="C25" s="2" t="n">
        <x:f>COUNTIFS('Actions'!$A$6:$A$505,$B$5)</x:f>
        <x:v>38</x:v>
      </x:c>
      <x:c r="D25" s="2"/>
      <x:c r="E25" s="2"/>
      <x:c r="F25" s="2"/>
      <x:c r="G25" s="2"/>
      <x:c r="H25" s="2"/>
      <x:c r="I25" s="2"/>
      <x:c r="J25" s="2"/>
      <x:c r="K25" s="2"/>
      <x:c r="L25" s="2"/>
    </x:row>
    <x:row r="26" ht="38" customHeight="1">
      <x:c r="A26" s="2" t="str">
        <x:v>Actions en retard</x:v>
      </x:c>
      <x:c r="B26" s="2" t="n">
        <x:f>IF(COUNTIFS('Actions'!$A$6:$A$505,$B$5)=0,"n.d.",COUNTIFS('Actions'!$A$6:$A$505,$B$5,'Actions'!$M$6:$M$505,"Retard"))</x:f>
        <x:v>13</x:v>
      </x:c>
      <x:c r="C26" s="2"/>
      <x:c r="D26" s="2" t="str">
        <x:f>IF(NOT(ISNUMBER(B26)),"Données absentes",IF(B26&gt;0,"À traiter","Aucun dans le registre"))</x:f>
        <x:v>À traiter</x:v>
      </x:c>
      <x:c r="E26" s="2"/>
      <x:c r="F26" s="8" t="str">
        <x:v>Actions</x:v>
      </x:c>
      <x:c r="G26" s="8" t="str">
        <x:v>Nombre</x:v>
      </x:c>
      <x:c r="H26" s="2"/>
      <x:c r="I26" s="2"/>
      <x:c r="J26" s="2"/>
      <x:c r="K26" s="2"/>
      <x:c r="L26" s="2"/>
    </x:row>
    <x:row r="27" ht="23" customHeight="1">
      <x:c r="A27" s="2" t="str">
        <x:v>Actions sans échéance exploitable</x:v>
      </x:c>
      <x:c r="B27" s="2" t="n">
        <x:f>IF(COUNTIFS('Actions'!$A$6:$A$505,$B$5)=0,"n.d.",COUNTIFS('Actions'!$A$6:$A$505,$B$5,'Actions'!$M$6:$M$505,"À compléter"))</x:f>
        <x:v>0</x:v>
      </x:c>
      <x:c r="C27" s="2"/>
      <x:c r="D27" s="2" t="str">
        <x:f>IF(NOT(ISNUMBER(B27)),"Données absentes",IF(B27&gt;0,"À traiter","Aucun dans le registre"))</x:f>
        <x:v>Aucun dans le registre</x:v>
      </x:c>
      <x:c r="E27" s="2"/>
      <x:c r="F27" s="2" t="str">
        <x:v>Réalisée</x:v>
      </x:c>
      <x:c r="G27" s="2" t="n">
        <x:f>IF(COUNTIFS('Actions'!$A$6:$A$505,$B$5)=0,"",COUNTIFS('Actions'!$A$6:$A$505,$B$5,'Actions'!$M$6:$M$505,F27))</x:f>
        <x:v>24</x:v>
      </x:c>
      <x:c r="H27" s="2"/>
      <x:c r="I27" s="2"/>
      <x:c r="J27" s="2"/>
      <x:c r="K27" s="2"/>
      <x:c r="L27" s="2"/>
    </x:row>
    <x:row r="28" ht="23" customHeight="1">
      <x:c r="A28" s="2" t="str">
        <x:v>PdP complets et valides</x:v>
      </x:c>
      <x:c r="B28" s="17" t="n">
        <x:f>IF(COUNTIFS('Plans de prévention'!$A$6:$A$505,$B$5)=0,"n.d.",COUNTIFS('Plans de prévention'!$A$6:$A$505,$B$5,'Plans de prévention'!$P$6:$P$505,1)/COUNTIFS('Plans de prévention'!$A$6:$A$505,$B$5))</x:f>
        <x:v>0.2549019607843137</x:v>
      </x:c>
      <x:c r="C28" s="2" t="n">
        <x:f>COUNTIFS('Plans de prévention'!$A$6:$A$505,$B$5)</x:f>
        <x:v>51</x:v>
      </x:c>
      <x:c r="D28" s="2" t="str">
        <x:f>IF(NOT(ISNUMBER(B28)),"Données absentes",IF('Paramètres'!E8="","Cible à définir",IF(B28&gt;='Paramètres'!E8,"Objectif atteint","Sous objectif")))</x:f>
        <x:v>Cible à définir</x:v>
      </x:c>
      <x:c r="E28" s="2"/>
      <x:c r="F28" s="2" t="str">
        <x:v>Retard</x:v>
      </x:c>
      <x:c r="G28" s="2" t="n">
        <x:f>IF(COUNTIFS('Actions'!$A$6:$A$505,$B$5)=0,"",COUNTIFS('Actions'!$A$6:$A$505,$B$5,'Actions'!$M$6:$M$505,F28))</x:f>
        <x:v>13</x:v>
      </x:c>
      <x:c r="H28" s="2"/>
      <x:c r="I28" s="2"/>
      <x:c r="J28" s="2"/>
      <x:c r="K28" s="2"/>
      <x:c r="L28" s="2"/>
    </x:row>
    <x:row r="29" ht="23" customHeight="1">
      <x:c r="A29" s="2" t="str">
        <x:v>PdP expirés</x:v>
      </x:c>
      <x:c r="B29" s="2" t="n">
        <x:f>IF(COUNTIFS('Plans de prévention'!$A$6:$A$505,$B$5)=0,"n.d.",COUNTIFS('Plans de prévention'!$A$6:$A$505,$B$5,'Plans de prévention'!$O$6:$O$505,"Expiré"))</x:f>
        <x:v>3</x:v>
      </x:c>
      <x:c r="C29" s="2"/>
      <x:c r="D29" s="2" t="str">
        <x:f>IF(NOT(ISNUMBER(B29)),"Données absentes",IF(B29&gt;0,"À traiter","Aucun dans le registre"))</x:f>
        <x:v>À traiter</x:v>
      </x:c>
      <x:c r="E29" s="2"/>
      <x:c r="F29" s="2" t="str">
        <x:v>À venir</x:v>
      </x:c>
      <x:c r="G29" s="2" t="n">
        <x:f>IF(COUNTIFS('Actions'!$A$6:$A$505,$B$5)=0,"",COUNTIFS('Actions'!$A$6:$A$505,$B$5,'Actions'!$M$6:$M$505,F29))</x:f>
        <x:v>1</x:v>
      </x:c>
      <x:c r="H29" s="2"/>
      <x:c r="I29" s="2"/>
      <x:c r="J29" s="2"/>
      <x:c r="K29" s="2"/>
      <x:c r="L29" s="2"/>
    </x:row>
    <x:row r="30" ht="23" customHeight="1">
      <x:c r="A30" s="2" t="str">
        <x:v>PdP sans échéance</x:v>
      </x:c>
      <x:c r="B30" s="2" t="n">
        <x:f>IF(COUNTIFS('Plans de prévention'!$A$6:$A$505,$B$5)=0,"n.d.",COUNTIFS('Plans de prévention'!$A$6:$A$505,$B$5,'Plans de prévention'!$O$6:$O$505,"À compléter"))</x:f>
        <x:v>13</x:v>
      </x:c>
      <x:c r="C30" s="2"/>
      <x:c r="D30" s="2" t="str">
        <x:f>IF(NOT(ISNUMBER(B30)),"Données absentes",IF(B30&gt;0,"À traiter","Aucun dans le registre"))</x:f>
        <x:v>À traiter</x:v>
      </x:c>
      <x:c r="E30" s="2"/>
      <x:c r="F30" s="2" t="str">
        <x:v>À compléter</x:v>
      </x:c>
      <x:c r="G30" s="2" t="n">
        <x:f>IF(COUNTIFS('Actions'!$A$6:$A$505,$B$5)=0,"",COUNTIFS('Actions'!$A$6:$A$505,$B$5,'Actions'!$M$6:$M$505,F30))</x:f>
        <x:v>0</x:v>
      </x:c>
      <x:c r="H30" s="2"/>
      <x:c r="I30" s="2"/>
      <x:c r="J30" s="2"/>
      <x:c r="K30" s="2"/>
      <x:c r="L30" s="2"/>
    </x:row>
    <x:row r="31" ht="23" customHeight="1">
      <x:c r="A31" s="2" t="str">
        <x:v>Habilitations / VPO / exercices expirés</x:v>
      </x:c>
      <x:c r="B31" s="2" t="n">
        <x:f>IF(COUNTIFS('Échéances'!$A$6:$A$505,$B$5)=0,"n.d.",COUNTIFS('Échéances'!$A$6:$A$505,$B$5,'Échéances'!$L$6:$L$505,"Expiré"))</x:f>
        <x:v>0</x:v>
      </x:c>
      <x:c r="C31" s="2"/>
      <x:c r="D31" s="2" t="str">
        <x:f>IF(NOT(ISNUMBER(B31)),"Données absentes",IF(B31&gt;0,"À traiter","Aucun dans le registre"))</x:f>
        <x:v>Aucun dans le registre</x:v>
      </x:c>
      <x:c r="E31" s="2"/>
      <x:c r="F31" s="2"/>
      <x:c r="G31" s="2"/>
      <x:c r="H31" s="2"/>
      <x:c r="I31" s="2"/>
      <x:c r="J31" s="2"/>
      <x:c r="K31" s="2"/>
      <x:c r="L31" s="2"/>
    </x:row>
    <x:row r="32" ht="23" customHeight="1">
      <x:c r="A32" s="2" t="str">
        <x:v>Échéances dans le préavis</x:v>
      </x:c>
      <x:c r="B32" s="2" t="n">
        <x:f>IF(COUNTIFS('Échéances'!$A$6:$A$505,$B$5)=0,"n.d.",COUNTIFS('Échéances'!$A$6:$A$505,$B$5,'Échéances'!$L$6:$L$505,"À renouveler"))</x:f>
        <x:v>2</x:v>
      </x:c>
      <x:c r="C32" s="2"/>
      <x:c r="D32" s="2" t="str">
        <x:f>IF(NOT(ISNUMBER(B32)),"Données absentes",IF(B32&gt;0,"À traiter","Aucun dans le registre"))</x:f>
        <x:v>À traiter</x:v>
      </x:c>
      <x:c r="E32" s="2"/>
      <x:c r="F32" s="2"/>
      <x:c r="G32" s="2"/>
      <x:c r="H32" s="2"/>
      <x:c r="I32" s="2"/>
      <x:c r="J32" s="2"/>
      <x:c r="K32" s="2"/>
      <x:c r="L32" s="2"/>
    </x:row>
    <x:row r="33" ht="23" customHeight="1">
      <x:c r="A33" s="2" t="str">
        <x:v>Échéances manquantes</x:v>
      </x:c>
      <x:c r="B33" s="2" t="n">
        <x:f>IF(COUNTIFS('Échéances'!$A$6:$A$505,$B$5)=0,"n.d.",COUNTIFS('Échéances'!$A$6:$A$505,$B$5,'Échéances'!$L$6:$L$505,"À compléter"))</x:f>
        <x:v>0</x:v>
      </x:c>
      <x:c r="C33" s="2"/>
      <x:c r="D33" s="2" t="str">
        <x:f>IF(NOT(ISNUMBER(B33)),"Données absentes",IF(B33&gt;0,"À traiter","Aucun dans le registre"))</x:f>
        <x:v>Aucun dans le registre</x:v>
      </x:c>
      <x:c r="E33" s="2"/>
      <x:c r="F33" s="2"/>
      <x:c r="G33" s="2"/>
      <x:c r="H33" s="2"/>
      <x:c r="I33" s="2"/>
      <x:c r="J33" s="2"/>
      <x:c r="K33" s="2"/>
      <x:c r="L33" s="2"/>
    </x:row>
    <x:row r="34" ht="23" customHeight="1">
      <x:c r="A34" s="2"/>
      <x:c r="B34" s="2"/>
      <x:c r="C34" s="2"/>
      <x:c r="D34" s="2"/>
      <x:c r="E34" s="2"/>
      <x:c r="F34" s="2"/>
      <x:c r="G34" s="2"/>
      <x:c r="H34" s="2"/>
      <x:c r="I34" s="2"/>
      <x:c r="J34" s="2"/>
      <x:c r="K34" s="2"/>
      <x:c r="L34" s="2"/>
    </x:row>
    <x:row r="35" ht="23" customHeight="1">
      <x:c r="A35" s="2" t="str">
        <x:v>n.d. : aucune mesure exploitable. Un registre vide ne prouve pas une absence d’événements.</x:v>
      </x:c>
      <x:c r="B35" s="2"/>
      <x:c r="C35" s="2"/>
      <x:c r="D35" s="2"/>
      <x:c r="E35" s="2"/>
      <x:c r="F35" s="2"/>
      <x:c r="G35" s="2"/>
      <x:c r="H35" s="2"/>
      <x:c r="I35" s="2"/>
      <x:c r="J35" s="2"/>
      <x:c r="K35" s="2"/>
      <x:c r="L35" s="2"/>
    </x:row>
    <x:row r="36" ht="23" customHeight="1">
      <x:c r="A36" s="2" t="str">
        <x:v>Les stocks décrivent les registres actuels. Changer la date ne reconstitue pas un historique.</x:v>
      </x:c>
      <x:c r="B36" s="2"/>
      <x:c r="C36" s="2"/>
      <x:c r="D36" s="2"/>
      <x:c r="E36" s="2"/>
      <x:c r="F36" s="2"/>
      <x:c r="G36" s="2"/>
      <x:c r="H36" s="2"/>
      <x:c r="I36" s="2"/>
      <x:c r="J36" s="2"/>
      <x:c r="K36" s="2"/>
      <x:c r="L36" s="2"/>
    </x:row>
    <x:row r="37" ht="23" customHeight="1">
      <x:c r="A37" s="2" t="str">
        <x:v>PdP complet : analyse faite et envoyée, deux signatures, commentaire agents, échéance &gt; date de situation.</x:v>
      </x:c>
      <x:c r="B37" s="2"/>
      <x:c r="C37" s="2"/>
      <x:c r="D37" s="2"/>
      <x:c r="E37" s="2"/>
      <x:c r="F37" s="2"/>
      <x:c r="G37" s="2"/>
      <x:c r="H37" s="2"/>
      <x:c r="I37" s="2"/>
      <x:c r="J37" s="2"/>
      <x:c r="K37" s="2"/>
      <x:c r="L37" s="2"/>
    </x:row>
    <x:row r="38" ht="23" customHeight="1">
      <x:c r="A38" s="2"/>
      <x:c r="B38" s="2"/>
      <x:c r="C38" s="2"/>
      <x:c r="D38" s="2"/>
      <x:c r="E38" s="2"/>
      <x:c r="F38" s="2"/>
      <x:c r="G38" s="2"/>
      <x:c r="H38" s="2"/>
      <x:c r="I38" s="2"/>
      <x:c r="J38" s="2"/>
      <x:c r="K38" s="2"/>
      <x:c r="L38" s="2"/>
    </x:row>
    <x:row r="39" ht="23" customHeight="1">
      <x:c r="A39" s="2" t="str">
        <x:v>Avis suivis (stock déclaré)</x:v>
      </x:c>
      <x:c r="B39" s="2" t="str">
        <x:f>IF(COUNTIFS('Suivi mensuel'!$A$6:$A$505,$B$5,'Suivi mensuel'!$B$6:$B$505,$B$6)&gt;1,"Doublon",IF(COUNTIFS('Suivi mensuel'!$A$6:$A$505,$B$5,'Suivi mensuel'!$B$6:$B$505,$B$6,'Suivi mensuel'!$M$6:$M$505,"&gt;=0",'Suivi mensuel'!$M$6:$M$505,"&lt;&gt;")=0,"n.d.",SUMIFS('Suivi mensuel'!$M$6:$M$505,'Suivi mensuel'!$A$6:$A$505,$B$5,'Suivi mensuel'!$B$6:$B$505,$B$6)))</x:f>
        <x:v>n.d.</x:v>
      </x:c>
      <x:c r="C39" s="2"/>
      <x:c r="D39" s="2"/>
      <x:c r="E39" s="2"/>
      <x:c r="F39" s="2"/>
      <x:c r="G39" s="2"/>
      <x:c r="H39" s="2"/>
      <x:c r="I39" s="2"/>
      <x:c r="J39" s="2"/>
      <x:c r="K39" s="2"/>
      <x:c r="L39" s="2"/>
    </x:row>
    <x:row r="40" ht="23" customHeight="1">
      <x:c r="A40" s="2" t="str">
        <x:v>Avis clôturés (stock déclaré)</x:v>
      </x:c>
      <x:c r="B40" s="2" t="str">
        <x:f>IF(COUNTIFS('Suivi mensuel'!$A$6:$A$505,$B$5,'Suivi mensuel'!$B$6:$B$505,$B$6)&gt;1,"Doublon",IF(COUNTIFS('Suivi mensuel'!$A$6:$A$505,$B$5,'Suivi mensuel'!$B$6:$B$505,$B$6,'Suivi mensuel'!$N$6:$N$505,"&gt;=0",'Suivi mensuel'!$N$6:$N$505,"&lt;&gt;")=0,"n.d.",SUMIFS('Suivi mensuel'!$N$6:$N$505,'Suivi mensuel'!$A$6:$A$505,$B$5,'Suivi mensuel'!$B$6:$B$505,$B$6)))</x:f>
        <x:v>n.d.</x:v>
      </x:c>
      <x:c r="C40" s="2"/>
      <x:c r="D40" s="2"/>
      <x:c r="E40" s="2"/>
      <x:c r="F40" s="2"/>
      <x:c r="G40" s="2"/>
      <x:c r="H40" s="2"/>
      <x:c r="I40" s="2"/>
      <x:c r="J40" s="2"/>
      <x:c r="K40" s="2"/>
      <x:c r="L40" s="2"/>
    </x:row>
    <x:row r="41" ht="23" customHeight="1">
      <x:c r="A41" s="2"/>
      <x:c r="B41" s="2"/>
      <x:c r="C41" s="2"/>
      <x:c r="D41" s="2"/>
      <x:c r="E41" s="2"/>
      <x:c r="F41" s="2"/>
      <x:c r="G41" s="2"/>
      <x:c r="H41" s="2"/>
      <x:c r="I41" s="2"/>
      <x:c r="J41" s="2"/>
      <x:c r="K41" s="2"/>
      <x:c r="L41" s="2"/>
    </x:row>
    <x:row r="42" ht="23" customHeight="1">
      <x:c r="A42" s="2"/>
      <x:c r="B42" s="2"/>
      <x:c r="C42" s="2"/>
      <x:c r="D42" s="2"/>
      <x:c r="E42" s="2"/>
      <x:c r="F42" s="2"/>
      <x:c r="G42" s="2"/>
      <x:c r="H42" s="2"/>
      <x:c r="I42" s="2"/>
      <x:c r="J42" s="2"/>
      <x:c r="K42" s="2"/>
      <x:c r="L42" s="2"/>
    </x:row>
    <x:row r="43" ht="23" customHeight="1">
      <x:c r="A43" s="2"/>
      <x:c r="B43" s="2"/>
      <x:c r="C43" s="2"/>
      <x:c r="D43" s="2"/>
      <x:c r="E43" s="2"/>
      <x:c r="F43" s="2"/>
      <x:c r="G43" s="2"/>
      <x:c r="H43" s="2"/>
      <x:c r="I43" s="2"/>
      <x:c r="J43" s="2"/>
      <x:c r="K43" s="2"/>
      <x:c r="L43" s="2"/>
    </x:row>
    <x:row r="44" ht="38" customHeight="1">
      <x:c r="A44" s="8" t="str">
        <x:v>Mois</x:v>
      </x:c>
      <x:c r="B44" s="8" t="str">
        <x:v>Indice qualité</x:v>
      </x:c>
      <x:c r="C44" s="8" t="str">
        <x:v>Contrôles</x:v>
      </x:c>
      <x:c r="D44" s="8" t="str">
        <x:v>Produits écolabellisés</x:v>
      </x:c>
      <x:c r="E44" s="2"/>
      <x:c r="F44" s="2"/>
      <x:c r="G44" s="2"/>
      <x:c r="H44" s="2"/>
      <x:c r="I44" s="2"/>
      <x:c r="J44" s="2"/>
      <x:c r="K44" s="2"/>
      <x:c r="L44" s="2"/>
    </x:row>
    <x:row r="45" ht="23" customHeight="1">
      <x:c r="A45" s="2" t="str">
        <x:v>Jan</x:v>
      </x:c>
      <x:c r="B45" s="17" t="str">
        <x:f>IF(COUNTIFS('Contrôles qualité'!$A$6:$A$505,$B$5,'Contrôles qualité'!$F$6:$F$505,"&gt;="&amp;DATE($F$6,1,1),'Contrôles qualité'!$F$6:$F$505,"&lt;"&amp;EDATE(DATE($F$6,1,1),1),'Contrôles qualité'!$G$6:$G$505,"&gt;=0")=0,"",SUMIFS('Contrôles qualité'!$G$6:$G$505,'Contrôles qualité'!$A$6:$A$505,$B$5,'Contrôles qualité'!$F$6:$F$505,"&gt;="&amp;DATE($F$6,1,1),'Contrôles qualité'!$F$6:$F$505,"&lt;"&amp;EDATE(DATE($F$6,1,1),1))/COUNTIFS('Contrôles qualité'!$A$6:$A$505,$B$5,'Contrôles qualité'!$F$6:$F$505,"&gt;="&amp;DATE($F$6,1,1),'Contrôles qualité'!$F$6:$F$505,"&lt;"&amp;EDATE(DATE($F$6,1,1),1),'Contrôles qualité'!$G$6:$G$505,"&gt;=0",'Contrôles qualité'!$G$6:$G$505,"&lt;&gt;"))</x:f>
      </x:c>
      <x:c r="C45" s="2" t="str">
        <x:f>IF(COUNTIFS('Contrôles qualité'!$A$6:$A$505,$B$5,'Contrôles qualité'!$F$6:$F$505,"&gt;="&amp;DATE($F$6,1,1),'Contrôles qualité'!$F$6:$F$505,"&lt;"&amp;EDATE(DATE($F$6,1,1),1))=0,"",COUNTIFS('Contrôles qualité'!$A$6:$A$505,$B$5,'Contrôles qualité'!$F$6:$F$505,"&gt;="&amp;DATE($F$6,1,1),'Contrôles qualité'!$F$6:$F$505,"&lt;"&amp;EDATE(DATE($F$6,1,1),1)))</x:f>
      </x:c>
      <x:c r="D45" s="17" t="n">
        <x:f>IF(COUNTIFS('Suivi mensuel'!$A$6:$A$505,$B$5,'Suivi mensuel'!$B$6:$B$505,DATE($F$6,1,1))&gt;1,"",IF(COUNTIFS('Suivi mensuel'!$A$6:$A$505,$B$5,'Suivi mensuel'!$B$6:$B$505,DATE($F$6,1,1),'Suivi mensuel'!$C$6:$C$505,"&gt;=0",'Suivi mensuel'!$C$6:$C$505,"&lt;&gt;")=0,"",SUMIFS('Suivi mensuel'!$C$6:$C$505,'Suivi mensuel'!$A$6:$A$505,$B$5,'Suivi mensuel'!$B$6:$B$505,DATE($F$6,1,1))))</x:f>
        <x:v>0.3853</x:v>
      </x:c>
      <x:c r="E45" s="2"/>
      <x:c r="F45" s="2"/>
      <x:c r="G45" s="2"/>
      <x:c r="H45" s="2"/>
      <x:c r="I45" s="2"/>
      <x:c r="J45" s="2"/>
      <x:c r="K45" s="2"/>
      <x:c r="L45" s="2"/>
    </x:row>
    <x:row r="46" ht="23" customHeight="1">
      <x:c r="A46" s="2" t="str">
        <x:v>Fév</x:v>
      </x:c>
      <x:c r="B46" s="17" t="str">
        <x:f>IF(COUNTIFS('Contrôles qualité'!$A$6:$A$505,$B$5,'Contrôles qualité'!$F$6:$F$505,"&gt;="&amp;DATE($F$6,2,1),'Contrôles qualité'!$F$6:$F$505,"&lt;"&amp;EDATE(DATE($F$6,2,1),1),'Contrôles qualité'!$G$6:$G$505,"&gt;=0")=0,"",SUMIFS('Contrôles qualité'!$G$6:$G$505,'Contrôles qualité'!$A$6:$A$505,$B$5,'Contrôles qualité'!$F$6:$F$505,"&gt;="&amp;DATE($F$6,2,1),'Contrôles qualité'!$F$6:$F$505,"&lt;"&amp;EDATE(DATE($F$6,2,1),1))/COUNTIFS('Contrôles qualité'!$A$6:$A$505,$B$5,'Contrôles qualité'!$F$6:$F$505,"&gt;="&amp;DATE($F$6,2,1),'Contrôles qualité'!$F$6:$F$505,"&lt;"&amp;EDATE(DATE($F$6,2,1),1),'Contrôles qualité'!$G$6:$G$505,"&gt;=0",'Contrôles qualité'!$G$6:$G$505,"&lt;&gt;"))</x:f>
      </x:c>
      <x:c r="C46" s="2" t="str">
        <x:f>IF(COUNTIFS('Contrôles qualité'!$A$6:$A$505,$B$5,'Contrôles qualité'!$F$6:$F$505,"&gt;="&amp;DATE($F$6,2,1),'Contrôles qualité'!$F$6:$F$505,"&lt;"&amp;EDATE(DATE($F$6,2,1),1))=0,"",COUNTIFS('Contrôles qualité'!$A$6:$A$505,$B$5,'Contrôles qualité'!$F$6:$F$505,"&gt;="&amp;DATE($F$6,2,1),'Contrôles qualité'!$F$6:$F$505,"&lt;"&amp;EDATE(DATE($F$6,2,1),1)))</x:f>
      </x:c>
      <x:c r="D46" s="17" t="n">
        <x:f>IF(COUNTIFS('Suivi mensuel'!$A$6:$A$505,$B$5,'Suivi mensuel'!$B$6:$B$505,DATE($F$6,2,1))&gt;1,"",IF(COUNTIFS('Suivi mensuel'!$A$6:$A$505,$B$5,'Suivi mensuel'!$B$6:$B$505,DATE($F$6,2,1),'Suivi mensuel'!$C$6:$C$505,"&gt;=0",'Suivi mensuel'!$C$6:$C$505,"&lt;&gt;")=0,"",SUMIFS('Suivi mensuel'!$C$6:$C$505,'Suivi mensuel'!$A$6:$A$505,$B$5,'Suivi mensuel'!$B$6:$B$505,DATE($F$6,2,1))))</x:f>
        <x:v>0.4508</x:v>
      </x:c>
      <x:c r="E46" s="2"/>
      <x:c r="F46" s="2"/>
      <x:c r="G46" s="2"/>
      <x:c r="H46" s="2"/>
      <x:c r="I46" s="2"/>
      <x:c r="J46" s="2"/>
      <x:c r="K46" s="2"/>
      <x:c r="L46" s="2"/>
    </x:row>
    <x:row r="47" ht="23" customHeight="1">
      <x:c r="A47" s="2" t="str">
        <x:v>Mar</x:v>
      </x:c>
      <x:c r="B47" s="17" t="str">
        <x:f>IF(COUNTIFS('Contrôles qualité'!$A$6:$A$505,$B$5,'Contrôles qualité'!$F$6:$F$505,"&gt;="&amp;DATE($F$6,3,1),'Contrôles qualité'!$F$6:$F$505,"&lt;"&amp;EDATE(DATE($F$6,3,1),1),'Contrôles qualité'!$G$6:$G$505,"&gt;=0")=0,"",SUMIFS('Contrôles qualité'!$G$6:$G$505,'Contrôles qualité'!$A$6:$A$505,$B$5,'Contrôles qualité'!$F$6:$F$505,"&gt;="&amp;DATE($F$6,3,1),'Contrôles qualité'!$F$6:$F$505,"&lt;"&amp;EDATE(DATE($F$6,3,1),1))/COUNTIFS('Contrôles qualité'!$A$6:$A$505,$B$5,'Contrôles qualité'!$F$6:$F$505,"&gt;="&amp;DATE($F$6,3,1),'Contrôles qualité'!$F$6:$F$505,"&lt;"&amp;EDATE(DATE($F$6,3,1),1),'Contrôles qualité'!$G$6:$G$505,"&gt;=0",'Contrôles qualité'!$G$6:$G$505,"&lt;&gt;"))</x:f>
      </x:c>
      <x:c r="C47" s="2" t="str">
        <x:f>IF(COUNTIFS('Contrôles qualité'!$A$6:$A$505,$B$5,'Contrôles qualité'!$F$6:$F$505,"&gt;="&amp;DATE($F$6,3,1),'Contrôles qualité'!$F$6:$F$505,"&lt;"&amp;EDATE(DATE($F$6,3,1),1))=0,"",COUNTIFS('Contrôles qualité'!$A$6:$A$505,$B$5,'Contrôles qualité'!$F$6:$F$505,"&gt;="&amp;DATE($F$6,3,1),'Contrôles qualité'!$F$6:$F$505,"&lt;"&amp;EDATE(DATE($F$6,3,1),1)))</x:f>
      </x:c>
      <x:c r="D47" s="17" t="str">
        <x:f>IF(COUNTIFS('Suivi mensuel'!$A$6:$A$505,$B$5,'Suivi mensuel'!$B$6:$B$505,DATE($F$6,3,1))&gt;1,"",IF(COUNTIFS('Suivi mensuel'!$A$6:$A$505,$B$5,'Suivi mensuel'!$B$6:$B$505,DATE($F$6,3,1),'Suivi mensuel'!$C$6:$C$505,"&gt;=0",'Suivi mensuel'!$C$6:$C$505,"&lt;&gt;")=0,"",SUMIFS('Suivi mensuel'!$C$6:$C$505,'Suivi mensuel'!$A$6:$A$505,$B$5,'Suivi mensuel'!$B$6:$B$505,DATE($F$6,3,1))))</x:f>
      </x:c>
      <x:c r="E47" s="2"/>
      <x:c r="F47" s="2"/>
      <x:c r="G47" s="2"/>
      <x:c r="H47" s="2"/>
      <x:c r="I47" s="2"/>
      <x:c r="J47" s="2"/>
      <x:c r="K47" s="2"/>
      <x:c r="L47" s="2"/>
    </x:row>
    <x:row r="48" ht="23" customHeight="1">
      <x:c r="A48" s="2" t="str">
        <x:v>Avr</x:v>
      </x:c>
      <x:c r="B48" s="17" t="str">
        <x:f>IF(COUNTIFS('Contrôles qualité'!$A$6:$A$505,$B$5,'Contrôles qualité'!$F$6:$F$505,"&gt;="&amp;DATE($F$6,4,1),'Contrôles qualité'!$F$6:$F$505,"&lt;"&amp;EDATE(DATE($F$6,4,1),1),'Contrôles qualité'!$G$6:$G$505,"&gt;=0")=0,"",SUMIFS('Contrôles qualité'!$G$6:$G$505,'Contrôles qualité'!$A$6:$A$505,$B$5,'Contrôles qualité'!$F$6:$F$505,"&gt;="&amp;DATE($F$6,4,1),'Contrôles qualité'!$F$6:$F$505,"&lt;"&amp;EDATE(DATE($F$6,4,1),1))/COUNTIFS('Contrôles qualité'!$A$6:$A$505,$B$5,'Contrôles qualité'!$F$6:$F$505,"&gt;="&amp;DATE($F$6,4,1),'Contrôles qualité'!$F$6:$F$505,"&lt;"&amp;EDATE(DATE($F$6,4,1),1),'Contrôles qualité'!$G$6:$G$505,"&gt;=0",'Contrôles qualité'!$G$6:$G$505,"&lt;&gt;"))</x:f>
      </x:c>
      <x:c r="C48" s="2" t="str">
        <x:f>IF(COUNTIFS('Contrôles qualité'!$A$6:$A$505,$B$5,'Contrôles qualité'!$F$6:$F$505,"&gt;="&amp;DATE($F$6,4,1),'Contrôles qualité'!$F$6:$F$505,"&lt;"&amp;EDATE(DATE($F$6,4,1),1))=0,"",COUNTIFS('Contrôles qualité'!$A$6:$A$505,$B$5,'Contrôles qualité'!$F$6:$F$505,"&gt;="&amp;DATE($F$6,4,1),'Contrôles qualité'!$F$6:$F$505,"&lt;"&amp;EDATE(DATE($F$6,4,1),1)))</x:f>
      </x:c>
      <x:c r="D48" s="17" t="str">
        <x:f>IF(COUNTIFS('Suivi mensuel'!$A$6:$A$505,$B$5,'Suivi mensuel'!$B$6:$B$505,DATE($F$6,4,1))&gt;1,"",IF(COUNTIFS('Suivi mensuel'!$A$6:$A$505,$B$5,'Suivi mensuel'!$B$6:$B$505,DATE($F$6,4,1),'Suivi mensuel'!$C$6:$C$505,"&gt;=0",'Suivi mensuel'!$C$6:$C$505,"&lt;&gt;")=0,"",SUMIFS('Suivi mensuel'!$C$6:$C$505,'Suivi mensuel'!$A$6:$A$505,$B$5,'Suivi mensuel'!$B$6:$B$505,DATE($F$6,4,1))))</x:f>
      </x:c>
      <x:c r="E48" s="2"/>
      <x:c r="F48" s="2"/>
      <x:c r="G48" s="2"/>
      <x:c r="H48" s="2"/>
      <x:c r="I48" s="2"/>
      <x:c r="J48" s="2"/>
      <x:c r="K48" s="2"/>
      <x:c r="L48" s="2"/>
    </x:row>
    <x:row r="49" ht="23" customHeight="1">
      <x:c r="A49" s="2" t="str">
        <x:v>Mai</x:v>
      </x:c>
      <x:c r="B49" s="17" t="str">
        <x:f>IF(COUNTIFS('Contrôles qualité'!$A$6:$A$505,$B$5,'Contrôles qualité'!$F$6:$F$505,"&gt;="&amp;DATE($F$6,5,1),'Contrôles qualité'!$F$6:$F$505,"&lt;"&amp;EDATE(DATE($F$6,5,1),1),'Contrôles qualité'!$G$6:$G$505,"&gt;=0")=0,"",SUMIFS('Contrôles qualité'!$G$6:$G$505,'Contrôles qualité'!$A$6:$A$505,$B$5,'Contrôles qualité'!$F$6:$F$505,"&gt;="&amp;DATE($F$6,5,1),'Contrôles qualité'!$F$6:$F$505,"&lt;"&amp;EDATE(DATE($F$6,5,1),1))/COUNTIFS('Contrôles qualité'!$A$6:$A$505,$B$5,'Contrôles qualité'!$F$6:$F$505,"&gt;="&amp;DATE($F$6,5,1),'Contrôles qualité'!$F$6:$F$505,"&lt;"&amp;EDATE(DATE($F$6,5,1),1),'Contrôles qualité'!$G$6:$G$505,"&gt;=0",'Contrôles qualité'!$G$6:$G$505,"&lt;&gt;"))</x:f>
      </x:c>
      <x:c r="C49" s="2" t="str">
        <x:f>IF(COUNTIFS('Contrôles qualité'!$A$6:$A$505,$B$5,'Contrôles qualité'!$F$6:$F$505,"&gt;="&amp;DATE($F$6,5,1),'Contrôles qualité'!$F$6:$F$505,"&lt;"&amp;EDATE(DATE($F$6,5,1),1))=0,"",COUNTIFS('Contrôles qualité'!$A$6:$A$505,$B$5,'Contrôles qualité'!$F$6:$F$505,"&gt;="&amp;DATE($F$6,5,1),'Contrôles qualité'!$F$6:$F$505,"&lt;"&amp;EDATE(DATE($F$6,5,1),1)))</x:f>
      </x:c>
      <x:c r="D49" s="17" t="str">
        <x:f>IF(COUNTIFS('Suivi mensuel'!$A$6:$A$505,$B$5,'Suivi mensuel'!$B$6:$B$505,DATE($F$6,5,1))&gt;1,"",IF(COUNTIFS('Suivi mensuel'!$A$6:$A$505,$B$5,'Suivi mensuel'!$B$6:$B$505,DATE($F$6,5,1),'Suivi mensuel'!$C$6:$C$505,"&gt;=0",'Suivi mensuel'!$C$6:$C$505,"&lt;&gt;")=0,"",SUMIFS('Suivi mensuel'!$C$6:$C$505,'Suivi mensuel'!$A$6:$A$505,$B$5,'Suivi mensuel'!$B$6:$B$505,DATE($F$6,5,1))))</x:f>
      </x:c>
      <x:c r="E49" s="2"/>
      <x:c r="F49" s="2"/>
      <x:c r="G49" s="2"/>
      <x:c r="H49" s="2"/>
      <x:c r="I49" s="2"/>
      <x:c r="J49" s="2"/>
      <x:c r="K49" s="2"/>
      <x:c r="L49" s="2"/>
    </x:row>
    <x:row r="50" ht="23" customHeight="1">
      <x:c r="A50" s="2" t="str">
        <x:v>Juin</x:v>
      </x:c>
      <x:c r="B50" s="17" t="str">
        <x:f>IF(COUNTIFS('Contrôles qualité'!$A$6:$A$505,$B$5,'Contrôles qualité'!$F$6:$F$505,"&gt;="&amp;DATE($F$6,6,1),'Contrôles qualité'!$F$6:$F$505,"&lt;"&amp;EDATE(DATE($F$6,6,1),1),'Contrôles qualité'!$G$6:$G$505,"&gt;=0")=0,"",SUMIFS('Contrôles qualité'!$G$6:$G$505,'Contrôles qualité'!$A$6:$A$505,$B$5,'Contrôles qualité'!$F$6:$F$505,"&gt;="&amp;DATE($F$6,6,1),'Contrôles qualité'!$F$6:$F$505,"&lt;"&amp;EDATE(DATE($F$6,6,1),1))/COUNTIFS('Contrôles qualité'!$A$6:$A$505,$B$5,'Contrôles qualité'!$F$6:$F$505,"&gt;="&amp;DATE($F$6,6,1),'Contrôles qualité'!$F$6:$F$505,"&lt;"&amp;EDATE(DATE($F$6,6,1),1),'Contrôles qualité'!$G$6:$G$505,"&gt;=0",'Contrôles qualité'!$G$6:$G$505,"&lt;&gt;"))</x:f>
      </x:c>
      <x:c r="C50" s="2" t="str">
        <x:f>IF(COUNTIFS('Contrôles qualité'!$A$6:$A$505,$B$5,'Contrôles qualité'!$F$6:$F$505,"&gt;="&amp;DATE($F$6,6,1),'Contrôles qualité'!$F$6:$F$505,"&lt;"&amp;EDATE(DATE($F$6,6,1),1))=0,"",COUNTIFS('Contrôles qualité'!$A$6:$A$505,$B$5,'Contrôles qualité'!$F$6:$F$505,"&gt;="&amp;DATE($F$6,6,1),'Contrôles qualité'!$F$6:$F$505,"&lt;"&amp;EDATE(DATE($F$6,6,1),1)))</x:f>
      </x:c>
      <x:c r="D50" s="17" t="str">
        <x:f>IF(COUNTIFS('Suivi mensuel'!$A$6:$A$505,$B$5,'Suivi mensuel'!$B$6:$B$505,DATE($F$6,6,1))&gt;1,"",IF(COUNTIFS('Suivi mensuel'!$A$6:$A$505,$B$5,'Suivi mensuel'!$B$6:$B$505,DATE($F$6,6,1),'Suivi mensuel'!$C$6:$C$505,"&gt;=0",'Suivi mensuel'!$C$6:$C$505,"&lt;&gt;")=0,"",SUMIFS('Suivi mensuel'!$C$6:$C$505,'Suivi mensuel'!$A$6:$A$505,$B$5,'Suivi mensuel'!$B$6:$B$505,DATE($F$6,6,1))))</x:f>
      </x:c>
      <x:c r="E50" s="2"/>
      <x:c r="F50" s="2"/>
      <x:c r="G50" s="2"/>
      <x:c r="H50" s="2"/>
      <x:c r="I50" s="2"/>
      <x:c r="J50" s="2"/>
      <x:c r="K50" s="2"/>
      <x:c r="L50" s="2"/>
    </x:row>
    <x:row r="51" ht="23" customHeight="1">
      <x:c r="A51" s="2" t="str">
        <x:v>Juil</x:v>
      </x:c>
      <x:c r="B51" s="17" t="n">
        <x:f>IF(COUNTIFS('Contrôles qualité'!$A$6:$A$505,$B$5,'Contrôles qualité'!$F$6:$F$505,"&gt;="&amp;DATE($F$6,7,1),'Contrôles qualité'!$F$6:$F$505,"&lt;"&amp;EDATE(DATE($F$6,7,1),1),'Contrôles qualité'!$G$6:$G$505,"&gt;=0")=0,"",SUMIFS('Contrôles qualité'!$G$6:$G$505,'Contrôles qualité'!$A$6:$A$505,$B$5,'Contrôles qualité'!$F$6:$F$505,"&gt;="&amp;DATE($F$6,7,1),'Contrôles qualité'!$F$6:$F$505,"&lt;"&amp;EDATE(DATE($F$6,7,1),1))/COUNTIFS('Contrôles qualité'!$A$6:$A$505,$B$5,'Contrôles qualité'!$F$6:$F$505,"&gt;="&amp;DATE($F$6,7,1),'Contrôles qualité'!$F$6:$F$505,"&lt;"&amp;EDATE(DATE($F$6,7,1),1),'Contrôles qualité'!$G$6:$G$505,"&gt;=0",'Contrôles qualité'!$G$6:$G$505,"&lt;&gt;"))</x:f>
        <x:v>0.9526061224489799</x:v>
      </x:c>
      <x:c r="C51" s="2" t="n">
        <x:f>IF(COUNTIFS('Contrôles qualité'!$A$6:$A$505,$B$5,'Contrôles qualité'!$F$6:$F$505,"&gt;="&amp;DATE($F$6,7,1),'Contrôles qualité'!$F$6:$F$505,"&lt;"&amp;EDATE(DATE($F$6,7,1),1))=0,"",COUNTIFS('Contrôles qualité'!$A$6:$A$505,$B$5,'Contrôles qualité'!$F$6:$F$505,"&gt;="&amp;DATE($F$6,7,1),'Contrôles qualité'!$F$6:$F$505,"&lt;"&amp;EDATE(DATE($F$6,7,1),1)))</x:f>
        <x:v>49</x:v>
      </x:c>
      <x:c r="D51" s="17" t="str">
        <x:f>IF(COUNTIFS('Suivi mensuel'!$A$6:$A$505,$B$5,'Suivi mensuel'!$B$6:$B$505,DATE($F$6,7,1))&gt;1,"",IF(COUNTIFS('Suivi mensuel'!$A$6:$A$505,$B$5,'Suivi mensuel'!$B$6:$B$505,DATE($F$6,7,1),'Suivi mensuel'!$C$6:$C$505,"&gt;=0",'Suivi mensuel'!$C$6:$C$505,"&lt;&gt;")=0,"",SUMIFS('Suivi mensuel'!$C$6:$C$505,'Suivi mensuel'!$A$6:$A$505,$B$5,'Suivi mensuel'!$B$6:$B$505,DATE($F$6,7,1))))</x:f>
      </x:c>
      <x:c r="E51" s="2"/>
      <x:c r="F51" s="2"/>
      <x:c r="G51" s="2"/>
      <x:c r="H51" s="2"/>
      <x:c r="I51" s="2"/>
      <x:c r="J51" s="2"/>
      <x:c r="K51" s="2"/>
      <x:c r="L51" s="2"/>
    </x:row>
    <x:row r="52" ht="23" customHeight="1">
      <x:c r="A52" s="2" t="str">
        <x:v>Août</x:v>
      </x:c>
      <x:c r="B52" s="17" t="str">
        <x:f>IF(COUNTIFS('Contrôles qualité'!$A$6:$A$505,$B$5,'Contrôles qualité'!$F$6:$F$505,"&gt;="&amp;DATE($F$6,8,1),'Contrôles qualité'!$F$6:$F$505,"&lt;"&amp;EDATE(DATE($F$6,8,1),1),'Contrôles qualité'!$G$6:$G$505,"&gt;=0")=0,"",SUMIFS('Contrôles qualité'!$G$6:$G$505,'Contrôles qualité'!$A$6:$A$505,$B$5,'Contrôles qualité'!$F$6:$F$505,"&gt;="&amp;DATE($F$6,8,1),'Contrôles qualité'!$F$6:$F$505,"&lt;"&amp;EDATE(DATE($F$6,8,1),1))/COUNTIFS('Contrôles qualité'!$A$6:$A$505,$B$5,'Contrôles qualité'!$F$6:$F$505,"&gt;="&amp;DATE($F$6,8,1),'Contrôles qualité'!$F$6:$F$505,"&lt;"&amp;EDATE(DATE($F$6,8,1),1),'Contrôles qualité'!$G$6:$G$505,"&gt;=0",'Contrôles qualité'!$G$6:$G$505,"&lt;&gt;"))</x:f>
      </x:c>
      <x:c r="C52" s="2" t="str">
        <x:f>IF(COUNTIFS('Contrôles qualité'!$A$6:$A$505,$B$5,'Contrôles qualité'!$F$6:$F$505,"&gt;="&amp;DATE($F$6,8,1),'Contrôles qualité'!$F$6:$F$505,"&lt;"&amp;EDATE(DATE($F$6,8,1),1))=0,"",COUNTIFS('Contrôles qualité'!$A$6:$A$505,$B$5,'Contrôles qualité'!$F$6:$F$505,"&gt;="&amp;DATE($F$6,8,1),'Contrôles qualité'!$F$6:$F$505,"&lt;"&amp;EDATE(DATE($F$6,8,1),1)))</x:f>
      </x:c>
      <x:c r="D52" s="17" t="str">
        <x:f>IF(COUNTIFS('Suivi mensuel'!$A$6:$A$505,$B$5,'Suivi mensuel'!$B$6:$B$505,DATE($F$6,8,1))&gt;1,"",IF(COUNTIFS('Suivi mensuel'!$A$6:$A$505,$B$5,'Suivi mensuel'!$B$6:$B$505,DATE($F$6,8,1),'Suivi mensuel'!$C$6:$C$505,"&gt;=0",'Suivi mensuel'!$C$6:$C$505,"&lt;&gt;")=0,"",SUMIFS('Suivi mensuel'!$C$6:$C$505,'Suivi mensuel'!$A$6:$A$505,$B$5,'Suivi mensuel'!$B$6:$B$505,DATE($F$6,8,1))))</x:f>
      </x:c>
      <x:c r="E52" s="2"/>
      <x:c r="F52" s="2"/>
      <x:c r="G52" s="2"/>
      <x:c r="H52" s="2"/>
      <x:c r="I52" s="2"/>
      <x:c r="J52" s="2"/>
      <x:c r="K52" s="2"/>
      <x:c r="L52" s="2"/>
    </x:row>
    <x:row r="53">
      <x:c r="A53" t="str">
        <x:v>Sep</x:v>
      </x:c>
      <x:c r="B53" s="18" t="str">
        <x:f>IF(COUNTIFS('Contrôles qualité'!$A$6:$A$505,$B$5,'Contrôles qualité'!$F$6:$F$505,"&gt;="&amp;DATE($F$6,9,1),'Contrôles qualité'!$F$6:$F$505,"&lt;"&amp;EDATE(DATE($F$6,9,1),1),'Contrôles qualité'!$G$6:$G$505,"&gt;=0")=0,"",SUMIFS('Contrôles qualité'!$G$6:$G$505,'Contrôles qualité'!$A$6:$A$505,$B$5,'Contrôles qualité'!$F$6:$F$505,"&gt;="&amp;DATE($F$6,9,1),'Contrôles qualité'!$F$6:$F$505,"&lt;"&amp;EDATE(DATE($F$6,9,1),1))/COUNTIFS('Contrôles qualité'!$A$6:$A$505,$B$5,'Contrôles qualité'!$F$6:$F$505,"&gt;="&amp;DATE($F$6,9,1),'Contrôles qualité'!$F$6:$F$505,"&lt;"&amp;EDATE(DATE($F$6,9,1),1),'Contrôles qualité'!$G$6:$G$505,"&gt;=0",'Contrôles qualité'!$G$6:$G$505,"&lt;&gt;"))</x:f>
      </x:c>
      <x:c r="C53" t="str">
        <x:f>IF(COUNTIFS('Contrôles qualité'!$A$6:$A$505,$B$5,'Contrôles qualité'!$F$6:$F$505,"&gt;="&amp;DATE($F$6,9,1),'Contrôles qualité'!$F$6:$F$505,"&lt;"&amp;EDATE(DATE($F$6,9,1),1))=0,"",COUNTIFS('Contrôles qualité'!$A$6:$A$505,$B$5,'Contrôles qualité'!$F$6:$F$505,"&gt;="&amp;DATE($F$6,9,1),'Contrôles qualité'!$F$6:$F$505,"&lt;"&amp;EDATE(DATE($F$6,9,1),1)))</x:f>
      </x:c>
      <x:c r="D53" s="18" t="str">
        <x:f>IF(COUNTIFS('Suivi mensuel'!$A$6:$A$505,$B$5,'Suivi mensuel'!$B$6:$B$505,DATE($F$6,9,1))&gt;1,"",IF(COUNTIFS('Suivi mensuel'!$A$6:$A$505,$B$5,'Suivi mensuel'!$B$6:$B$505,DATE($F$6,9,1),'Suivi mensuel'!$C$6:$C$505,"&gt;=0",'Suivi mensuel'!$C$6:$C$505,"&lt;&gt;")=0,"",SUMIFS('Suivi mensuel'!$C$6:$C$505,'Suivi mensuel'!$A$6:$A$505,$B$5,'Suivi mensuel'!$B$6:$B$505,DATE($F$6,9,1))))</x:f>
      </x:c>
    </x:row>
    <x:row r="54">
      <x:c r="A54" t="str">
        <x:v>Oct</x:v>
      </x:c>
      <x:c r="B54" s="18" t="str">
        <x:f>IF(COUNTIFS('Contrôles qualité'!$A$6:$A$505,$B$5,'Contrôles qualité'!$F$6:$F$505,"&gt;="&amp;DATE($F$6,10,1),'Contrôles qualité'!$F$6:$F$505,"&lt;"&amp;EDATE(DATE($F$6,10,1),1),'Contrôles qualité'!$G$6:$G$505,"&gt;=0")=0,"",SUMIFS('Contrôles qualité'!$G$6:$G$505,'Contrôles qualité'!$A$6:$A$505,$B$5,'Contrôles qualité'!$F$6:$F$505,"&gt;="&amp;DATE($F$6,10,1),'Contrôles qualité'!$F$6:$F$505,"&lt;"&amp;EDATE(DATE($F$6,10,1),1))/COUNTIFS('Contrôles qualité'!$A$6:$A$505,$B$5,'Contrôles qualité'!$F$6:$F$505,"&gt;="&amp;DATE($F$6,10,1),'Contrôles qualité'!$F$6:$F$505,"&lt;"&amp;EDATE(DATE($F$6,10,1),1),'Contrôles qualité'!$G$6:$G$505,"&gt;=0",'Contrôles qualité'!$G$6:$G$505,"&lt;&gt;"))</x:f>
      </x:c>
      <x:c r="C54" t="str">
        <x:f>IF(COUNTIFS('Contrôles qualité'!$A$6:$A$505,$B$5,'Contrôles qualité'!$F$6:$F$505,"&gt;="&amp;DATE($F$6,10,1),'Contrôles qualité'!$F$6:$F$505,"&lt;"&amp;EDATE(DATE($F$6,10,1),1))=0,"",COUNTIFS('Contrôles qualité'!$A$6:$A$505,$B$5,'Contrôles qualité'!$F$6:$F$505,"&gt;="&amp;DATE($F$6,10,1),'Contrôles qualité'!$F$6:$F$505,"&lt;"&amp;EDATE(DATE($F$6,10,1),1)))</x:f>
      </x:c>
      <x:c r="D54" s="18" t="str">
        <x:f>IF(COUNTIFS('Suivi mensuel'!$A$6:$A$505,$B$5,'Suivi mensuel'!$B$6:$B$505,DATE($F$6,10,1))&gt;1,"",IF(COUNTIFS('Suivi mensuel'!$A$6:$A$505,$B$5,'Suivi mensuel'!$B$6:$B$505,DATE($F$6,10,1),'Suivi mensuel'!$C$6:$C$505,"&gt;=0",'Suivi mensuel'!$C$6:$C$505,"&lt;&gt;")=0,"",SUMIFS('Suivi mensuel'!$C$6:$C$505,'Suivi mensuel'!$A$6:$A$505,$B$5,'Suivi mensuel'!$B$6:$B$505,DATE($F$6,10,1))))</x:f>
      </x:c>
    </x:row>
    <x:row r="55">
      <x:c r="A55" t="str">
        <x:v>Nov</x:v>
      </x:c>
      <x:c r="B55" s="18" t="str">
        <x:f>IF(COUNTIFS('Contrôles qualité'!$A$6:$A$505,$B$5,'Contrôles qualité'!$F$6:$F$505,"&gt;="&amp;DATE($F$6,11,1),'Contrôles qualité'!$F$6:$F$505,"&lt;"&amp;EDATE(DATE($F$6,11,1),1),'Contrôles qualité'!$G$6:$G$505,"&gt;=0")=0,"",SUMIFS('Contrôles qualité'!$G$6:$G$505,'Contrôles qualité'!$A$6:$A$505,$B$5,'Contrôles qualité'!$F$6:$F$505,"&gt;="&amp;DATE($F$6,11,1),'Contrôles qualité'!$F$6:$F$505,"&lt;"&amp;EDATE(DATE($F$6,11,1),1))/COUNTIFS('Contrôles qualité'!$A$6:$A$505,$B$5,'Contrôles qualité'!$F$6:$F$505,"&gt;="&amp;DATE($F$6,11,1),'Contrôles qualité'!$F$6:$F$505,"&lt;"&amp;EDATE(DATE($F$6,11,1),1),'Contrôles qualité'!$G$6:$G$505,"&gt;=0",'Contrôles qualité'!$G$6:$G$505,"&lt;&gt;"))</x:f>
      </x:c>
      <x:c r="C55" t="str">
        <x:f>IF(COUNTIFS('Contrôles qualité'!$A$6:$A$505,$B$5,'Contrôles qualité'!$F$6:$F$505,"&gt;="&amp;DATE($F$6,11,1),'Contrôles qualité'!$F$6:$F$505,"&lt;"&amp;EDATE(DATE($F$6,11,1),1))=0,"",COUNTIFS('Contrôles qualité'!$A$6:$A$505,$B$5,'Contrôles qualité'!$F$6:$F$505,"&gt;="&amp;DATE($F$6,11,1),'Contrôles qualité'!$F$6:$F$505,"&lt;"&amp;EDATE(DATE($F$6,11,1),1)))</x:f>
      </x:c>
      <x:c r="D55" s="18" t="str">
        <x:f>IF(COUNTIFS('Suivi mensuel'!$A$6:$A$505,$B$5,'Suivi mensuel'!$B$6:$B$505,DATE($F$6,11,1))&gt;1,"",IF(COUNTIFS('Suivi mensuel'!$A$6:$A$505,$B$5,'Suivi mensuel'!$B$6:$B$505,DATE($F$6,11,1),'Suivi mensuel'!$C$6:$C$505,"&gt;=0",'Suivi mensuel'!$C$6:$C$505,"&lt;&gt;")=0,"",SUMIFS('Suivi mensuel'!$C$6:$C$505,'Suivi mensuel'!$A$6:$A$505,$B$5,'Suivi mensuel'!$B$6:$B$505,DATE($F$6,11,1))))</x:f>
      </x:c>
    </x:row>
    <x:row r="56">
      <x:c r="A56" t="str">
        <x:v>Déc</x:v>
      </x:c>
      <x:c r="B56" s="18" t="str">
        <x:f>IF(COUNTIFS('Contrôles qualité'!$A$6:$A$505,$B$5,'Contrôles qualité'!$F$6:$F$505,"&gt;="&amp;DATE($F$6,12,1),'Contrôles qualité'!$F$6:$F$505,"&lt;"&amp;EDATE(DATE($F$6,12,1),1),'Contrôles qualité'!$G$6:$G$505,"&gt;=0")=0,"",SUMIFS('Contrôles qualité'!$G$6:$G$505,'Contrôles qualité'!$A$6:$A$505,$B$5,'Contrôles qualité'!$F$6:$F$505,"&gt;="&amp;DATE($F$6,12,1),'Contrôles qualité'!$F$6:$F$505,"&lt;"&amp;EDATE(DATE($F$6,12,1),1))/COUNTIFS('Contrôles qualité'!$A$6:$A$505,$B$5,'Contrôles qualité'!$F$6:$F$505,"&gt;="&amp;DATE($F$6,12,1),'Contrôles qualité'!$F$6:$F$505,"&lt;"&amp;EDATE(DATE($F$6,12,1),1),'Contrôles qualité'!$G$6:$G$505,"&gt;=0",'Contrôles qualité'!$G$6:$G$505,"&lt;&gt;"))</x:f>
      </x:c>
      <x:c r="C56" t="str">
        <x:f>IF(COUNTIFS('Contrôles qualité'!$A$6:$A$505,$B$5,'Contrôles qualité'!$F$6:$F$505,"&gt;="&amp;DATE($F$6,12,1),'Contrôles qualité'!$F$6:$F$505,"&lt;"&amp;EDATE(DATE($F$6,12,1),1))=0,"",COUNTIFS('Contrôles qualité'!$A$6:$A$505,$B$5,'Contrôles qualité'!$F$6:$F$505,"&gt;="&amp;DATE($F$6,12,1),'Contrôles qualité'!$F$6:$F$505,"&lt;"&amp;EDATE(DATE($F$6,12,1),1)))</x:f>
      </x:c>
      <x:c r="D56" s="18" t="str">
        <x:f>IF(COUNTIFS('Suivi mensuel'!$A$6:$A$505,$B$5,'Suivi mensuel'!$B$6:$B$505,DATE($F$6,12,1))&gt;1,"",IF(COUNTIFS('Suivi mensuel'!$A$6:$A$505,$B$5,'Suivi mensuel'!$B$6:$B$505,DATE($F$6,12,1),'Suivi mensuel'!$C$6:$C$505,"&gt;=0",'Suivi mensuel'!$C$6:$C$505,"&lt;&gt;")=0,"",SUMIFS('Suivi mensuel'!$C$6:$C$505,'Suivi mensuel'!$A$6:$A$505,$B$5,'Suivi mensuel'!$B$6:$B$505,DATE($F$6,12,1))))</x:f>
      </x:c>
    </x:row>
  </x:sheetData>
  <x:conditionalFormatting sqref="D10:D33">
    <x:cfRule type="containsText" dxfId="48" priority="1" operator="containsText" text="À traiter"/>
    <x:cfRule type="containsText" dxfId="49" priority="2" operator="containsText" text="Sous objectif"/>
  </x:conditionalFormatting>
  <x:dataValidations count="1">
    <x:dataValidation type="list" sqref="B5">
      <x:formula1>'Paramètres'!$A$6:$A$25</x:formula1>
    </x:dataValidation>
  </x:dataValidations>
  <x:pageMargins left="0.7" right="0.7" top="0.75" bottom="0.75" header="0.3" footer="0.3"/>
  <x:drawing xmlns:r="http://schemas.openxmlformats.org/officeDocument/2006/relationships" r:id="R68fee67d40da4964"/>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14" hidden="0" customWidth="1"/>
    <x:col min="3" max="3" width="18" hidden="0" customWidth="1"/>
    <x:col min="4" max="4" width="26" hidden="0" customWidth="1"/>
    <x:col min="5" max="5" width="14" hidden="0" customWidth="1"/>
    <x:col min="6" max="6" width="52" hidden="0" customWidth="1"/>
    <x:col min="7" max="7" width="66" hidden="0" customWidth="1"/>
    <x:col min="8" max="8" width="31" hidden="0" customWidth="1"/>
    <x:col min="9" max="9" width="14" hidden="0" customWidth="1"/>
    <x:col min="10" max="10" width="14" hidden="0" customWidth="1"/>
    <x:col min="11" max="11" width="18" hidden="0" customWidth="1"/>
    <x:col min="12" max="12" width="58" hidden="0" customWidth="1"/>
    <x:col min="13" max="13" width="23" hidden="0" customWidth="1"/>
    <x:col min="14" max="14" width="16" hidden="0" customWidth="1"/>
    <x:col min="15" max="15" width="43" hidden="0" customWidth="1"/>
    <x:col min="16" max="16" width="24" hidden="0" customWidth="1"/>
  </x:cols>
  <x:sheetData>
    <x:row r="1" ht="23" customHeight="1">
      <x:c r="A1" s="2"/>
      <x:c r="B1" s="2"/>
      <x:c r="C1" s="2"/>
      <x:c r="D1" s="2"/>
      <x:c r="E1" s="2"/>
      <x:c r="F1" s="2"/>
      <x:c r="G1" s="2"/>
      <x:c r="H1" s="2"/>
      <x:c r="I1" s="2"/>
      <x:c r="J1" s="2"/>
      <x:c r="K1" s="2"/>
      <x:c r="L1" s="2"/>
      <x:c r="M1" s="2"/>
      <x:c r="N1" s="2"/>
      <x:c r="O1" s="2"/>
      <x:c r="P1" s="2"/>
    </x:row>
    <x:row r="2" ht="23" customHeight="1">
      <x:c r="A2" s="3" t="str">
        <x:v>Actions</x:v>
      </x:c>
      <x:c r="B2" s="2"/>
      <x:c r="C2" s="2"/>
      <x:c r="D2" s="2"/>
      <x:c r="E2" s="2"/>
      <x:c r="F2" s="2"/>
      <x:c r="G2" s="2"/>
      <x:c r="H2" s="2"/>
      <x:c r="I2" s="2"/>
      <x:c r="J2" s="2"/>
      <x:c r="K2" s="2"/>
      <x:c r="L2" s="2"/>
      <x:c r="M2" s="2"/>
      <x:c r="N2" s="2"/>
      <x:c r="O2" s="2"/>
      <x:c r="P2" s="2"/>
    </x:row>
    <x:row r="3" ht="23" customHeight="1">
      <x:c r="A3" s="4"/>
      <x:c r="B3" s="4"/>
      <x:c r="C3" s="4"/>
      <x:c r="D3" s="4"/>
      <x:c r="E3" s="4"/>
      <x:c r="F3" s="4"/>
      <x:c r="G3" s="4"/>
      <x:c r="H3" s="4"/>
      <x:c r="I3" s="4"/>
      <x:c r="J3" s="4"/>
      <x:c r="K3" s="4"/>
      <x:c r="L3" s="4"/>
      <x:c r="M3" s="4"/>
      <x:c r="N3" s="4"/>
      <x:c r="O3" s="4"/>
      <x:c r="P3" s="4"/>
    </x:row>
    <x:row r="4" ht="23" customHeight="1">
      <x:c r="A4" s="2" t="str">
        <x:v>Source : Lille_TDB QSE.xlsm. Saisie jaune, calculs gris. 500 lignes extensibles. Filtrer Ville.</x:v>
      </x:c>
      <x:c r="B4" s="2"/>
      <x:c r="C4" s="2"/>
      <x:c r="D4" s="2"/>
      <x:c r="E4" s="2"/>
      <x:c r="F4" s="2"/>
      <x:c r="G4" s="2"/>
      <x:c r="H4" s="2"/>
      <x:c r="I4" s="2"/>
      <x:c r="J4" s="2"/>
      <x:c r="K4" s="2"/>
      <x:c r="L4" s="2"/>
      <x:c r="M4" s="2"/>
      <x:c r="N4" s="2"/>
      <x:c r="O4" s="2"/>
      <x:c r="P4" s="2"/>
    </x:row>
    <x:row r="5" ht="38" customHeight="1">
      <x:c r="A5" s="8" t="str">
        <x:v>Ville</x:v>
      </x:c>
      <x:c r="B5" s="8" t="str">
        <x:v>ID action</x:v>
      </x:c>
      <x:c r="C5" s="8" t="str">
        <x:v>Famille</x:v>
      </x:c>
      <x:c r="D5" s="8" t="str">
        <x:v>Origine / site</x:v>
      </x:c>
      <x:c r="E5" s="8" t="str">
        <x:v>Ouverture</x:v>
      </x:c>
      <x:c r="F5" s="8" t="str">
        <x:v>Problème</x:v>
      </x:c>
      <x:c r="G5" s="8" t="str">
        <x:v>Action à réaliser</x:v>
      </x:c>
      <x:c r="H5" s="8" t="str">
        <x:v>Responsable</x:v>
      </x:c>
      <x:c r="I5" s="8" t="str">
        <x:v>Échéance</x:v>
      </x:c>
      <x:c r="J5" s="8" t="str">
        <x:v>Réalisation</x:v>
      </x:c>
      <x:c r="K5" s="8" t="str">
        <x:v>Évaluation</x:v>
      </x:c>
      <x:c r="L5" s="8" t="str">
        <x:v>Preuves / observations</x:v>
      </x:c>
      <x:c r="M5" s="8" t="str">
        <x:v>Avancement calculé</x:v>
      </x:c>
      <x:c r="N5" s="8" t="str">
        <x:v>Retard (jours)</x:v>
      </x:c>
      <x:c r="O5" s="8" t="str">
        <x:v>Source</x:v>
      </x:c>
      <x:c r="P5" s="8" t="str">
        <x:v>Contrôle saisie</x:v>
      </x:c>
    </x:row>
    <x:row r="6" ht="48" customHeight="1">
      <x:c r="A6" s="9" t="str">
        <x:v>Lille</x:v>
      </x:c>
      <x:c r="B6" s="9" t="str">
        <x:v>AP-001</x:v>
      </x:c>
      <x:c r="C6" s="9" t="str">
        <x:v>Processus</x:v>
      </x:c>
      <x:c r="D6" s="9" t="str">
        <x:v>Audit Processus S2</x:v>
      </x:c>
      <x:c r="E6" s="11" t="n">
        <x:v>45658</x:v>
      </x:c>
      <x:c r="F6" s="13" t="str">
        <x:v>Plans de prévention</x:v>
      </x:c>
      <x:c r="G6" s="13" t="str">
        <x:v>Rechercher et intègrer tous les plans de prévention sur la feuille "Suivi PdP"</x:v>
      </x:c>
      <x:c r="H6" s="9" t="str">
        <x:v>Chef d'agence et CMQSE</x:v>
      </x:c>
      <x:c r="I6" s="11" t="n">
        <x:v>46022</x:v>
      </x:c>
      <x:c r="J6" s="11" t="n">
        <x:v>45900</x:v>
      </x:c>
      <x:c r="K6" s="9"/>
      <x:c r="L6" s="13" t="str">
        <x:v>Pdp en cours d'acquisition, ils ont été faits juste récupérer puis refaire si besoin</x:v>
      </x:c>
      <x:c r="M6" s="12" t="str">
        <x:f>IF(A6="","",IF(G6="","À compléter",IF(AND(ISNUMBER(J6),J6&lt;='Tableau de bord'!$F$5),"Réalisée",IF(I6="","À compléter",IF(I6&lt;'Tableau de bord'!$F$5,"Retard","À venir")))))</x:f>
        <x:v>Réalisée</x:v>
      </x:c>
      <x:c r="N6" s="12" t="n">
        <x:f>IF(OR(A6="",I6=""),"",IF(M6="Retard",'Tableau de bord'!$F$5-I6,0))</x:f>
        <x:v>0</x:v>
      </x:c>
      <x:c r="O6" s="9" t="str">
        <x:v>Plan d'actions!A16:L16</x:v>
      </x:c>
      <x:c r="P6" s="12" t="str">
        <x:f>IF(A6="","",IF(OR(B6="",G6="",H6="",E6=""),"À compléter",IF(COUNTIFS($A$6:$A$505,A6,$B$6:$B$505,B6)&gt;1,"Doublon ID",IF(AND(ISNUMBER(J6),J6&lt;E6),"Incohérent",""))))</x:f>
      </x:c>
    </x:row>
    <x:row r="7" ht="48" customHeight="1">
      <x:c r="A7" s="9" t="str">
        <x:v>Lille</x:v>
      </x:c>
      <x:c r="B7" s="9" t="str">
        <x:v>AP-002</x:v>
      </x:c>
      <x:c r="C7" s="9" t="str">
        <x:v>Processus</x:v>
      </x:c>
      <x:c r="D7" s="9" t="str">
        <x:v>Audit Processus S2</x:v>
      </x:c>
      <x:c r="E7" s="11" t="n">
        <x:v>45658</x:v>
      </x:c>
      <x:c r="F7" s="13" t="str">
        <x:v>Suivi des sinistres</x:v>
      </x:c>
      <x:c r="G7" s="13" t="str">
        <x:v>Etablir un suivi de la sinistralité avec des étapes</x:v>
      </x:c>
      <x:c r="H7" s="9" t="str">
        <x:v>CMQSE/CDS/CA</x:v>
      </x:c>
      <x:c r="I7" s="11" t="n">
        <x:v>46022</x:v>
      </x:c>
      <x:c r="J7" s="11" t="n">
        <x:v>45929</x:v>
      </x:c>
      <x:c r="K7" s="9"/>
      <x:c r="L7" s="13" t="str">
        <x:v>Lorsqu'il y a un AT, prévoir sous 15j une date de réunion avec le CSSCT + analyse déjà produite</x:v>
      </x:c>
      <x:c r="M7" s="12" t="str">
        <x:f>IF(A7="","",IF(G7="","À compléter",IF(AND(ISNUMBER(J7),J7&lt;='Tableau de bord'!$F$5),"Réalisée",IF(I7="","À compléter",IF(I7&lt;'Tableau de bord'!$F$5,"Retard","À venir")))))</x:f>
        <x:v>Réalisée</x:v>
      </x:c>
      <x:c r="N7" s="12" t="n">
        <x:f>IF(OR(A7="",I7=""),"",IF(M7="Retard",'Tableau de bord'!$F$5-I7,0))</x:f>
        <x:v>0</x:v>
      </x:c>
      <x:c r="O7" s="9" t="str">
        <x:v>Plan d'actions!A17:L17</x:v>
      </x:c>
      <x:c r="P7" s="12" t="str">
        <x:f>IF(A7="","",IF(OR(B7="",G7="",H7="",E7=""),"À compléter",IF(COUNTIFS($A$6:$A$505,A7,$B$6:$B$505,B7)&gt;1,"Doublon ID",IF(AND(ISNUMBER(J7),J7&lt;E7),"Incohérent",""))))</x:f>
      </x:c>
    </x:row>
    <x:row r="8" ht="55" customHeight="1">
      <x:c r="A8" s="9" t="str">
        <x:v>Lille</x:v>
      </x:c>
      <x:c r="B8" s="9" t="str">
        <x:v>AP-003</x:v>
      </x:c>
      <x:c r="C8" s="9" t="str">
        <x:v>Processus</x:v>
      </x:c>
      <x:c r="D8" s="9" t="str">
        <x:v>Audit Processus S1 2025</x:v>
      </x:c>
      <x:c r="E8" s="11" t="n">
        <x:v>45769</x:v>
      </x:c>
      <x:c r="F8" s="13" t="str">
        <x:v>La dernière vérification des extincteurs remonte au 26/04/2022, soit plus de deux ans sans contrôle, ce qui constitue une non-conformité réglementaire en matière de sécurité incendie.</x:v>
      </x:c>
      <x:c r="G8" s="13" t="str">
        <x:v>Prendre rendez-vous et demander une VPO EXT</x:v>
      </x:c>
      <x:c r="H8" s="9" t="str">
        <x:v>CA et Aag</x:v>
      </x:c>
      <x:c r="I8" s="11" t="n">
        <x:v>45961</x:v>
      </x:c>
      <x:c r="J8" s="11"/>
      <x:c r="K8" s="9"/>
      <x:c r="L8" s="13"/>
      <x:c r="M8" s="12" t="str">
        <x:f>IF(A8="","",IF(G8="","À compléter",IF(AND(ISNUMBER(J8),J8&lt;='Tableau de bord'!$F$5),"Réalisée",IF(I8="","À compléter",IF(I8&lt;'Tableau de bord'!$F$5,"Retard","À venir")))))</x:f>
        <x:v>Retard</x:v>
      </x:c>
      <x:c r="N8" s="12" t="n">
        <x:f>IF(OR(A8="",I8=""),"",IF(M8="Retard",'Tableau de bord'!$F$5-I8,0))</x:f>
        <x:v>318</x:v>
      </x:c>
      <x:c r="O8" s="9" t="str">
        <x:v>Plan d'actions!A18:L18</x:v>
      </x:c>
      <x:c r="P8" s="12" t="str">
        <x:f>IF(A8="","",IF(OR(B8="",G8="",H8="",E8=""),"À compléter",IF(COUNTIFS($A$6:$A$505,A8,$B$6:$B$505,B8)&gt;1,"Doublon ID",IF(AND(ISNUMBER(J8),J8&lt;E8),"Incohérent",""))))</x:f>
      </x:c>
    </x:row>
    <x:row r="9" ht="48" customHeight="1">
      <x:c r="A9" s="9" t="str">
        <x:v>Lille</x:v>
      </x:c>
      <x:c r="B9" s="9" t="str">
        <x:v>AP-004</x:v>
      </x:c>
      <x:c r="C9" s="9" t="str">
        <x:v>Processus</x:v>
      </x:c>
      <x:c r="D9" s="9" t="str">
        <x:v>Audit Processus S1 2025</x:v>
      </x:c>
      <x:c r="E9" s="11" t="n">
        <x:v>45769</x:v>
      </x:c>
      <x:c r="F9" s="13" t="str">
        <x:v>Le CRM n'est pas complété, ni pris en main, ni suivi par l’ensemble de l'agence</x:v>
      </x:c>
      <x:c r="G9" s="13" t="str">
        <x:v>Demander à Grégory Alborghetti les accès pour les salariés dont l'accès n'est pas disponible.</x:v>
      </x:c>
      <x:c r="H9" s="9" t="str">
        <x:v>CA et Aag</x:v>
      </x:c>
      <x:c r="I9" s="11" t="n">
        <x:v>45930</x:v>
      </x:c>
      <x:c r="J9" s="11" t="n">
        <x:v>45912</x:v>
      </x:c>
      <x:c r="K9" s="9"/>
      <x:c r="L9" s="13"/>
      <x:c r="M9" s="12" t="str">
        <x:f>IF(A9="","",IF(G9="","À compléter",IF(AND(ISNUMBER(J9),J9&lt;='Tableau de bord'!$F$5),"Réalisée",IF(I9="","À compléter",IF(I9&lt;'Tableau de bord'!$F$5,"Retard","À venir")))))</x:f>
        <x:v>Réalisée</x:v>
      </x:c>
      <x:c r="N9" s="12" t="n">
        <x:f>IF(OR(A9="",I9=""),"",IF(M9="Retard",'Tableau de bord'!$F$5-I9,0))</x:f>
        <x:v>0</x:v>
      </x:c>
      <x:c r="O9" s="9" t="str">
        <x:v>Plan d'actions!A19:L19</x:v>
      </x:c>
      <x:c r="P9" s="12" t="str">
        <x:f>IF(A9="","",IF(OR(B9="",G9="",H9="",E9=""),"À compléter",IF(COUNTIFS($A$6:$A$505,A9,$B$6:$B$505,B9)&gt;1,"Doublon ID",IF(AND(ISNUMBER(J9),J9&lt;E9),"Incohérent",""))))</x:f>
      </x:c>
    </x:row>
    <x:row r="10" ht="55" customHeight="1">
      <x:c r="A10" s="9" t="str">
        <x:v>Lille</x:v>
      </x:c>
      <x:c r="B10" s="9" t="str">
        <x:v>AP-005</x:v>
      </x:c>
      <x:c r="C10" s="9" t="str">
        <x:v>Processus</x:v>
      </x:c>
      <x:c r="D10" s="9" t="str">
        <x:v>Audit Processus S1 2025</x:v>
      </x:c>
      <x:c r="E10" s="11" t="n">
        <x:v>45769</x:v>
      </x:c>
      <x:c r="F10" s="13" t="str">
        <x:v>Dans le local de stockage, tous les produits ne sont pas placés sur des bacs de rétention et l'affichage de compatibilité des produits est absente</x:v>
      </x:c>
      <x:c r="G10" s="13" t="str">
        <x:v>Bacs de rétentions achetés et local de stockage rangé.</x:v>
      </x:c>
      <x:c r="H10" s="9" t="str">
        <x:v>CA et Aag</x:v>
      </x:c>
      <x:c r="I10" s="11" t="n">
        <x:v>45961</x:v>
      </x:c>
      <x:c r="J10" s="11"/>
      <x:c r="K10" s="9"/>
      <x:c r="L10" s="13"/>
      <x:c r="M10" s="12" t="str">
        <x:f>IF(A10="","",IF(G10="","À compléter",IF(AND(ISNUMBER(J10),J10&lt;='Tableau de bord'!$F$5),"Réalisée",IF(I10="","À compléter",IF(I10&lt;'Tableau de bord'!$F$5,"Retard","À venir")))))</x:f>
        <x:v>Retard</x:v>
      </x:c>
      <x:c r="N10" s="12" t="n">
        <x:f>IF(OR(A10="",I10=""),"",IF(M10="Retard",'Tableau de bord'!$F$5-I10,0))</x:f>
        <x:v>318</x:v>
      </x:c>
      <x:c r="O10" s="9" t="str">
        <x:v>Plan d'actions!A20:L20</x:v>
      </x:c>
      <x:c r="P10" s="12" t="str">
        <x:f>IF(A10="","",IF(OR(B10="",G10="",H10="",E10=""),"À compléter",IF(COUNTIFS($A$6:$A$505,A10,$B$6:$B$505,B10)&gt;1,"Doublon ID",IF(AND(ISNUMBER(J10),J10&lt;E10),"Incohérent",""))))</x:f>
      </x:c>
    </x:row>
    <x:row r="11" ht="70" customHeight="1">
      <x:c r="A11" s="9" t="str">
        <x:v>Lille</x:v>
      </x:c>
      <x:c r="B11" s="9" t="str">
        <x:v>AP-006</x:v>
      </x:c>
      <x:c r="C11" s="9" t="str">
        <x:v>Processus</x:v>
      </x:c>
      <x:c r="D11" s="9" t="str">
        <x:v>Audit Processus S1 2025</x:v>
      </x:c>
      <x:c r="E11" s="11" t="n">
        <x:v>45769</x:v>
      </x:c>
      <x:c r="F11" s="13" t="str">
        <x:v>Certains accidents du travail n’ont pas été saisis dans l’outil Acciline+. 
Ce défaut de déclaration nuit à la fiabilité des données de suivi et affaiblit la capacité de pilotage du système de management de la santé et de la sécurité au travail.</x:v>
      </x:c>
      <x:c r="G11" s="13" t="str">
        <x:v>Refaire une passes sur tous les AT depuis le début de l'année et revoir s'il y a des oublis</x:v>
      </x:c>
      <x:c r="H11" s="9" t="str">
        <x:v>CA et Aag</x:v>
      </x:c>
      <x:c r="I11" s="11" t="n">
        <x:v>45900</x:v>
      </x:c>
      <x:c r="J11" s="11" t="n">
        <x:v>45900</x:v>
      </x:c>
      <x:c r="K11" s="9"/>
      <x:c r="L11" s="13" t="str">
        <x:v>Les déclarations sont suivis et à jour. </x:v>
      </x:c>
      <x:c r="M11" s="12" t="str">
        <x:f>IF(A11="","",IF(G11="","À compléter",IF(AND(ISNUMBER(J11),J11&lt;='Tableau de bord'!$F$5),"Réalisée",IF(I11="","À compléter",IF(I11&lt;'Tableau de bord'!$F$5,"Retard","À venir")))))</x:f>
        <x:v>Réalisée</x:v>
      </x:c>
      <x:c r="N11" s="12" t="n">
        <x:f>IF(OR(A11="",I11=""),"",IF(M11="Retard",'Tableau de bord'!$F$5-I11,0))</x:f>
        <x:v>0</x:v>
      </x:c>
      <x:c r="O11" s="9" t="str">
        <x:v>Plan d'actions!A21:L21</x:v>
      </x:c>
      <x:c r="P11" s="12" t="str">
        <x:f>IF(A11="","",IF(OR(B11="",G11="",H11="",E11=""),"À compléter",IF(COUNTIFS($A$6:$A$505,A11,$B$6:$B$505,B11)&gt;1,"Doublon ID",IF(AND(ISNUMBER(J11),J11&lt;E11),"Incohérent",""))))</x:f>
      </x:c>
    </x:row>
    <x:row r="12" ht="70" customHeight="1">
      <x:c r="A12" s="9" t="str">
        <x:v>Lille</x:v>
      </x:c>
      <x:c r="B12" s="9" t="str">
        <x:v>AP-007</x:v>
      </x:c>
      <x:c r="C12" s="9" t="str">
        <x:v>Processus</x:v>
      </x:c>
      <x:c r="D12" s="9" t="str">
        <x:v>Audit Processus S1 2025</x:v>
      </x:c>
      <x:c r="E12" s="11" t="n">
        <x:v>45769</x:v>
      </x:c>
      <x:c r="F12" s="13" t="str">
        <x:v>La PRO_RH_salariés étrangers est partiellement respectée. 7 salariés hors Union Européenne présentent actuellement un titre de séjour expiré, sans que les mesures prévues n’aient été mises en œuvre.</x:v>
      </x:c>
      <x:c r="G12" s="13" t="str">
        <x:v>Mettre en place un processus de vérification pour s'assurer du bon suivi des titre de séjour des salariés étrangers. Régulariser les situations iirégulières.</x:v>
      </x:c>
      <x:c r="H12" s="9" t="str">
        <x:v>CA et Aag</x:v>
      </x:c>
      <x:c r="I12" s="11" t="n">
        <x:v>45930</x:v>
      </x:c>
      <x:c r="J12" s="11" t="n">
        <x:v>45929</x:v>
      </x:c>
      <x:c r="K12" s="9"/>
      <x:c r="L12" s="13" t="str">
        <x:v>Méthodologie de vérification mensuelle.</x:v>
      </x:c>
      <x:c r="M12" s="12" t="str">
        <x:f>IF(A12="","",IF(G12="","À compléter",IF(AND(ISNUMBER(J12),J12&lt;='Tableau de bord'!$F$5),"Réalisée",IF(I12="","À compléter",IF(I12&lt;'Tableau de bord'!$F$5,"Retard","À venir")))))</x:f>
        <x:v>Réalisée</x:v>
      </x:c>
      <x:c r="N12" s="12" t="n">
        <x:f>IF(OR(A12="",I12=""),"",IF(M12="Retard",'Tableau de bord'!$F$5-I12,0))</x:f>
        <x:v>0</x:v>
      </x:c>
      <x:c r="O12" s="9" t="str">
        <x:v>Plan d'actions!A22:L22</x:v>
      </x:c>
      <x:c r="P12" s="12" t="str">
        <x:f>IF(A12="","",IF(OR(B12="",G12="",H12="",E12=""),"À compléter",IF(COUNTIFS($A$6:$A$505,A12,$B$6:$B$505,B12)&gt;1,"Doublon ID",IF(AND(ISNUMBER(J12),J12&lt;E12),"Incohérent",""))))</x:f>
      </x:c>
    </x:row>
    <x:row r="13" ht="48" customHeight="1">
      <x:c r="A13" s="9" t="str">
        <x:v>Lille</x:v>
      </x:c>
      <x:c r="B13" s="9" t="str">
        <x:v>AP-008</x:v>
      </x:c>
      <x:c r="C13" s="9" t="str">
        <x:v>Processus</x:v>
      </x:c>
      <x:c r="D13" s="9" t="str">
        <x:v>Audit Processus S1 2025</x:v>
      </x:c>
      <x:c r="E13" s="11" t="n">
        <x:v>45769</x:v>
      </x:c>
      <x:c r="F13" s="13" t="str">
        <x:v>La dernière restriction en date de février 2025 (Site LFB) n'a pas été signée des deux parties ni enregistrée</x:v>
      </x:c>
      <x:c r="G13" s="13" t="str">
        <x:v>Faire signer et enregistrer toutes les restrictions médicales  obtenues et les prochaines 48h maximum après réception.</x:v>
      </x:c>
      <x:c r="H13" s="9" t="str">
        <x:v>CA et Aag</x:v>
      </x:c>
      <x:c r="I13" s="11" t="n">
        <x:v>45930</x:v>
      </x:c>
      <x:c r="J13" s="11"/>
      <x:c r="K13" s="9"/>
      <x:c r="L13" s="13" t="str">
        <x:v>La dernière restriction n'es pas enregitrée car absence du salarié.</x:v>
      </x:c>
      <x:c r="M13" s="12" t="str">
        <x:f>IF(A13="","",IF(G13="","À compléter",IF(AND(ISNUMBER(J13),J13&lt;='Tableau de bord'!$F$5),"Réalisée",IF(I13="","À compléter",IF(I13&lt;'Tableau de bord'!$F$5,"Retard","À venir")))))</x:f>
        <x:v>Retard</x:v>
      </x:c>
      <x:c r="N13" s="12" t="n">
        <x:f>IF(OR(A13="",I13=""),"",IF(M13="Retard",'Tableau de bord'!$F$5-I13,0))</x:f>
        <x:v>349</x:v>
      </x:c>
      <x:c r="O13" s="9" t="str">
        <x:v>Plan d'actions!A23:L23</x:v>
      </x:c>
      <x:c r="P13" s="12" t="str">
        <x:f>IF(A13="","",IF(OR(B13="",G13="",H13="",E13=""),"À compléter",IF(COUNTIFS($A$6:$A$505,A13,$B$6:$B$505,B13)&gt;1,"Doublon ID",IF(AND(ISNUMBER(J13),J13&lt;E13),"Incohérent",""))))</x:f>
      </x:c>
    </x:row>
    <x:row r="14" ht="48" customHeight="1">
      <x:c r="A14" s="9" t="str">
        <x:v>Lille</x:v>
      </x:c>
      <x:c r="B14" s="9" t="str">
        <x:v>AP-009</x:v>
      </x:c>
      <x:c r="C14" s="9" t="str">
        <x:v>Processus</x:v>
      </x:c>
      <x:c r="D14" s="9" t="str">
        <x:v>Audit Processus S1 2025</x:v>
      </x:c>
      <x:c r="E14" s="11" t="n">
        <x:v>45769</x:v>
      </x:c>
      <x:c r="F14" s="13" t="str">
        <x:v>À la suite de l’attaque informatique ayant impacté l’agence, les données du tableau de bord QSE sont partiellement à jour.</x:v>
      </x:c>
      <x:c r="G14" s="13" t="str">
        <x:v>Suivre le TdB QSE mis à disposition et le maintenir à jour.</x:v>
      </x:c>
      <x:c r="H14" s="9" t="str">
        <x:v>CMQSE/CDS/CA/Aag</x:v>
      </x:c>
      <x:c r="I14" s="11" t="n">
        <x:v>45930</x:v>
      </x:c>
      <x:c r="J14" s="11" t="n">
        <x:v>45929</x:v>
      </x:c>
      <x:c r="K14" s="9"/>
      <x:c r="L14" s="13"/>
      <x:c r="M14" s="12" t="str">
        <x:f>IF(A14="","",IF(G14="","À compléter",IF(AND(ISNUMBER(J14),J14&lt;='Tableau de bord'!$F$5),"Réalisée",IF(I14="","À compléter",IF(I14&lt;'Tableau de bord'!$F$5,"Retard","À venir")))))</x:f>
        <x:v>Réalisée</x:v>
      </x:c>
      <x:c r="N14" s="12" t="n">
        <x:f>IF(OR(A14="",I14=""),"",IF(M14="Retard",'Tableau de bord'!$F$5-I14,0))</x:f>
        <x:v>0</x:v>
      </x:c>
      <x:c r="O14" s="9" t="str">
        <x:v>Plan d'actions!A24:L24</x:v>
      </x:c>
      <x:c r="P14" s="12" t="str">
        <x:f>IF(A14="","",IF(OR(B14="",G14="",H14="",E14=""),"À compléter",IF(COUNTIFS($A$6:$A$505,A14,$B$6:$B$505,B14)&gt;1,"Doublon ID",IF(AND(ISNUMBER(J14),J14&lt;E14),"Incohérent",""))))</x:f>
      </x:c>
    </x:row>
    <x:row r="15" ht="85" customHeight="1">
      <x:c r="A15" s="9" t="str">
        <x:v>Lille</x:v>
      </x:c>
      <x:c r="B15" s="9" t="str">
        <x:v>AP-010</x:v>
      </x:c>
      <x:c r="C15" s="9" t="str">
        <x:v>Processus</x:v>
      </x:c>
      <x:c r="D15" s="9" t="str">
        <x:v>Audit Processus S1 2025</x:v>
      </x:c>
      <x:c r="E15" s="11" t="n">
        <x:v>45769</x:v>
      </x:c>
      <x:c r="F15" s="13" t="str">
        <x:v>Sur l’année 2024, trois accidents du travail sur cinq n’ont pas fait l’objet d’une analyse formalisée. Cette carence limite l’identification des causes profondes et freine la mise en œuvre d’actions correctives pertinentes, compromettant ainsi l’efficacité de la démarche de prévention des risques professionnels. </x:v>
      </x:c>
      <x:c r="G15" s="13" t="str">
        <x:v>Corriger le tir en formalisant les analyses accidents de cette année 2025.</x:v>
      </x:c>
      <x:c r="H15" s="9" t="str">
        <x:v>CMQSE/CDS/CA</x:v>
      </x:c>
      <x:c r="I15" s="11" t="n">
        <x:v>45930</x:v>
      </x:c>
      <x:c r="J15" s="11" t="n">
        <x:v>45929</x:v>
      </x:c>
      <x:c r="K15" s="9"/>
      <x:c r="L15" s="13"/>
      <x:c r="M15" s="12" t="str">
        <x:f>IF(A15="","",IF(G15="","À compléter",IF(AND(ISNUMBER(J15),J15&lt;='Tableau de bord'!$F$5),"Réalisée",IF(I15="","À compléter",IF(I15&lt;'Tableau de bord'!$F$5,"Retard","À venir")))))</x:f>
        <x:v>Réalisée</x:v>
      </x:c>
      <x:c r="N15" s="12" t="n">
        <x:f>IF(OR(A15="",I15=""),"",IF(M15="Retard",'Tableau de bord'!$F$5-I15,0))</x:f>
        <x:v>0</x:v>
      </x:c>
      <x:c r="O15" s="9" t="str">
        <x:v>Plan d'actions!A25:L25</x:v>
      </x:c>
      <x:c r="P15" s="12" t="str">
        <x:f>IF(A15="","",IF(OR(B15="",G15="",H15="",E15=""),"À compléter",IF(COUNTIFS($A$6:$A$505,A15,$B$6:$B$505,B15)&gt;1,"Doublon ID",IF(AND(ISNUMBER(J15),J15&lt;E15),"Incohérent",""))))</x:f>
      </x:c>
    </x:row>
    <x:row r="16" ht="55" customHeight="1">
      <x:c r="A16" s="9" t="str">
        <x:v>Lille</x:v>
      </x:c>
      <x:c r="B16" s="9" t="str">
        <x:v>AP-011</x:v>
      </x:c>
      <x:c r="C16" s="9" t="str">
        <x:v>Processus</x:v>
      </x:c>
      <x:c r="D16" s="9" t="str">
        <x:v>Audit Processus S1 2026</x:v>
      </x:c>
      <x:c r="E16" s="11" t="n">
        <x:v>46055</x:v>
      </x:c>
      <x:c r="F16" s="13" t="str">
        <x:v>Non formalisation d’un plan d’actions, pour répondre aux observations du dernier rapport APAVE sur la vérification des installations électriques.</x:v>
      </x:c>
      <x:c r="G16" s="13" t="str">
        <x:v>à chaque compte rendu de l'apave, l'inscrire sur le TdB QSE.</x:v>
      </x:c>
      <x:c r="H16" s="9" t="str">
        <x:v>CMQSE</x:v>
      </x:c>
      <x:c r="I16" s="11" t="n">
        <x:v>46387</x:v>
      </x:c>
      <x:c r="J16" s="11"/>
      <x:c r="K16" s="9"/>
      <x:c r="L16" s="13"/>
      <x:c r="M16" s="12" t="str">
        <x:f>IF(A16="","",IF(G16="","À compléter",IF(AND(ISNUMBER(J16),J16&lt;='Tableau de bord'!$F$5),"Réalisée",IF(I16="","À compléter",IF(I16&lt;'Tableau de bord'!$F$5,"Retard","À venir")))))</x:f>
        <x:v>À venir</x:v>
      </x:c>
      <x:c r="N16" s="12" t="n">
        <x:f>IF(OR(A16="",I16=""),"",IF(M16="Retard",'Tableau de bord'!$F$5-I16,0))</x:f>
        <x:v>0</x:v>
      </x:c>
      <x:c r="O16" s="9" t="str">
        <x:v>Plan d'actions!A26:L26</x:v>
      </x:c>
      <x:c r="P16" s="12" t="str">
        <x:f>IF(A16="","",IF(OR(B16="",G16="",H16="",E16=""),"À compléter",IF(COUNTIFS($A$6:$A$505,A16,$B$6:$B$505,B16)&gt;1,"Doublon ID",IF(AND(ISNUMBER(J16),J16&lt;E16),"Incohérent",""))))</x:f>
      </x:c>
    </x:row>
    <x:row r="17" ht="48" customHeight="1">
      <x:c r="A17" s="9" t="str">
        <x:v>Lille</x:v>
      </x:c>
      <x:c r="B17" s="9" t="str">
        <x:v>AP-012</x:v>
      </x:c>
      <x:c r="C17" s="9" t="str">
        <x:v>Processus</x:v>
      </x:c>
      <x:c r="D17" s="9" t="str">
        <x:v>Audit Processus S1 2026</x:v>
      </x:c>
      <x:c r="E17" s="11" t="n">
        <x:v>46055</x:v>
      </x:c>
      <x:c r="F17" s="13" t="str">
        <x:v>3 restrictions sont en attentes de retour des CDS.</x:v>
      </x:c>
      <x:c r="G17" s="13" t="str">
        <x:v>Lors de la visite des agents, faire signer les restrictions.</x:v>
      </x:c>
      <x:c r="H17" s="9" t="str">
        <x:v>CdS</x:v>
      </x:c>
      <x:c r="I17" s="11" t="n">
        <x:v>46142</x:v>
      </x:c>
      <x:c r="J17" s="11" t="n">
        <x:v>46142</x:v>
      </x:c>
      <x:c r="K17" s="9"/>
      <x:c r="L17" s="13"/>
      <x:c r="M17" s="12" t="str">
        <x:f>IF(A17="","",IF(G17="","À compléter",IF(AND(ISNUMBER(J17),J17&lt;='Tableau de bord'!$F$5),"Réalisée",IF(I17="","À compléter",IF(I17&lt;'Tableau de bord'!$F$5,"Retard","À venir")))))</x:f>
        <x:v>Réalisée</x:v>
      </x:c>
      <x:c r="N17" s="12" t="n">
        <x:f>IF(OR(A17="",I17=""),"",IF(M17="Retard",'Tableau de bord'!$F$5-I17,0))</x:f>
        <x:v>0</x:v>
      </x:c>
      <x:c r="O17" s="9" t="str">
        <x:v>Plan d'actions!A27:L27</x:v>
      </x:c>
      <x:c r="P17" s="12" t="str">
        <x:f>IF(A17="","",IF(OR(B17="",G17="",H17="",E17=""),"À compléter",IF(COUNTIFS($A$6:$A$505,A17,$B$6:$B$505,B17)&gt;1,"Doublon ID",IF(AND(ISNUMBER(J17),J17&lt;E17),"Incohérent",""))))</x:f>
      </x:c>
    </x:row>
    <x:row r="18" ht="48" customHeight="1">
      <x:c r="A18" s="9" t="str">
        <x:v>Lille</x:v>
      </x:c>
      <x:c r="B18" s="9" t="str">
        <x:v>AP-013</x:v>
      </x:c>
      <x:c r="C18" s="9" t="str">
        <x:v>Processus</x:v>
      </x:c>
      <x:c r="D18" s="9" t="str">
        <x:v>Audit Processus S1 2026</x:v>
      </x:c>
      <x:c r="E18" s="11" t="n">
        <x:v>46055</x:v>
      </x:c>
      <x:c r="F18" s="13" t="str">
        <x:v>Seules les cellules automatisées sont complétées dans la partie « indicateurs » du TDB QSE.</x:v>
      </x:c>
      <x:c r="G18" s="13" t="str">
        <x:v>Mieux remplir le TdB QSE et complèter l'onglet indicateur</x:v>
      </x:c>
      <x:c r="H18" s="9" t="str">
        <x:v>CMQSE</x:v>
      </x:c>
      <x:c r="I18" s="11" t="n">
        <x:v>46142</x:v>
      </x:c>
      <x:c r="J18" s="11"/>
      <x:c r="K18" s="9"/>
      <x:c r="L18" s="13"/>
      <x:c r="M18" s="12" t="str">
        <x:f>IF(A18="","",IF(G18="","À compléter",IF(AND(ISNUMBER(J18),J18&lt;='Tableau de bord'!$F$5),"Réalisée",IF(I18="","À compléter",IF(I18&lt;'Tableau de bord'!$F$5,"Retard","À venir")))))</x:f>
        <x:v>Retard</x:v>
      </x:c>
      <x:c r="N18" s="12" t="n">
        <x:f>IF(OR(A18="",I18=""),"",IF(M18="Retard",'Tableau de bord'!$F$5-I18,0))</x:f>
        <x:v>137</x:v>
      </x:c>
      <x:c r="O18" s="9" t="str">
        <x:v>Plan d'actions!A28:L28</x:v>
      </x:c>
      <x:c r="P18" s="12" t="str">
        <x:f>IF(A18="","",IF(OR(B18="",G18="",H18="",E18=""),"À compléter",IF(COUNTIFS($A$6:$A$505,A18,$B$6:$B$505,B18)&gt;1,"Doublon ID",IF(AND(ISNUMBER(J18),J18&lt;E18),"Incohérent",""))))</x:f>
      </x:c>
    </x:row>
    <x:row r="19" ht="55" customHeight="1">
      <x:c r="A19" s="9" t="str">
        <x:v>Lille</x:v>
      </x:c>
      <x:c r="B19" s="9" t="str">
        <x:v>AP-014</x:v>
      </x:c>
      <x:c r="C19" s="9" t="str">
        <x:v>Processus</x:v>
      </x:c>
      <x:c r="D19" s="9" t="str">
        <x:v>Audit Processus S1 2026</x:v>
      </x:c>
      <x:c r="E19" s="11" t="n">
        <x:v>46055</x:v>
      </x:c>
      <x:c r="F19" s="13" t="str">
        <x:v>Tous les contacts ne sont pas renseignés dans le SCR/CRM. Cet écart ne permet d'assurer un envoi exhaustif de l'enquête de satisfaction aux clients. </x:v>
      </x:c>
      <x:c r="G19" s="13" t="str">
        <x:v>Relancer les CdS sur le remplissage des contacts et remplir au maximum les fiches contacts</x:v>
      </x:c>
      <x:c r="H19" s="9" t="str">
        <x:v>CdS</x:v>
      </x:c>
      <x:c r="I19" s="11" t="n">
        <x:v>46142</x:v>
      </x:c>
      <x:c r="J19" s="11"/>
      <x:c r="K19" s="9"/>
      <x:c r="L19" s="13"/>
      <x:c r="M19" s="12" t="str">
        <x:f>IF(A19="","",IF(G19="","À compléter",IF(AND(ISNUMBER(J19),J19&lt;='Tableau de bord'!$F$5),"Réalisée",IF(I19="","À compléter",IF(I19&lt;'Tableau de bord'!$F$5,"Retard","À venir")))))</x:f>
        <x:v>Retard</x:v>
      </x:c>
      <x:c r="N19" s="12" t="n">
        <x:f>IF(OR(A19="",I19=""),"",IF(M19="Retard",'Tableau de bord'!$F$5-I19,0))</x:f>
        <x:v>137</x:v>
      </x:c>
      <x:c r="O19" s="9" t="str">
        <x:v>Plan d'actions!A29:L29</x:v>
      </x:c>
      <x:c r="P19" s="12" t="str">
        <x:f>IF(A19="","",IF(OR(B19="",G19="",H19="",E19=""),"À compléter",IF(COUNTIFS($A$6:$A$505,A19,$B$6:$B$505,B19)&gt;1,"Doublon ID",IF(AND(ISNUMBER(J19),J19&lt;E19),"Incohérent",""))))</x:f>
      </x:c>
    </x:row>
    <x:row r="20" ht="55" customHeight="1">
      <x:c r="A20" s="9" t="str">
        <x:v>Lille</x:v>
      </x:c>
      <x:c r="B20" s="9" t="str">
        <x:v>AP-015</x:v>
      </x:c>
      <x:c r="C20" s="9" t="str">
        <x:v>Processus</x:v>
      </x:c>
      <x:c r="D20" s="9" t="str">
        <x:v>Audit Processus S1 2026</x:v>
      </x:c>
      <x:c r="E20" s="11" t="n">
        <x:v>46055</x:v>
      </x:c>
      <x:c r="F20" s="13" t="str">
        <x:v>Les réponses aux réclamations ne sont pas enregistrées dans le suivi qui est dans le TDB QSE + non respect de la procédure courrier.</x:v>
      </x:c>
      <x:c r="G20" s="13" t="str">
        <x:v>Revoir ensemble la procédure courrier et la faire respectée par tous.</x:v>
      </x:c>
      <x:c r="H20" s="9" t="str">
        <x:v>Assistantes d'agence</x:v>
      </x:c>
      <x:c r="I20" s="11" t="n">
        <x:v>46142</x:v>
      </x:c>
      <x:c r="J20" s="11"/>
      <x:c r="K20" s="9"/>
      <x:c r="L20" s="13"/>
      <x:c r="M20" s="12" t="str">
        <x:f>IF(A20="","",IF(G20="","À compléter",IF(AND(ISNUMBER(J20),J20&lt;='Tableau de bord'!$F$5),"Réalisée",IF(I20="","À compléter",IF(I20&lt;'Tableau de bord'!$F$5,"Retard","À venir")))))</x:f>
        <x:v>Retard</x:v>
      </x:c>
      <x:c r="N20" s="12" t="n">
        <x:f>IF(OR(A20="",I20=""),"",IF(M20="Retard",'Tableau de bord'!$F$5-I20,0))</x:f>
        <x:v>137</x:v>
      </x:c>
      <x:c r="O20" s="9" t="str">
        <x:v>Plan d'actions!A30:L30</x:v>
      </x:c>
      <x:c r="P20" s="12" t="str">
        <x:f>IF(A20="","",IF(OR(B20="",G20="",H20="",E20=""),"À compléter",IF(COUNTIFS($A$6:$A$505,A20,$B$6:$B$505,B20)&gt;1,"Doublon ID",IF(AND(ISNUMBER(J20),J20&lt;E20),"Incohérent",""))))</x:f>
      </x:c>
    </x:row>
    <x:row r="21" ht="48" customHeight="1">
      <x:c r="A21" s="9" t="str">
        <x:v>Lille</x:v>
      </x:c>
      <x:c r="B21" s="9" t="str">
        <x:v>AP-016</x:v>
      </x:c>
      <x:c r="C21" s="9" t="str">
        <x:v>Processus</x:v>
      </x:c>
      <x:c r="D21" s="9" t="str">
        <x:v>Audit Processus S1 2026</x:v>
      </x:c>
      <x:c r="E21" s="11" t="n">
        <x:v>46055</x:v>
      </x:c>
      <x:c r="F21" s="13" t="str">
        <x:v>Sur 6 analyses d’AT vérifiées, 4 présentaient une anomalie (absence d’analyse, Acciline partiellement implémenté, …).</x:v>
      </x:c>
      <x:c r="G21" s="13" t="str">
        <x:v>Remplir sur acciline les données manquantes</x:v>
      </x:c>
      <x:c r="H21" s="9" t="str">
        <x:v>CMQSE</x:v>
      </x:c>
      <x:c r="I21" s="11" t="n">
        <x:v>46142</x:v>
      </x:c>
      <x:c r="J21" s="11"/>
      <x:c r="K21" s="9"/>
      <x:c r="L21" s="13"/>
      <x:c r="M21" s="12" t="str">
        <x:f>IF(A21="","",IF(G21="","À compléter",IF(AND(ISNUMBER(J21),J21&lt;='Tableau de bord'!$F$5),"Réalisée",IF(I21="","À compléter",IF(I21&lt;'Tableau de bord'!$F$5,"Retard","À venir")))))</x:f>
        <x:v>Retard</x:v>
      </x:c>
      <x:c r="N21" s="12" t="n">
        <x:f>IF(OR(A21="",I21=""),"",IF(M21="Retard",'Tableau de bord'!$F$5-I21,0))</x:f>
        <x:v>137</x:v>
      </x:c>
      <x:c r="O21" s="9" t="str">
        <x:v>Plan d'actions!A31:L31</x:v>
      </x:c>
      <x:c r="P21" s="12" t="str">
        <x:f>IF(A21="","",IF(OR(B21="",G21="",H21="",E21=""),"À compléter",IF(COUNTIFS($A$6:$A$505,A21,$B$6:$B$505,B21)&gt;1,"Doublon ID",IF(AND(ISNUMBER(J21),J21&lt;E21),"Incohérent",""))))</x:f>
      </x:c>
    </x:row>
    <x:row r="22" ht="48" customHeight="1">
      <x:c r="A22" s="9" t="str">
        <x:v>Lille</x:v>
      </x:c>
      <x:c r="B22" s="9" t="str">
        <x:v>AP-017</x:v>
      </x:c>
      <x:c r="C22" s="9" t="str">
        <x:v>Processus</x:v>
      </x:c>
      <x:c r="D22" s="9" t="str">
        <x:v>Audit Processus S1 2026</x:v>
      </x:c>
      <x:c r="E22" s="11" t="n">
        <x:v>46055</x:v>
      </x:c>
      <x:c r="F22" s="13" t="str">
        <x:v>63% des PDP sont signés et 20% sont commentés aux agents.</x:v>
      </x:c>
      <x:c r="G22" s="13" t="str">
        <x:v>Relancer les CdS sur les signatures des PdP par toutes les parties.</x:v>
      </x:c>
      <x:c r="H22" s="9" t="str">
        <x:v>CdS / CA</x:v>
      </x:c>
      <x:c r="I22" s="11" t="n">
        <x:v>46142</x:v>
      </x:c>
      <x:c r="J22" s="11"/>
      <x:c r="K22" s="9"/>
      <x:c r="L22" s="13"/>
      <x:c r="M22" s="12" t="str">
        <x:f>IF(A22="","",IF(G22="","À compléter",IF(AND(ISNUMBER(J22),J22&lt;='Tableau de bord'!$F$5),"Réalisée",IF(I22="","À compléter",IF(I22&lt;'Tableau de bord'!$F$5,"Retard","À venir")))))</x:f>
        <x:v>Retard</x:v>
      </x:c>
      <x:c r="N22" s="12" t="n">
        <x:f>IF(OR(A22="",I22=""),"",IF(M22="Retard",'Tableau de bord'!$F$5-I22,0))</x:f>
        <x:v>137</x:v>
      </x:c>
      <x:c r="O22" s="9" t="str">
        <x:v>Plan d'actions!A32:L32</x:v>
      </x:c>
      <x:c r="P22" s="12" t="str">
        <x:f>IF(A22="","",IF(OR(B22="",G22="",H22="",E22=""),"À compléter",IF(COUNTIFS($A$6:$A$505,A22,$B$6:$B$505,B22)&gt;1,"Doublon ID",IF(AND(ISNUMBER(J22),J22&lt;E22),"Incohérent",""))))</x:f>
      </x:c>
    </x:row>
    <x:row r="23" ht="48" customHeight="1">
      <x:c r="A23" s="9" t="str">
        <x:v>Lille</x:v>
      </x:c>
      <x:c r="B23" s="9" t="str">
        <x:v>AC-001</x:v>
      </x:c>
      <x:c r="C23" s="9" t="str">
        <x:v>Audit chantier</x:v>
      </x:c>
      <x:c r="D23" s="9" t="str">
        <x:v>Crédit mutuel</x:v>
      </x:c>
      <x:c r="E23" s="11" t="n">
        <x:v>45721</x:v>
      </x:c>
      <x:c r="F23" s="13" t="str">
        <x:v>Les documents réglmentaires ne sont pas à disposition pour les agents.</x:v>
      </x:c>
      <x:c r="G23" s="13" t="str">
        <x:v>Mettre un classeur QSE sur site.</x:v>
      </x:c>
      <x:c r="H23" s="9" t="str">
        <x:v>Arnaud Baillieul et Christopher Momperousse</x:v>
      </x:c>
      <x:c r="I23" s="11" t="n">
        <x:v>46022</x:v>
      </x:c>
      <x:c r="J23" s="11" t="n">
        <x:v>46001</x:v>
      </x:c>
      <x:c r="K23" s="9" t="str">
        <x:v>Efficace</x:v>
      </x:c>
      <x:c r="L23" s="13"/>
      <x:c r="M23" s="12" t="str">
        <x:f>IF(A23="","",IF(G23="","À compléter",IF(AND(ISNUMBER(J23),J23&lt;='Tableau de bord'!$F$5),"Réalisée",IF(I23="","À compléter",IF(I23&lt;'Tableau de bord'!$F$5,"Retard","À venir")))))</x:f>
        <x:v>Réalisée</x:v>
      </x:c>
      <x:c r="N23" s="12" t="n">
        <x:f>IF(OR(A23="",I23=""),"",IF(M23="Retard",'Tableau de bord'!$F$5-I23,0))</x:f>
        <x:v>0</x:v>
      </x:c>
      <x:c r="O23" s="9" t="str">
        <x:v>Plan d'actions - Audit chantier!A16:L16</x:v>
      </x:c>
      <x:c r="P23" s="12" t="str">
        <x:f>IF(A23="","",IF(OR(B23="",G23="",H23="",E23=""),"À compléter",IF(COUNTIFS($A$6:$A$505,A23,$B$6:$B$505,B23)&gt;1,"Doublon ID",IF(AND(ISNUMBER(J23),J23&lt;E23),"Incohérent",""))))</x:f>
      </x:c>
    </x:row>
    <x:row r="24" ht="48" customHeight="1">
      <x:c r="A24" s="9" t="str">
        <x:v>Lille</x:v>
      </x:c>
      <x:c r="B24" s="9" t="str">
        <x:v>AC-002</x:v>
      </x:c>
      <x:c r="C24" s="9" t="str">
        <x:v>Audit chantier</x:v>
      </x:c>
      <x:c r="D24" s="9" t="str">
        <x:v>Crédit mutuel</x:v>
      </x:c>
      <x:c r="E24" s="11" t="n">
        <x:v>45721</x:v>
      </x:c>
      <x:c r="F24" s="13" t="str">
        <x:v>Les causeries sont à réaliser pour communiquer aux agents les FM, Causeries QSE et informations obligatoires.</x:v>
      </x:c>
      <x:c r="G24" s="13" t="str">
        <x:v>Planifier et réaliser, les causeries 1/mois avec une priorité sur les communications réglementaires. </x:v>
      </x:c>
      <x:c r="H24" s="9" t="str">
        <x:v>Arnaud Baillieul et Christopher Momperousse</x:v>
      </x:c>
      <x:c r="I24" s="11" t="n">
        <x:v>46143</x:v>
      </x:c>
      <x:c r="J24" s="11" t="n">
        <x:v>46143</x:v>
      </x:c>
      <x:c r="K24" s="9"/>
      <x:c r="L24" s="13"/>
      <x:c r="M24" s="12" t="str">
        <x:f>IF(A24="","",IF(G24="","À compléter",IF(AND(ISNUMBER(J24),J24&lt;='Tableau de bord'!$F$5),"Réalisée",IF(I24="","À compléter",IF(I24&lt;'Tableau de bord'!$F$5,"Retard","À venir")))))</x:f>
        <x:v>Réalisée</x:v>
      </x:c>
      <x:c r="N24" s="12" t="n">
        <x:f>IF(OR(A24="",I24=""),"",IF(M24="Retard",'Tableau de bord'!$F$5-I24,0))</x:f>
        <x:v>0</x:v>
      </x:c>
      <x:c r="O24" s="9" t="str">
        <x:v>Plan d'actions - Audit chantier!A17:L17</x:v>
      </x:c>
      <x:c r="P24" s="12" t="str">
        <x:f>IF(A24="","",IF(OR(B24="",G24="",H24="",E24=""),"À compléter",IF(COUNTIFS($A$6:$A$505,A24,$B$6:$B$505,B24)&gt;1,"Doublon ID",IF(AND(ISNUMBER(J24),J24&lt;E24),"Incohérent",""))))</x:f>
      </x:c>
    </x:row>
    <x:row r="25" ht="48" customHeight="1">
      <x:c r="A25" s="9" t="str">
        <x:v>Lille</x:v>
      </x:c>
      <x:c r="B25" s="9" t="str">
        <x:v>AC-003</x:v>
      </x:c>
      <x:c r="C25" s="9" t="str">
        <x:v>Audit chantier</x:v>
      </x:c>
      <x:c r="D25" s="9" t="str">
        <x:v>Crédit mutuel</x:v>
      </x:c>
      <x:c r="E25" s="11" t="n">
        <x:v>45721</x:v>
      </x:c>
      <x:c r="F25" s="13" t="str">
        <x:v>Il manque les documents ISOR et les affichages réglementaires.</x:v>
      </x:c>
      <x:c r="G25" s="13" t="str">
        <x:v>Ajouter les documents manquants (voir grille d'audit) et afficher le règlement intérieur ISOR, ISOR attitude, affichage obligatoire, et autres…</x:v>
      </x:c>
      <x:c r="H25" s="9" t="str">
        <x:v>Arnaud Baillieul et Christopher Momperousse</x:v>
      </x:c>
      <x:c r="I25" s="11" t="n">
        <x:v>46022</x:v>
      </x:c>
      <x:c r="J25" s="11" t="n">
        <x:v>46001</x:v>
      </x:c>
      <x:c r="K25" s="9" t="str">
        <x:v>Efficace</x:v>
      </x:c>
      <x:c r="L25" s="13"/>
      <x:c r="M25" s="12" t="str">
        <x:f>IF(A25="","",IF(G25="","À compléter",IF(AND(ISNUMBER(J25),J25&lt;='Tableau de bord'!$F$5),"Réalisée",IF(I25="","À compléter",IF(I25&lt;'Tableau de bord'!$F$5,"Retard","À venir")))))</x:f>
        <x:v>Réalisée</x:v>
      </x:c>
      <x:c r="N25" s="12" t="n">
        <x:f>IF(OR(A25="",I25=""),"",IF(M25="Retard",'Tableau de bord'!$F$5-I25,0))</x:f>
        <x:v>0</x:v>
      </x:c>
      <x:c r="O25" s="9" t="str">
        <x:v>Plan d'actions - Audit chantier!A18:L18</x:v>
      </x:c>
      <x:c r="P25" s="12" t="str">
        <x:f>IF(A25="","",IF(OR(B25="",G25="",H25="",E25=""),"À compléter",IF(COUNTIFS($A$6:$A$505,A25,$B$6:$B$505,B25)&gt;1,"Doublon ID",IF(AND(ISNUMBER(J25),J25&lt;E25),"Incohérent",""))))</x:f>
      </x:c>
    </x:row>
    <x:row r="26" ht="48" customHeight="1">
      <x:c r="A26" s="9" t="str">
        <x:v>Lille</x:v>
      </x:c>
      <x:c r="B26" s="9" t="str">
        <x:v>AC-004</x:v>
      </x:c>
      <x:c r="C26" s="9" t="str">
        <x:v>Audit chantier</x:v>
      </x:c>
      <x:c r="D26" s="9" t="str">
        <x:v>Crédit mutuel</x:v>
      </x:c>
      <x:c r="E26" s="11" t="n">
        <x:v>45721</x:v>
      </x:c>
      <x:c r="F26" s="13" t="str">
        <x:v>Manque les EPI de rechange et fiche de remise.</x:v>
      </x:c>
      <x:c r="G26" s="13" t="str">
        <x:v>Suivre les remises d'EPI et donner les EPI de rechange.</x:v>
      </x:c>
      <x:c r="H26" s="9" t="str">
        <x:v>Arnaud Baillieul</x:v>
      </x:c>
      <x:c r="I26" s="11" t="n">
        <x:v>46022</x:v>
      </x:c>
      <x:c r="J26" s="11" t="n">
        <x:v>45778</x:v>
      </x:c>
      <x:c r="K26" s="9" t="str">
        <x:v>A revoir</x:v>
      </x:c>
      <x:c r="L26" s="13" t="str">
        <x:v>Remplir la fiche de remise des tenues.</x:v>
      </x:c>
      <x:c r="M26" s="12" t="str">
        <x:f>IF(A26="","",IF(G26="","À compléter",IF(AND(ISNUMBER(J26),J26&lt;='Tableau de bord'!$F$5),"Réalisée",IF(I26="","À compléter",IF(I26&lt;'Tableau de bord'!$F$5,"Retard","À venir")))))</x:f>
        <x:v>Réalisée</x:v>
      </x:c>
      <x:c r="N26" s="12" t="n">
        <x:f>IF(OR(A26="",I26=""),"",IF(M26="Retard",'Tableau de bord'!$F$5-I26,0))</x:f>
        <x:v>0</x:v>
      </x:c>
      <x:c r="O26" s="9" t="str">
        <x:v>Plan d'actions - Audit chantier!A19:L19</x:v>
      </x:c>
      <x:c r="P26" s="12" t="str">
        <x:f>IF(A26="","",IF(OR(B26="",G26="",H26="",E26=""),"À compléter",IF(COUNTIFS($A$6:$A$505,A26,$B$6:$B$505,B26)&gt;1,"Doublon ID",IF(AND(ISNUMBER(J26),J26&lt;E26),"Incohérent",""))))</x:f>
      </x:c>
    </x:row>
    <x:row r="27" ht="48" customHeight="1">
      <x:c r="A27" s="9" t="str">
        <x:v>Lille</x:v>
      </x:c>
      <x:c r="B27" s="9" t="str">
        <x:v>AC-005</x:v>
      </x:c>
      <x:c r="C27" s="9" t="str">
        <x:v>Audit chantier</x:v>
      </x:c>
      <x:c r="D27" s="9" t="str">
        <x:v>EFS</x:v>
      </x:c>
      <x:c r="E27" s="11" t="n">
        <x:v>45769</x:v>
      </x:c>
      <x:c r="F27" s="13" t="str">
        <x:v>Rendre inaccessible</x:v>
      </x:c>
      <x:c r="G27" s="13" t="str">
        <x:v>L'autolaveuse sur site doit être retiré par un présetataire où un membre de l'agence.</x:v>
      </x:c>
      <x:c r="H27" s="9" t="str">
        <x:v>Myriam Métro</x:v>
      </x:c>
      <x:c r="I27" s="11" t="n">
        <x:v>46022</x:v>
      </x:c>
      <x:c r="J27" s="11" t="n">
        <x:v>45839</x:v>
      </x:c>
      <x:c r="K27" s="9"/>
      <x:c r="L27" s="13"/>
      <x:c r="M27" s="12" t="str">
        <x:f>IF(A27="","",IF(G27="","À compléter",IF(AND(ISNUMBER(J27),J27&lt;='Tableau de bord'!$F$5),"Réalisée",IF(I27="","À compléter",IF(I27&lt;'Tableau de bord'!$F$5,"Retard","À venir")))))</x:f>
        <x:v>Réalisée</x:v>
      </x:c>
      <x:c r="N27" s="12" t="n">
        <x:f>IF(OR(A27="",I27=""),"",IF(M27="Retard",'Tableau de bord'!$F$5-I27,0))</x:f>
        <x:v>0</x:v>
      </x:c>
      <x:c r="O27" s="9" t="str">
        <x:v>Plan d'actions - Audit chantier!A20:L20</x:v>
      </x:c>
      <x:c r="P27" s="12" t="str">
        <x:f>IF(A27="","",IF(OR(B27="",G27="",H27="",E27=""),"À compléter",IF(COUNTIFS($A$6:$A$505,A27,$B$6:$B$505,B27)&gt;1,"Doublon ID",IF(AND(ISNUMBER(J27),J27&lt;E27),"Incohérent",""))))</x:f>
      </x:c>
    </x:row>
    <x:row r="28" ht="48" customHeight="1">
      <x:c r="A28" s="9" t="str">
        <x:v>Lille</x:v>
      </x:c>
      <x:c r="B28" s="9" t="str">
        <x:v>AC-006</x:v>
      </x:c>
      <x:c r="C28" s="9" t="str">
        <x:v>Audit chantier</x:v>
      </x:c>
      <x:c r="D28" s="9" t="str">
        <x:v>EFS</x:v>
      </x:c>
      <x:c r="E28" s="11" t="n">
        <x:v>45769</x:v>
      </x:c>
      <x:c r="F28" s="13" t="str">
        <x:v>Affichage obligatoire</x:v>
      </x:c>
      <x:c r="G28" s="13" t="str">
        <x:v>Mettre en place l'affichage obligatoire sur site</x:v>
      </x:c>
      <x:c r="H28" s="9" t="str">
        <x:v>Myriam Métro</x:v>
      </x:c>
      <x:c r="I28" s="11" t="n">
        <x:v>46022</x:v>
      </x:c>
      <x:c r="J28" s="11" t="n">
        <x:v>45839</x:v>
      </x:c>
      <x:c r="K28" s="9"/>
      <x:c r="L28" s="13"/>
      <x:c r="M28" s="12" t="str">
        <x:f>IF(A28="","",IF(G28="","À compléter",IF(AND(ISNUMBER(J28),J28&lt;='Tableau de bord'!$F$5),"Réalisée",IF(I28="","À compléter",IF(I28&lt;'Tableau de bord'!$F$5,"Retard","À venir")))))</x:f>
        <x:v>Réalisée</x:v>
      </x:c>
      <x:c r="N28" s="12" t="n">
        <x:f>IF(OR(A28="",I28=""),"",IF(M28="Retard",'Tableau de bord'!$F$5-I28,0))</x:f>
        <x:v>0</x:v>
      </x:c>
      <x:c r="O28" s="9" t="str">
        <x:v>Plan d'actions - Audit chantier!A21:L21</x:v>
      </x:c>
      <x:c r="P28" s="12" t="str">
        <x:f>IF(A28="","",IF(OR(B28="",G28="",H28="",E28=""),"À compléter",IF(COUNTIFS($A$6:$A$505,A28,$B$6:$B$505,B28)&gt;1,"Doublon ID",IF(AND(ISNUMBER(J28),J28&lt;E28),"Incohérent",""))))</x:f>
      </x:c>
    </x:row>
    <x:row r="29" ht="48" customHeight="1">
      <x:c r="A29" s="9" t="str">
        <x:v>Lille</x:v>
      </x:c>
      <x:c r="B29" s="9" t="str">
        <x:v>AC-007</x:v>
      </x:c>
      <x:c r="C29" s="9" t="str">
        <x:v>Audit chantier</x:v>
      </x:c>
      <x:c r="D29" s="9" t="str">
        <x:v>Favi Hallencourt</x:v>
      </x:c>
      <x:c r="E29" s="11" t="n">
        <x:v>45789</x:v>
      </x:c>
      <x:c r="F29" s="13" t="str">
        <x:v>Il manque beaucoup de documentation sur site</x:v>
      </x:c>
      <x:c r="G29" s="13" t="str">
        <x:v>Ajouter les éléments manquants sur site.</x:v>
      </x:c>
      <x:c r="H29" s="9" t="str">
        <x:v>Mickaël Elisabeth</x:v>
      </x:c>
      <x:c r="I29" s="11" t="n">
        <x:v>46143</x:v>
      </x:c>
      <x:c r="J29" s="11" t="n">
        <x:v>46104</x:v>
      </x:c>
      <x:c r="K29" s="9"/>
      <x:c r="L29" s="13"/>
      <x:c r="M29" s="12" t="str">
        <x:f>IF(A29="","",IF(G29="","À compléter",IF(AND(ISNUMBER(J29),J29&lt;='Tableau de bord'!$F$5),"Réalisée",IF(I29="","À compléter",IF(I29&lt;'Tableau de bord'!$F$5,"Retard","À venir")))))</x:f>
        <x:v>Réalisée</x:v>
      </x:c>
      <x:c r="N29" s="12" t="n">
        <x:f>IF(OR(A29="",I29=""),"",IF(M29="Retard",'Tableau de bord'!$F$5-I29,0))</x:f>
        <x:v>0</x:v>
      </x:c>
      <x:c r="O29" s="9" t="str">
        <x:v>Plan d'actions - Audit chantier!A22:L22</x:v>
      </x:c>
      <x:c r="P29" s="12" t="str">
        <x:f>IF(A29="","",IF(OR(B29="",G29="",H29="",E29=""),"À compléter",IF(COUNTIFS($A$6:$A$505,A29,$B$6:$B$505,B29)&gt;1,"Doublon ID",IF(AND(ISNUMBER(J29),J29&lt;E29),"Incohérent",""))))</x:f>
      </x:c>
    </x:row>
    <x:row r="30" ht="48" customHeight="1">
      <x:c r="A30" s="9" t="str">
        <x:v>Lille</x:v>
      </x:c>
      <x:c r="B30" s="9" t="str">
        <x:v>AC-008</x:v>
      </x:c>
      <x:c r="C30" s="9" t="str">
        <x:v>Audit chantier</x:v>
      </x:c>
      <x:c r="D30" s="9" t="str">
        <x:v>Favi Hallencourt</x:v>
      </x:c>
      <x:c r="E30" s="11" t="n">
        <x:v>45789</x:v>
      </x:c>
      <x:c r="F30" s="13" t="str">
        <x:v>Certains produits chimiques ne sont pas dans des bacs de rétention</x:v>
      </x:c>
      <x:c r="G30" s="13" t="str">
        <x:v>Ajouter des bacs de rétentions pour y mettre les produits chimiques dans le local.</x:v>
      </x:c>
      <x:c r="H30" s="9" t="str">
        <x:v>Mickaël Elisabeth</x:v>
      </x:c>
      <x:c r="I30" s="11" t="n">
        <x:v>46143</x:v>
      </x:c>
      <x:c r="J30" s="11" t="n">
        <x:v>46104</x:v>
      </x:c>
      <x:c r="K30" s="9"/>
      <x:c r="L30" s="13"/>
      <x:c r="M30" s="12" t="str">
        <x:f>IF(A30="","",IF(G30="","À compléter",IF(AND(ISNUMBER(J30),J30&lt;='Tableau de bord'!$F$5),"Réalisée",IF(I30="","À compléter",IF(I30&lt;'Tableau de bord'!$F$5,"Retard","À venir")))))</x:f>
        <x:v>Réalisée</x:v>
      </x:c>
      <x:c r="N30" s="12" t="n">
        <x:f>IF(OR(A30="",I30=""),"",IF(M30="Retard",'Tableau de bord'!$F$5-I30,0))</x:f>
        <x:v>0</x:v>
      </x:c>
      <x:c r="O30" s="9" t="str">
        <x:v>Plan d'actions - Audit chantier!A23:L23</x:v>
      </x:c>
      <x:c r="P30" s="12" t="str">
        <x:f>IF(A30="","",IF(OR(B30="",G30="",H30="",E30=""),"À compléter",IF(COUNTIFS($A$6:$A$505,A30,$B$6:$B$505,B30)&gt;1,"Doublon ID",IF(AND(ISNUMBER(J30),J30&lt;E30),"Incohérent",""))))</x:f>
      </x:c>
    </x:row>
    <x:row r="31" ht="48" customHeight="1">
      <x:c r="A31" s="9" t="str">
        <x:v>Lille</x:v>
      </x:c>
      <x:c r="B31" s="9" t="str">
        <x:v>AC-009</x:v>
      </x:c>
      <x:c r="C31" s="9" t="str">
        <x:v>Audit chantier</x:v>
      </x:c>
      <x:c r="D31" s="9" t="str">
        <x:v>Megarama Boulogne-sur-Mer</x:v>
      </x:c>
      <x:c r="E31" s="11" t="n">
        <x:v>45722</x:v>
      </x:c>
      <x:c r="F31" s="13" t="str">
        <x:v>Le classeur QSE n'est pas réalisé.</x:v>
      </x:c>
      <x:c r="G31" s="13" t="str">
        <x:v>Ajouter un classeur QSE avec tout les éléments demendés dans un classeur QSE.</x:v>
      </x:c>
      <x:c r="H31" s="9" t="str">
        <x:v>Arnaud Baillieul et Christopher Momperousse</x:v>
      </x:c>
      <x:c r="I31" s="11" t="n">
        <x:v>46022</x:v>
      </x:c>
      <x:c r="J31" s="11" t="n">
        <x:v>46002</x:v>
      </x:c>
      <x:c r="K31" s="9" t="str">
        <x:v>Efficace</x:v>
      </x:c>
      <x:c r="L31" s="13"/>
      <x:c r="M31" s="12" t="str">
        <x:f>IF(A31="","",IF(G31="","À compléter",IF(AND(ISNUMBER(J31),J31&lt;='Tableau de bord'!$F$5),"Réalisée",IF(I31="","À compléter",IF(I31&lt;'Tableau de bord'!$F$5,"Retard","À venir")))))</x:f>
        <x:v>Réalisée</x:v>
      </x:c>
      <x:c r="N31" s="12" t="n">
        <x:f>IF(OR(A31="",I31=""),"",IF(M31="Retard",'Tableau de bord'!$F$5-I31,0))</x:f>
        <x:v>0</x:v>
      </x:c>
      <x:c r="O31" s="9" t="str">
        <x:v>Plan d'actions - Audit chantier!A24:L24</x:v>
      </x:c>
      <x:c r="P31" s="12" t="str">
        <x:f>IF(A31="","",IF(OR(B31="",G31="",H31="",E31=""),"À compléter",IF(COUNTIFS($A$6:$A$505,A31,$B$6:$B$505,B31)&gt;1,"Doublon ID",IF(AND(ISNUMBER(J31),J31&lt;E31),"Incohérent",""))))</x:f>
      </x:c>
    </x:row>
    <x:row r="32" ht="48" customHeight="1">
      <x:c r="A32" s="9" t="str">
        <x:v>Lille</x:v>
      </x:c>
      <x:c r="B32" s="9" t="str">
        <x:v>AC-010</x:v>
      </x:c>
      <x:c r="C32" s="9" t="str">
        <x:v>Audit chantier</x:v>
      </x:c>
      <x:c r="D32" s="9" t="str">
        <x:v>Megarama Boulogne-sur-Mer</x:v>
      </x:c>
      <x:c r="E32" s="11" t="n">
        <x:v>45722</x:v>
      </x:c>
      <x:c r="F32" s="13" t="str">
        <x:v>Il n'y a pas de plan de prévention.</x:v>
      </x:c>
      <x:c r="G32" s="13" t="str">
        <x:v>Faire un plan de prévention le plus rapidement possible.</x:v>
      </x:c>
      <x:c r="H32" s="9" t="str">
        <x:v>Arnaud Baillieul et Christopher Momperousse</x:v>
      </x:c>
      <x:c r="I32" s="11" t="n">
        <x:v>46022</x:v>
      </x:c>
      <x:c r="J32" s="11" t="n">
        <x:v>46002</x:v>
      </x:c>
      <x:c r="K32" s="9" t="str">
        <x:v>Efficace</x:v>
      </x:c>
      <x:c r="L32" s="13"/>
      <x:c r="M32" s="12" t="str">
        <x:f>IF(A32="","",IF(G32="","À compléter",IF(AND(ISNUMBER(J32),J32&lt;='Tableau de bord'!$F$5),"Réalisée",IF(I32="","À compléter",IF(I32&lt;'Tableau de bord'!$F$5,"Retard","À venir")))))</x:f>
        <x:v>Réalisée</x:v>
      </x:c>
      <x:c r="N32" s="12" t="n">
        <x:f>IF(OR(A32="",I32=""),"",IF(M32="Retard",'Tableau de bord'!$F$5-I32,0))</x:f>
        <x:v>0</x:v>
      </x:c>
      <x:c r="O32" s="9" t="str">
        <x:v>Plan d'actions - Audit chantier!A25:L25</x:v>
      </x:c>
      <x:c r="P32" s="12" t="str">
        <x:f>IF(A32="","",IF(OR(B32="",G32="",H32="",E32=""),"À compléter",IF(COUNTIFS($A$6:$A$505,A32,$B$6:$B$505,B32)&gt;1,"Doublon ID",IF(AND(ISNUMBER(J32),J32&lt;E32),"Incohérent",""))))</x:f>
      </x:c>
    </x:row>
    <x:row r="33" ht="48" customHeight="1">
      <x:c r="A33" s="9" t="str">
        <x:v>Lille</x:v>
      </x:c>
      <x:c r="B33" s="9" t="str">
        <x:v>AC-011</x:v>
      </x:c>
      <x:c r="C33" s="9" t="str">
        <x:v>Audit chantier</x:v>
      </x:c>
      <x:c r="D33" s="9" t="str">
        <x:v>Megarama Boulogne-sur-Mer</x:v>
      </x:c>
      <x:c r="E33" s="11" t="n">
        <x:v>45722</x:v>
      </x:c>
      <x:c r="F33" s="13" t="str">
        <x:v>Le matériel est rangé dans un local n'importe comment</x:v>
      </x:c>
      <x:c r="G33" s="13" t="str">
        <x:v>Fournir une étagère et de quoi ranger le matériel.</x:v>
      </x:c>
      <x:c r="H33" s="9" t="str">
        <x:v>Arnaud Baillieul</x:v>
      </x:c>
      <x:c r="I33" s="11" t="n">
        <x:v>46022</x:v>
      </x:c>
      <x:c r="J33" s="11" t="n">
        <x:v>46002</x:v>
      </x:c>
      <x:c r="K33" s="9" t="str">
        <x:v>A revoir</x:v>
      </x:c>
      <x:c r="L33" s="13"/>
      <x:c r="M33" s="12" t="str">
        <x:f>IF(A33="","",IF(G33="","À compléter",IF(AND(ISNUMBER(J33),J33&lt;='Tableau de bord'!$F$5),"Réalisée",IF(I33="","À compléter",IF(I33&lt;'Tableau de bord'!$F$5,"Retard","À venir")))))</x:f>
        <x:v>Réalisée</x:v>
      </x:c>
      <x:c r="N33" s="12" t="n">
        <x:f>IF(OR(A33="",I33=""),"",IF(M33="Retard",'Tableau de bord'!$F$5-I33,0))</x:f>
        <x:v>0</x:v>
      </x:c>
      <x:c r="O33" s="9" t="str">
        <x:v>Plan d'actions - Audit chantier!A26:L26</x:v>
      </x:c>
      <x:c r="P33" s="12" t="str">
        <x:f>IF(A33="","",IF(OR(B33="",G33="",H33="",E33=""),"À compléter",IF(COUNTIFS($A$6:$A$505,A33,$B$6:$B$505,B33)&gt;1,"Doublon ID",IF(AND(ISNUMBER(J33),J33&lt;E33),"Incohérent",""))))</x:f>
      </x:c>
    </x:row>
    <x:row r="34" ht="48" customHeight="1">
      <x:c r="A34" s="9" t="str">
        <x:v>Lille</x:v>
      </x:c>
      <x:c r="B34" s="9" t="str">
        <x:v>AC-012</x:v>
      </x:c>
      <x:c r="C34" s="9" t="str">
        <x:v>Audit chantier</x:v>
      </x:c>
      <x:c r="D34" s="9" t="str">
        <x:v>Megarama Boulogne-sur-Mer</x:v>
      </x:c>
      <x:c r="E34" s="11" t="n">
        <x:v>45722</x:v>
      </x:c>
      <x:c r="F34" s="13" t="str">
        <x:v>Les agents n'ont pas la tenue complète</x:v>
      </x:c>
      <x:c r="G34" s="13" t="str">
        <x:v>Fournir les EPI nécessaires pour leur prestation.</x:v>
      </x:c>
      <x:c r="H34" s="9" t="str">
        <x:v>Arnaud Baillieul</x:v>
      </x:c>
      <x:c r="I34" s="11" t="n">
        <x:v>46143</x:v>
      </x:c>
      <x:c r="J34" s="11"/>
      <x:c r="K34" s="9"/>
      <x:c r="L34" s="13"/>
      <x:c r="M34" s="12" t="str">
        <x:f>IF(A34="","",IF(G34="","À compléter",IF(AND(ISNUMBER(J34),J34&lt;='Tableau de bord'!$F$5),"Réalisée",IF(I34="","À compléter",IF(I34&lt;'Tableau de bord'!$F$5,"Retard","À venir")))))</x:f>
        <x:v>Retard</x:v>
      </x:c>
      <x:c r="N34" s="12" t="n">
        <x:f>IF(OR(A34="",I34=""),"",IF(M34="Retard",'Tableau de bord'!$F$5-I34,0))</x:f>
        <x:v>136</x:v>
      </x:c>
      <x:c r="O34" s="9" t="str">
        <x:v>Plan d'actions - Audit chantier!A27:L27</x:v>
      </x:c>
      <x:c r="P34" s="12" t="str">
        <x:f>IF(A34="","",IF(OR(B34="",G34="",H34="",E34=""),"À compléter",IF(COUNTIFS($A$6:$A$505,A34,$B$6:$B$505,B34)&gt;1,"Doublon ID",IF(AND(ISNUMBER(J34),J34&lt;E34),"Incohérent",""))))</x:f>
      </x:c>
    </x:row>
    <x:row r="35" ht="48" customHeight="1">
      <x:c r="A35" s="9" t="str">
        <x:v>Lille</x:v>
      </x:c>
      <x:c r="B35" s="9" t="str">
        <x:v>AC-013</x:v>
      </x:c>
      <x:c r="C35" s="9" t="str">
        <x:v>Audit chantier</x:v>
      </x:c>
      <x:c r="D35" s="9" t="str">
        <x:v>Megarama Boulogne-sur-Mer</x:v>
      </x:c>
      <x:c r="E35" s="11" t="n">
        <x:v>45722</x:v>
      </x:c>
      <x:c r="F35" s="13" t="str">
        <x:v>Les causeries sont à réaliser pour communiquer aux agents les FM, Causeries QSE et informations obligatoires.</x:v>
      </x:c>
      <x:c r="G35" s="13" t="str">
        <x:v>Planifier et réaliser, les causeries 1/mois avec une priorité sur les communications réglementaires. </x:v>
      </x:c>
      <x:c r="H35" s="9" t="str">
        <x:v>Arnaud Baillieul et Christopher Momperousse</x:v>
      </x:c>
      <x:c r="I35" s="11" t="n">
        <x:v>46022</x:v>
      </x:c>
      <x:c r="J35" s="11" t="n">
        <x:v>46002</x:v>
      </x:c>
      <x:c r="K35" s="9"/>
      <x:c r="L35" s="13"/>
      <x:c r="M35" s="12" t="str">
        <x:f>IF(A35="","",IF(G35="","À compléter",IF(AND(ISNUMBER(J35),J35&lt;='Tableau de bord'!$F$5),"Réalisée",IF(I35="","À compléter",IF(I35&lt;'Tableau de bord'!$F$5,"Retard","À venir")))))</x:f>
        <x:v>Réalisée</x:v>
      </x:c>
      <x:c r="N35" s="12" t="n">
        <x:f>IF(OR(A35="",I35=""),"",IF(M35="Retard",'Tableau de bord'!$F$5-I35,0))</x:f>
        <x:v>0</x:v>
      </x:c>
      <x:c r="O35" s="9" t="str">
        <x:v>Plan d'actions - Audit chantier!A28:L28</x:v>
      </x:c>
      <x:c r="P35" s="12" t="str">
        <x:f>IF(A35="","",IF(OR(B35="",G35="",H35="",E35=""),"À compléter",IF(COUNTIFS($A$6:$A$505,A35,$B$6:$B$505,B35)&gt;1,"Doublon ID",IF(AND(ISNUMBER(J35),J35&lt;E35),"Incohérent",""))))</x:f>
      </x:c>
    </x:row>
    <x:row r="36" ht="48" customHeight="1">
      <x:c r="A36" s="9" t="str">
        <x:v>Lille</x:v>
      </x:c>
      <x:c r="B36" s="9" t="str">
        <x:v>AC-014</x:v>
      </x:c>
      <x:c r="C36" s="9" t="str">
        <x:v>Audit chantier</x:v>
      </x:c>
      <x:c r="D36" s="9" t="str">
        <x:v>Okko Hotels</x:v>
      </x:c>
      <x:c r="E36" s="11" t="n">
        <x:v>45723</x:v>
      </x:c>
      <x:c r="F36" s="13" t="str">
        <x:v>Les documents réglmentaires ne sont pas à disposition pour les agents.</x:v>
      </x:c>
      <x:c r="G36" s="13" t="str">
        <x:v>Mettre un classeur QSE sur site et y ajouter tous les éléments nécessaires pour sa complétion.</x:v>
      </x:c>
      <x:c r="H36" s="9" t="str">
        <x:v>Arnaud Baillieul et Christopher Momperousse</x:v>
      </x:c>
      <x:c r="I36" s="11" t="n">
        <x:v>46143</x:v>
      </x:c>
      <x:c r="J36" s="11"/>
      <x:c r="K36" s="9"/>
      <x:c r="L36" s="13"/>
      <x:c r="M36" s="12" t="str">
        <x:f>IF(A36="","",IF(G36="","À compléter",IF(AND(ISNUMBER(J36),J36&lt;='Tableau de bord'!$F$5),"Réalisée",IF(I36="","À compléter",IF(I36&lt;'Tableau de bord'!$F$5,"Retard","À venir")))))</x:f>
        <x:v>Retard</x:v>
      </x:c>
      <x:c r="N36" s="12" t="n">
        <x:f>IF(OR(A36="",I36=""),"",IF(M36="Retard",'Tableau de bord'!$F$5-I36,0))</x:f>
        <x:v>136</x:v>
      </x:c>
      <x:c r="O36" s="9" t="str">
        <x:v>Plan d'actions - Audit chantier!A29:L29</x:v>
      </x:c>
      <x:c r="P36" s="12" t="str">
        <x:f>IF(A36="","",IF(OR(B36="",G36="",H36="",E36=""),"À compléter",IF(COUNTIFS($A$6:$A$505,A36,$B$6:$B$505,B36)&gt;1,"Doublon ID",IF(AND(ISNUMBER(J36),J36&lt;E36),"Incohérent",""))))</x:f>
      </x:c>
    </x:row>
    <x:row r="37" ht="48" customHeight="1">
      <x:c r="A37" s="9" t="str">
        <x:v>Lille</x:v>
      </x:c>
      <x:c r="B37" s="9" t="str">
        <x:v>AC-015</x:v>
      </x:c>
      <x:c r="C37" s="9" t="str">
        <x:v>Audit chantier</x:v>
      </x:c>
      <x:c r="D37" s="9" t="str">
        <x:v>Okko Hotels</x:v>
      </x:c>
      <x:c r="E37" s="11" t="n">
        <x:v>45723</x:v>
      </x:c>
      <x:c r="F37" s="13" t="str">
        <x:v>Il manque les affichages ISOR et les affichages réglementaires.</x:v>
      </x:c>
      <x:c r="G37" s="13" t="str">
        <x:v>Ajouter les documents manquants (voir grille d'audit) et afficher le règlement intérieur ISOR, ISOR attitude, affichage obligatoire, et autres…</x:v>
      </x:c>
      <x:c r="H37" s="9" t="str">
        <x:v>Arnaud Baillieul et Christopher Momperousse</x:v>
      </x:c>
      <x:c r="I37" s="11" t="n">
        <x:v>46022</x:v>
      </x:c>
      <x:c r="J37" s="11" t="n">
        <x:v>45933</x:v>
      </x:c>
      <x:c r="K37" s="9"/>
      <x:c r="L37" s="13"/>
      <x:c r="M37" s="12" t="str">
        <x:f>IF(A37="","",IF(G37="","À compléter",IF(AND(ISNUMBER(J37),J37&lt;='Tableau de bord'!$F$5),"Réalisée",IF(I37="","À compléter",IF(I37&lt;'Tableau de bord'!$F$5,"Retard","À venir")))))</x:f>
        <x:v>Réalisée</x:v>
      </x:c>
      <x:c r="N37" s="12" t="n">
        <x:f>IF(OR(A37="",I37=""),"",IF(M37="Retard",'Tableau de bord'!$F$5-I37,0))</x:f>
        <x:v>0</x:v>
      </x:c>
      <x:c r="O37" s="9" t="str">
        <x:v>Plan d'actions - Audit chantier!A30:L30</x:v>
      </x:c>
      <x:c r="P37" s="12" t="str">
        <x:f>IF(A37="","",IF(OR(B37="",G37="",H37="",E37=""),"À compléter",IF(COUNTIFS($A$6:$A$505,A37,$B$6:$B$505,B37)&gt;1,"Doublon ID",IF(AND(ISNUMBER(J37),J37&lt;E37),"Incohérent",""))))</x:f>
      </x:c>
    </x:row>
    <x:row r="38" ht="48" customHeight="1">
      <x:c r="A38" s="9" t="str">
        <x:v>Lille</x:v>
      </x:c>
      <x:c r="B38" s="9" t="str">
        <x:v>AC-016</x:v>
      </x:c>
      <x:c r="C38" s="9" t="str">
        <x:v>Audit chantier</x:v>
      </x:c>
      <x:c r="D38" s="9" t="str">
        <x:v>Okko Hotels</x:v>
      </x:c>
      <x:c r="E38" s="11" t="n">
        <x:v>45723</x:v>
      </x:c>
      <x:c r="F38" s="13" t="str">
        <x:v>Les agents manquent de connaissances sur les pictogrammes de danger</x:v>
      </x:c>
      <x:c r="G38" s="13" t="str">
        <x:v>Effectuer des causeries avec en référence la "Causerie 26",  "20", et la fiche compatibilité produits.</x:v>
      </x:c>
      <x:c r="H38" s="9" t="str">
        <x:v>Arnaud Baillieul et Christopher Momperousse</x:v>
      </x:c>
      <x:c r="I38" s="11" t="n">
        <x:v>46143</x:v>
      </x:c>
      <x:c r="J38" s="11"/>
      <x:c r="K38" s="9"/>
      <x:c r="L38" s="13"/>
      <x:c r="M38" s="12" t="str">
        <x:f>IF(A38="","",IF(G38="","À compléter",IF(AND(ISNUMBER(J38),J38&lt;='Tableau de bord'!$F$5),"Réalisée",IF(I38="","À compléter",IF(I38&lt;'Tableau de bord'!$F$5,"Retard","À venir")))))</x:f>
        <x:v>Retard</x:v>
      </x:c>
      <x:c r="N38" s="12" t="n">
        <x:f>IF(OR(A38="",I38=""),"",IF(M38="Retard",'Tableau de bord'!$F$5-I38,0))</x:f>
        <x:v>136</x:v>
      </x:c>
      <x:c r="O38" s="9" t="str">
        <x:v>Plan d'actions - Audit chantier!A31:L31</x:v>
      </x:c>
      <x:c r="P38" s="12" t="str">
        <x:f>IF(A38="","",IF(OR(B38="",G38="",H38="",E38=""),"À compléter",IF(COUNTIFS($A$6:$A$505,A38,$B$6:$B$505,B38)&gt;1,"Doublon ID",IF(AND(ISNUMBER(J38),J38&lt;E38),"Incohérent",""))))</x:f>
      </x:c>
    </x:row>
    <x:row r="39" ht="48" customHeight="1">
      <x:c r="A39" s="9" t="str">
        <x:v>Lille</x:v>
      </x:c>
      <x:c r="B39" s="9" t="str">
        <x:v>AC-017</x:v>
      </x:c>
      <x:c r="C39" s="9" t="str">
        <x:v>Audit chantier</x:v>
      </x:c>
      <x:c r="D39" s="9" t="str">
        <x:v>Okko Hotels</x:v>
      </x:c>
      <x:c r="E39" s="11" t="n">
        <x:v>45723</x:v>
      </x:c>
      <x:c r="F39" s="13" t="str">
        <x:v>Les produits ne sont pas rangés de manière sécuritaire</x:v>
      </x:c>
      <x:c r="G39" s="13" t="str">
        <x:v>Placer des bacs de rétention dans le local produits pour les produits liquides. Limiter les cartons ouverts et ranger les produits sur l'étagère.</x:v>
      </x:c>
      <x:c r="H39" s="9" t="str">
        <x:v>Arnaud Baillieul et Christopher Momperousse</x:v>
      </x:c>
      <x:c r="I39" s="11" t="n">
        <x:v>46143</x:v>
      </x:c>
      <x:c r="J39" s="11"/>
      <x:c r="K39" s="9"/>
      <x:c r="L39" s="13"/>
      <x:c r="M39" s="12" t="str">
        <x:f>IF(A39="","",IF(G39="","À compléter",IF(AND(ISNUMBER(J39),J39&lt;='Tableau de bord'!$F$5),"Réalisée",IF(I39="","À compléter",IF(I39&lt;'Tableau de bord'!$F$5,"Retard","À venir")))))</x:f>
        <x:v>Retard</x:v>
      </x:c>
      <x:c r="N39" s="12" t="n">
        <x:f>IF(OR(A39="",I39=""),"",IF(M39="Retard",'Tableau de bord'!$F$5-I39,0))</x:f>
        <x:v>136</x:v>
      </x:c>
      <x:c r="O39" s="9" t="str">
        <x:v>Plan d'actions - Audit chantier!A32:L32</x:v>
      </x:c>
      <x:c r="P39" s="12" t="str">
        <x:f>IF(A39="","",IF(OR(B39="",G39="",H39="",E39=""),"À compléter",IF(COUNTIFS($A$6:$A$505,A39,$B$6:$B$505,B39)&gt;1,"Doublon ID",IF(AND(ISNUMBER(J39),J39&lt;E39),"Incohérent",""))))</x:f>
      </x:c>
    </x:row>
    <x:row r="40" ht="48" customHeight="1">
      <x:c r="A40" s="9" t="str">
        <x:v>Lille</x:v>
      </x:c>
      <x:c r="B40" s="9" t="str">
        <x:v>AC-018</x:v>
      </x:c>
      <x:c r="C40" s="9" t="str">
        <x:v>Audit chantier</x:v>
      </x:c>
      <x:c r="D40" s="9" t="str">
        <x:v>Oney Bank</x:v>
      </x:c>
      <x:c r="E40" s="11" t="n">
        <x:v>45723</x:v>
      </x:c>
      <x:c r="F40" s="13" t="str">
        <x:v>Il manque quelques documents à afficher ou au moins à mettre à disposition</x:v>
      </x:c>
      <x:c r="G40" s="13" t="str">
        <x:v>Mettre les documents manquants dans les classeurs QSE et les locaux ISOR</x:v>
      </x:c>
      <x:c r="H40" s="9" t="str">
        <x:v>Arnaud BAILLIEUL et Christopher MOMPEROUSSE</x:v>
      </x:c>
      <x:c r="I40" s="11" t="n">
        <x:v>45930</x:v>
      </x:c>
      <x:c r="J40" s="11" t="n">
        <x:v>45929</x:v>
      </x:c>
      <x:c r="K40" s="9"/>
      <x:c r="L40" s="13"/>
      <x:c r="M40" s="12" t="str">
        <x:f>IF(A40="","",IF(G40="","À compléter",IF(AND(ISNUMBER(J40),J40&lt;='Tableau de bord'!$F$5),"Réalisée",IF(I40="","À compléter",IF(I40&lt;'Tableau de bord'!$F$5,"Retard","À venir")))))</x:f>
        <x:v>Réalisée</x:v>
      </x:c>
      <x:c r="N40" s="12" t="n">
        <x:f>IF(OR(A40="",I40=""),"",IF(M40="Retard",'Tableau de bord'!$F$5-I40,0))</x:f>
        <x:v>0</x:v>
      </x:c>
      <x:c r="O40" s="9" t="str">
        <x:v>Plan d'actions - Audit chantier!A33:L33</x:v>
      </x:c>
      <x:c r="P40" s="12" t="str">
        <x:f>IF(A40="","",IF(OR(B40="",G40="",H40="",E40=""),"À compléter",IF(COUNTIFS($A$6:$A$505,A40,$B$6:$B$505,B40)&gt;1,"Doublon ID",IF(AND(ISNUMBER(J40),J40&lt;E40),"Incohérent",""))))</x:f>
      </x:c>
    </x:row>
    <x:row r="41" ht="48" customHeight="1">
      <x:c r="A41" s="9" t="str">
        <x:v>Lille</x:v>
      </x:c>
      <x:c r="B41" s="9" t="str">
        <x:v>AC-019</x:v>
      </x:c>
      <x:c r="C41" s="9" t="str">
        <x:v>Audit chantier</x:v>
      </x:c>
      <x:c r="D41" s="9" t="str">
        <x:v>Skema</x:v>
      </x:c>
      <x:c r="E41" s="11" t="n">
        <x:v>45720</x:v>
      </x:c>
      <x:c r="F41" s="13" t="str">
        <x:v>Les documents sur site sont obsolètes</x:v>
      </x:c>
      <x:c r="G41" s="13" t="str">
        <x:v>Mettre à jour les documents réglementaires notés dans la grille d'audit pour respecter le SMI mis en place chez ISOR</x:v>
      </x:c>
      <x:c r="H41" s="9" t="str">
        <x:v>Arnaud BAILLIEUL</x:v>
      </x:c>
      <x:c r="I41" s="11" t="n">
        <x:v>46022</x:v>
      </x:c>
      <x:c r="J41" s="11" t="n">
        <x:v>46001</x:v>
      </x:c>
      <x:c r="K41" s="9"/>
      <x:c r="L41" s="13"/>
      <x:c r="M41" s="12" t="str">
        <x:f>IF(A41="","",IF(G41="","À compléter",IF(AND(ISNUMBER(J41),J41&lt;='Tableau de bord'!$F$5),"Réalisée",IF(I41="","À compléter",IF(I41&lt;'Tableau de bord'!$F$5,"Retard","À venir")))))</x:f>
        <x:v>Réalisée</x:v>
      </x:c>
      <x:c r="N41" s="12" t="n">
        <x:f>IF(OR(A41="",I41=""),"",IF(M41="Retard",'Tableau de bord'!$F$5-I41,0))</x:f>
        <x:v>0</x:v>
      </x:c>
      <x:c r="O41" s="9" t="str">
        <x:v>Plan d'actions - Audit chantier!A34:L34</x:v>
      </x:c>
      <x:c r="P41" s="12" t="str">
        <x:f>IF(A41="","",IF(OR(B41="",G41="",H41="",E41=""),"À compléter",IF(COUNTIFS($A$6:$A$505,A41,$B$6:$B$505,B41)&gt;1,"Doublon ID",IF(AND(ISNUMBER(J41),J41&lt;E41),"Incohérent",""))))</x:f>
      </x:c>
    </x:row>
    <x:row r="42" ht="48" customHeight="1">
      <x:c r="A42" s="9" t="str">
        <x:v>Lille</x:v>
      </x:c>
      <x:c r="B42" s="9" t="str">
        <x:v>AC-021</x:v>
      </x:c>
      <x:c r="C42" s="9" t="str">
        <x:v>Audit chantier</x:v>
      </x:c>
      <x:c r="D42" s="9" t="str">
        <x:v>LFB Lille</x:v>
      </x:c>
      <x:c r="E42" s="11" t="n">
        <x:v>45868</x:v>
      </x:c>
      <x:c r="F42" s="13" t="str">
        <x:v>Capacité de travailler avec des produits désinfectants</x:v>
      </x:c>
      <x:c r="G42" s="13" t="str">
        <x:v>Faire effectuer la formation certibiocide à un membre du management sur site</x:v>
      </x:c>
      <x:c r="H42" s="9" t="str">
        <x:v>David Van de Wege et Audrey Gauthier</x:v>
      </x:c>
      <x:c r="I42" s="11" t="n">
        <x:v>46143</x:v>
      </x:c>
      <x:c r="J42" s="11"/>
      <x:c r="K42" s="9"/>
      <x:c r="L42" s="13"/>
      <x:c r="M42" s="12" t="str">
        <x:f>IF(A42="","",IF(G42="","À compléter",IF(AND(ISNUMBER(J42),J42&lt;='Tableau de bord'!$F$5),"Réalisée",IF(I42="","À compléter",IF(I42&lt;'Tableau de bord'!$F$5,"Retard","À venir")))))</x:f>
        <x:v>Retard</x:v>
      </x:c>
      <x:c r="N42" s="12" t="n">
        <x:f>IF(OR(A42="",I42=""),"",IF(M42="Retard",'Tableau de bord'!$F$5-I42,0))</x:f>
        <x:v>136</x:v>
      </x:c>
      <x:c r="O42" s="9" t="str">
        <x:v>Plan d'actions - Audit chantier!A35:L35</x:v>
      </x:c>
      <x:c r="P42" s="12" t="str">
        <x:f>IF(A42="","",IF(OR(B42="",G42="",H42="",E42=""),"À compléter",IF(COUNTIFS($A$6:$A$505,A42,$B$6:$B$505,B42)&gt;1,"Doublon ID",IF(AND(ISNUMBER(J42),J42&lt;E42),"Incohérent",""))))</x:f>
      </x:c>
    </x:row>
    <x:row r="43" ht="48" customHeight="1">
      <x:c r="A43" s="9" t="str">
        <x:v>Lille</x:v>
      </x:c>
      <x:c r="B43" s="9" t="str">
        <x:v>AC-022</x:v>
      </x:c>
      <x:c r="C43" s="9" t="str">
        <x:v>Audit chantier</x:v>
      </x:c>
      <x:c r="D43" s="9" t="str">
        <x:v>LFB Lille</x:v>
      </x:c>
      <x:c r="E43" s="11" t="n">
        <x:v>45868</x:v>
      </x:c>
      <x:c r="F43" s="13" t="str">
        <x:v>Encombrement inutile sur site.</x:v>
      </x:c>
      <x:c r="G43" s="13" t="str">
        <x:v>Retirer les appareils HS sur site (point vu lors du 1er audit)</x:v>
      </x:c>
      <x:c r="H43" s="9" t="str">
        <x:v>David Van de Wege et Audrey Gauthier</x:v>
      </x:c>
      <x:c r="I43" s="11" t="n">
        <x:v>45900</x:v>
      </x:c>
      <x:c r="J43" s="11" t="n">
        <x:v>45900</x:v>
      </x:c>
      <x:c r="K43" s="9" t="str">
        <x:v>Efficace</x:v>
      </x:c>
      <x:c r="L43" s="13"/>
      <x:c r="M43" s="12" t="str">
        <x:f>IF(A43="","",IF(G43="","À compléter",IF(AND(ISNUMBER(J43),J43&lt;='Tableau de bord'!$F$5),"Réalisée",IF(I43="","À compléter",IF(I43&lt;'Tableau de bord'!$F$5,"Retard","À venir")))))</x:f>
        <x:v>Réalisée</x:v>
      </x:c>
      <x:c r="N43" s="12" t="n">
        <x:f>IF(OR(A43="",I43=""),"",IF(M43="Retard",'Tableau de bord'!$F$5-I43,0))</x:f>
        <x:v>0</x:v>
      </x:c>
      <x:c r="O43" s="9" t="str">
        <x:v>Plan d'actions - Audit chantier!A36:L36</x:v>
      </x:c>
      <x:c r="P43" s="12" t="str">
        <x:f>IF(A43="","",IF(OR(B43="",G43="",H43="",E43=""),"À compléter",IF(COUNTIFS($A$6:$A$505,A43,$B$6:$B$505,B43)&gt;1,"Doublon ID",IF(AND(ISNUMBER(J43),J43&lt;E43),"Incohérent",""))))</x:f>
      </x:c>
    </x:row>
    <x:row r="44" ht="23" customHeight="1">
      <x:c r="A44" s="9"/>
      <x:c r="B44" s="9"/>
      <x:c r="C44" s="9"/>
      <x:c r="D44" s="9"/>
      <x:c r="E44" s="11"/>
      <x:c r="F44" s="9"/>
      <x:c r="G44" s="9"/>
      <x:c r="H44" s="9"/>
      <x:c r="I44" s="11"/>
      <x:c r="J44" s="11"/>
      <x:c r="K44" s="9"/>
      <x:c r="L44" s="9"/>
      <x:c r="M44" s="12" t="str">
        <x:f>IF(A44="","",IF(G44="","À compléter",IF(AND(ISNUMBER(J44),J44&lt;='Tableau de bord'!$F$5),"Réalisée",IF(I44="","À compléter",IF(I44&lt;'Tableau de bord'!$F$5,"Retard","À venir")))))</x:f>
      </x:c>
      <x:c r="N44" s="12" t="str">
        <x:f>IF(OR(A44="",I44=""),"",IF(M44="Retard",'Tableau de bord'!$F$5-I44,0))</x:f>
      </x:c>
      <x:c r="O44" s="9"/>
      <x:c r="P44" s="12" t="str">
        <x:f>IF(A44="","",IF(OR(B44="",G44="",H44="",E44=""),"À compléter",IF(COUNTIFS($A$6:$A$505,A44,$B$6:$B$505,B44)&gt;1,"Doublon ID",IF(AND(ISNUMBER(J44),J44&lt;E44),"Incohérent",""))))</x:f>
      </x:c>
    </x:row>
    <x:row r="45" ht="23" customHeight="1">
      <x:c r="A45" s="9"/>
      <x:c r="B45" s="9"/>
      <x:c r="C45" s="9"/>
      <x:c r="D45" s="9"/>
      <x:c r="E45" s="11"/>
      <x:c r="F45" s="9"/>
      <x:c r="G45" s="9"/>
      <x:c r="H45" s="9"/>
      <x:c r="I45" s="11"/>
      <x:c r="J45" s="11"/>
      <x:c r="K45" s="9"/>
      <x:c r="L45" s="9"/>
      <x:c r="M45" s="12" t="str">
        <x:f>IF(A45="","",IF(G45="","À compléter",IF(AND(ISNUMBER(J45),J45&lt;='Tableau de bord'!$F$5),"Réalisée",IF(I45="","À compléter",IF(I45&lt;'Tableau de bord'!$F$5,"Retard","À venir")))))</x:f>
      </x:c>
      <x:c r="N45" s="12" t="str">
        <x:f>IF(OR(A45="",I45=""),"",IF(M45="Retard",'Tableau de bord'!$F$5-I45,0))</x:f>
      </x:c>
      <x:c r="O45" s="9"/>
      <x:c r="P45" s="12" t="str">
        <x:f>IF(A45="","",IF(OR(B45="",G45="",H45="",E45=""),"À compléter",IF(COUNTIFS($A$6:$A$505,A45,$B$6:$B$505,B45)&gt;1,"Doublon ID",IF(AND(ISNUMBER(J45),J45&lt;E45),"Incohérent",""))))</x:f>
      </x:c>
    </x:row>
    <x:row r="46" ht="23" customHeight="1">
      <x:c r="A46" s="9"/>
      <x:c r="B46" s="9"/>
      <x:c r="C46" s="9"/>
      <x:c r="D46" s="9"/>
      <x:c r="E46" s="11"/>
      <x:c r="F46" s="9"/>
      <x:c r="G46" s="9"/>
      <x:c r="H46" s="9"/>
      <x:c r="I46" s="11"/>
      <x:c r="J46" s="11"/>
      <x:c r="K46" s="9"/>
      <x:c r="L46" s="9"/>
      <x:c r="M46" s="12" t="str">
        <x:f>IF(A46="","",IF(G46="","À compléter",IF(AND(ISNUMBER(J46),J46&lt;='Tableau de bord'!$F$5),"Réalisée",IF(I46="","À compléter",IF(I46&lt;'Tableau de bord'!$F$5,"Retard","À venir")))))</x:f>
      </x:c>
      <x:c r="N46" s="12" t="str">
        <x:f>IF(OR(A46="",I46=""),"",IF(M46="Retard",'Tableau de bord'!$F$5-I46,0))</x:f>
      </x:c>
      <x:c r="O46" s="9"/>
      <x:c r="P46" s="12" t="str">
        <x:f>IF(A46="","",IF(OR(B46="",G46="",H46="",E46=""),"À compléter",IF(COUNTIFS($A$6:$A$505,A46,$B$6:$B$505,B46)&gt;1,"Doublon ID",IF(AND(ISNUMBER(J46),J46&lt;E46),"Incohérent",""))))</x:f>
      </x:c>
    </x:row>
    <x:row r="47" ht="23" customHeight="1">
      <x:c r="A47" s="9"/>
      <x:c r="B47" s="9"/>
      <x:c r="C47" s="9"/>
      <x:c r="D47" s="9"/>
      <x:c r="E47" s="11"/>
      <x:c r="F47" s="9"/>
      <x:c r="G47" s="9"/>
      <x:c r="H47" s="9"/>
      <x:c r="I47" s="11"/>
      <x:c r="J47" s="11"/>
      <x:c r="K47" s="9"/>
      <x:c r="L47" s="9"/>
      <x:c r="M47" s="12" t="str">
        <x:f>IF(A47="","",IF(G47="","À compléter",IF(AND(ISNUMBER(J47),J47&lt;='Tableau de bord'!$F$5),"Réalisée",IF(I47="","À compléter",IF(I47&lt;'Tableau de bord'!$F$5,"Retard","À venir")))))</x:f>
      </x:c>
      <x:c r="N47" s="12" t="str">
        <x:f>IF(OR(A47="",I47=""),"",IF(M47="Retard",'Tableau de bord'!$F$5-I47,0))</x:f>
      </x:c>
      <x:c r="O47" s="9"/>
      <x:c r="P47" s="12" t="str">
        <x:f>IF(A47="","",IF(OR(B47="",G47="",H47="",E47=""),"À compléter",IF(COUNTIFS($A$6:$A$505,A47,$B$6:$B$505,B47)&gt;1,"Doublon ID",IF(AND(ISNUMBER(J47),J47&lt;E47),"Incohérent",""))))</x:f>
      </x:c>
    </x:row>
    <x:row r="48" ht="23" customHeight="1">
      <x:c r="A48" s="9"/>
      <x:c r="B48" s="9"/>
      <x:c r="C48" s="9"/>
      <x:c r="D48" s="9"/>
      <x:c r="E48" s="11"/>
      <x:c r="F48" s="9"/>
      <x:c r="G48" s="9"/>
      <x:c r="H48" s="9"/>
      <x:c r="I48" s="11"/>
      <x:c r="J48" s="11"/>
      <x:c r="K48" s="9"/>
      <x:c r="L48" s="9"/>
      <x:c r="M48" s="12" t="str">
        <x:f>IF(A48="","",IF(G48="","À compléter",IF(AND(ISNUMBER(J48),J48&lt;='Tableau de bord'!$F$5),"Réalisée",IF(I48="","À compléter",IF(I48&lt;'Tableau de bord'!$F$5,"Retard","À venir")))))</x:f>
      </x:c>
      <x:c r="N48" s="12" t="str">
        <x:f>IF(OR(A48="",I48=""),"",IF(M48="Retard",'Tableau de bord'!$F$5-I48,0))</x:f>
      </x:c>
      <x:c r="O48" s="9"/>
      <x:c r="P48" s="12" t="str">
        <x:f>IF(A48="","",IF(OR(B48="",G48="",H48="",E48=""),"À compléter",IF(COUNTIFS($A$6:$A$505,A48,$B$6:$B$505,B48)&gt;1,"Doublon ID",IF(AND(ISNUMBER(J48),J48&lt;E48),"Incohérent",""))))</x:f>
      </x:c>
    </x:row>
    <x:row r="49" ht="23" customHeight="1">
      <x:c r="A49" s="9"/>
      <x:c r="B49" s="9"/>
      <x:c r="C49" s="9"/>
      <x:c r="D49" s="9"/>
      <x:c r="E49" s="11"/>
      <x:c r="F49" s="9"/>
      <x:c r="G49" s="9"/>
      <x:c r="H49" s="9"/>
      <x:c r="I49" s="11"/>
      <x:c r="J49" s="11"/>
      <x:c r="K49" s="9"/>
      <x:c r="L49" s="9"/>
      <x:c r="M49" s="12" t="str">
        <x:f>IF(A49="","",IF(G49="","À compléter",IF(AND(ISNUMBER(J49),J49&lt;='Tableau de bord'!$F$5),"Réalisée",IF(I49="","À compléter",IF(I49&lt;'Tableau de bord'!$F$5,"Retard","À venir")))))</x:f>
      </x:c>
      <x:c r="N49" s="12" t="str">
        <x:f>IF(OR(A49="",I49=""),"",IF(M49="Retard",'Tableau de bord'!$F$5-I49,0))</x:f>
      </x:c>
      <x:c r="O49" s="9"/>
      <x:c r="P49" s="12" t="str">
        <x:f>IF(A49="","",IF(OR(B49="",G49="",H49="",E49=""),"À compléter",IF(COUNTIFS($A$6:$A$505,A49,$B$6:$B$505,B49)&gt;1,"Doublon ID",IF(AND(ISNUMBER(J49),J49&lt;E49),"Incohérent",""))))</x:f>
      </x:c>
    </x:row>
    <x:row r="50" ht="23" customHeight="1">
      <x:c r="A50" s="9"/>
      <x:c r="B50" s="9"/>
      <x:c r="C50" s="9"/>
      <x:c r="D50" s="9"/>
      <x:c r="E50" s="11"/>
      <x:c r="F50" s="9"/>
      <x:c r="G50" s="9"/>
      <x:c r="H50" s="9"/>
      <x:c r="I50" s="11"/>
      <x:c r="J50" s="11"/>
      <x:c r="K50" s="9"/>
      <x:c r="L50" s="9"/>
      <x:c r="M50" s="12" t="str">
        <x:f>IF(A50="","",IF(G50="","À compléter",IF(AND(ISNUMBER(J50),J50&lt;='Tableau de bord'!$F$5),"Réalisée",IF(I50="","À compléter",IF(I50&lt;'Tableau de bord'!$F$5,"Retard","À venir")))))</x:f>
      </x:c>
      <x:c r="N50" s="12" t="str">
        <x:f>IF(OR(A50="",I50=""),"",IF(M50="Retard",'Tableau de bord'!$F$5-I50,0))</x:f>
      </x:c>
      <x:c r="O50" s="9"/>
      <x:c r="P50" s="12" t="str">
        <x:f>IF(A50="","",IF(OR(B50="",G50="",H50="",E50=""),"À compléter",IF(COUNTIFS($A$6:$A$505,A50,$B$6:$B$505,B50)&gt;1,"Doublon ID",IF(AND(ISNUMBER(J50),J50&lt;E50),"Incohérent",""))))</x:f>
      </x:c>
    </x:row>
    <x:row r="51" ht="23" customHeight="1">
      <x:c r="A51" s="9"/>
      <x:c r="B51" s="9"/>
      <x:c r="C51" s="9"/>
      <x:c r="D51" s="9"/>
      <x:c r="E51" s="11"/>
      <x:c r="F51" s="9"/>
      <x:c r="G51" s="9"/>
      <x:c r="H51" s="9"/>
      <x:c r="I51" s="11"/>
      <x:c r="J51" s="11"/>
      <x:c r="K51" s="9"/>
      <x:c r="L51" s="9"/>
      <x:c r="M51" s="12" t="str">
        <x:f>IF(A51="","",IF(G51="","À compléter",IF(AND(ISNUMBER(J51),J51&lt;='Tableau de bord'!$F$5),"Réalisée",IF(I51="","À compléter",IF(I51&lt;'Tableau de bord'!$F$5,"Retard","À venir")))))</x:f>
      </x:c>
      <x:c r="N51" s="12" t="str">
        <x:f>IF(OR(A51="",I51=""),"",IF(M51="Retard",'Tableau de bord'!$F$5-I51,0))</x:f>
      </x:c>
      <x:c r="O51" s="9"/>
      <x:c r="P51" s="12" t="str">
        <x:f>IF(A51="","",IF(OR(B51="",G51="",H51="",E51=""),"À compléter",IF(COUNTIFS($A$6:$A$505,A51,$B$6:$B$505,B51)&gt;1,"Doublon ID",IF(AND(ISNUMBER(J51),J51&lt;E51),"Incohérent",""))))</x:f>
      </x:c>
    </x:row>
    <x:row r="52" ht="23" customHeight="1">
      <x:c r="A52" s="9"/>
      <x:c r="B52" s="9"/>
      <x:c r="C52" s="9"/>
      <x:c r="D52" s="9"/>
      <x:c r="E52" s="11"/>
      <x:c r="F52" s="9"/>
      <x:c r="G52" s="9"/>
      <x:c r="H52" s="9"/>
      <x:c r="I52" s="11"/>
      <x:c r="J52" s="11"/>
      <x:c r="K52" s="9"/>
      <x:c r="L52" s="9"/>
      <x:c r="M52" s="12" t="str">
        <x:f>IF(A52="","",IF(G52="","À compléter",IF(AND(ISNUMBER(J52),J52&lt;='Tableau de bord'!$F$5),"Réalisée",IF(I52="","À compléter",IF(I52&lt;'Tableau de bord'!$F$5,"Retard","À venir")))))</x:f>
      </x:c>
      <x:c r="N52" s="12" t="str">
        <x:f>IF(OR(A52="",I52=""),"",IF(M52="Retard",'Tableau de bord'!$F$5-I52,0))</x:f>
      </x:c>
      <x:c r="O52" s="9"/>
      <x:c r="P52" s="12" t="str">
        <x:f>IF(A52="","",IF(OR(B52="",G52="",H52="",E52=""),"À compléter",IF(COUNTIFS($A$6:$A$505,A52,$B$6:$B$505,B52)&gt;1,"Doublon ID",IF(AND(ISNUMBER(J52),J52&lt;E52),"Incohérent",""))))</x:f>
      </x:c>
    </x:row>
    <x:row r="53" ht="23" customHeight="1">
      <x:c r="A53" s="9"/>
      <x:c r="B53" s="9"/>
      <x:c r="C53" s="9"/>
      <x:c r="D53" s="9"/>
      <x:c r="E53" s="11"/>
      <x:c r="F53" s="9"/>
      <x:c r="G53" s="9"/>
      <x:c r="H53" s="9"/>
      <x:c r="I53" s="11"/>
      <x:c r="J53" s="11"/>
      <x:c r="K53" s="9"/>
      <x:c r="L53" s="9"/>
      <x:c r="M53" s="12" t="str">
        <x:f>IF(A53="","",IF(G53="","À compléter",IF(AND(ISNUMBER(J53),J53&lt;='Tableau de bord'!$F$5),"Réalisée",IF(I53="","À compléter",IF(I53&lt;'Tableau de bord'!$F$5,"Retard","À venir")))))</x:f>
      </x:c>
      <x:c r="N53" s="12" t="str">
        <x:f>IF(OR(A53="",I53=""),"",IF(M53="Retard",'Tableau de bord'!$F$5-I53,0))</x:f>
      </x:c>
      <x:c r="O53" s="9"/>
      <x:c r="P53" s="12" t="str">
        <x:f>IF(A53="","",IF(OR(B53="",G53="",H53="",E53=""),"À compléter",IF(COUNTIFS($A$6:$A$505,A53,$B$6:$B$505,B53)&gt;1,"Doublon ID",IF(AND(ISNUMBER(J53),J53&lt;E53),"Incohérent",""))))</x:f>
      </x:c>
    </x:row>
    <x:row r="54" ht="23" customHeight="1">
      <x:c r="A54" s="9"/>
      <x:c r="B54" s="9"/>
      <x:c r="C54" s="9"/>
      <x:c r="D54" s="9"/>
      <x:c r="E54" s="11"/>
      <x:c r="F54" s="9"/>
      <x:c r="G54" s="9"/>
      <x:c r="H54" s="9"/>
      <x:c r="I54" s="11"/>
      <x:c r="J54" s="11"/>
      <x:c r="K54" s="9"/>
      <x:c r="L54" s="9"/>
      <x:c r="M54" s="12" t="str">
        <x:f>IF(A54="","",IF(G54="","À compléter",IF(AND(ISNUMBER(J54),J54&lt;='Tableau de bord'!$F$5),"Réalisée",IF(I54="","À compléter",IF(I54&lt;'Tableau de bord'!$F$5,"Retard","À venir")))))</x:f>
      </x:c>
      <x:c r="N54" s="12" t="str">
        <x:f>IF(OR(A54="",I54=""),"",IF(M54="Retard",'Tableau de bord'!$F$5-I54,0))</x:f>
      </x:c>
      <x:c r="O54" s="9"/>
      <x:c r="P54" s="12" t="str">
        <x:f>IF(A54="","",IF(OR(B54="",G54="",H54="",E54=""),"À compléter",IF(COUNTIFS($A$6:$A$505,A54,$B$6:$B$505,B54)&gt;1,"Doublon ID",IF(AND(ISNUMBER(J54),J54&lt;E54),"Incohérent",""))))</x:f>
      </x:c>
    </x:row>
    <x:row r="55" ht="23" customHeight="1">
      <x:c r="A55" s="9"/>
      <x:c r="B55" s="9"/>
      <x:c r="C55" s="9"/>
      <x:c r="D55" s="9"/>
      <x:c r="E55" s="11"/>
      <x:c r="F55" s="9"/>
      <x:c r="G55" s="9"/>
      <x:c r="H55" s="9"/>
      <x:c r="I55" s="11"/>
      <x:c r="J55" s="11"/>
      <x:c r="K55" s="9"/>
      <x:c r="L55" s="9"/>
      <x:c r="M55" s="12" t="str">
        <x:f>IF(A55="","",IF(G55="","À compléter",IF(AND(ISNUMBER(J55),J55&lt;='Tableau de bord'!$F$5),"Réalisée",IF(I55="","À compléter",IF(I55&lt;'Tableau de bord'!$F$5,"Retard","À venir")))))</x:f>
      </x:c>
      <x:c r="N55" s="12" t="str">
        <x:f>IF(OR(A55="",I55=""),"",IF(M55="Retard",'Tableau de bord'!$F$5-I55,0))</x:f>
      </x:c>
      <x:c r="O55" s="9"/>
      <x:c r="P55" s="12" t="str">
        <x:f>IF(A55="","",IF(OR(B55="",G55="",H55="",E55=""),"À compléter",IF(COUNTIFS($A$6:$A$505,A55,$B$6:$B$505,B55)&gt;1,"Doublon ID",IF(AND(ISNUMBER(J55),J55&lt;E55),"Incohérent",""))))</x:f>
      </x:c>
    </x:row>
    <x:row r="56" ht="23" customHeight="1">
      <x:c r="A56" s="9"/>
      <x:c r="B56" s="9"/>
      <x:c r="C56" s="9"/>
      <x:c r="D56" s="9"/>
      <x:c r="E56" s="11"/>
      <x:c r="F56" s="9"/>
      <x:c r="G56" s="9"/>
      <x:c r="H56" s="9"/>
      <x:c r="I56" s="11"/>
      <x:c r="J56" s="11"/>
      <x:c r="K56" s="9"/>
      <x:c r="L56" s="9"/>
      <x:c r="M56" s="12" t="str">
        <x:f>IF(A56="","",IF(G56="","À compléter",IF(AND(ISNUMBER(J56),J56&lt;='Tableau de bord'!$F$5),"Réalisée",IF(I56="","À compléter",IF(I56&lt;'Tableau de bord'!$F$5,"Retard","À venir")))))</x:f>
      </x:c>
      <x:c r="N56" s="12" t="str">
        <x:f>IF(OR(A56="",I56=""),"",IF(M56="Retard",'Tableau de bord'!$F$5-I56,0))</x:f>
      </x:c>
      <x:c r="O56" s="9"/>
      <x:c r="P56" s="12" t="str">
        <x:f>IF(A56="","",IF(OR(B56="",G56="",H56="",E56=""),"À compléter",IF(COUNTIFS($A$6:$A$505,A56,$B$6:$B$505,B56)&gt;1,"Doublon ID",IF(AND(ISNUMBER(J56),J56&lt;E56),"Incohérent",""))))</x:f>
      </x:c>
    </x:row>
    <x:row r="57" ht="23" customHeight="1">
      <x:c r="A57" s="9"/>
      <x:c r="B57" s="9"/>
      <x:c r="C57" s="9"/>
      <x:c r="D57" s="9"/>
      <x:c r="E57" s="11"/>
      <x:c r="F57" s="9"/>
      <x:c r="G57" s="9"/>
      <x:c r="H57" s="9"/>
      <x:c r="I57" s="11"/>
      <x:c r="J57" s="11"/>
      <x:c r="K57" s="9"/>
      <x:c r="L57" s="9"/>
      <x:c r="M57" s="12" t="str">
        <x:f>IF(A57="","",IF(G57="","À compléter",IF(AND(ISNUMBER(J57),J57&lt;='Tableau de bord'!$F$5),"Réalisée",IF(I57="","À compléter",IF(I57&lt;'Tableau de bord'!$F$5,"Retard","À venir")))))</x:f>
      </x:c>
      <x:c r="N57" s="12" t="str">
        <x:f>IF(OR(A57="",I57=""),"",IF(M57="Retard",'Tableau de bord'!$F$5-I57,0))</x:f>
      </x:c>
      <x:c r="O57" s="9"/>
      <x:c r="P57" s="12" t="str">
        <x:f>IF(A57="","",IF(OR(B57="",G57="",H57="",E57=""),"À compléter",IF(COUNTIFS($A$6:$A$505,A57,$B$6:$B$505,B57)&gt;1,"Doublon ID",IF(AND(ISNUMBER(J57),J57&lt;E57),"Incohérent",""))))</x:f>
      </x:c>
    </x:row>
    <x:row r="58" ht="23" customHeight="1">
      <x:c r="A58" s="9"/>
      <x:c r="B58" s="9"/>
      <x:c r="C58" s="9"/>
      <x:c r="D58" s="9"/>
      <x:c r="E58" s="11"/>
      <x:c r="F58" s="9"/>
      <x:c r="G58" s="9"/>
      <x:c r="H58" s="9"/>
      <x:c r="I58" s="11"/>
      <x:c r="J58" s="11"/>
      <x:c r="K58" s="9"/>
      <x:c r="L58" s="9"/>
      <x:c r="M58" s="12" t="str">
        <x:f>IF(A58="","",IF(G58="","À compléter",IF(AND(ISNUMBER(J58),J58&lt;='Tableau de bord'!$F$5),"Réalisée",IF(I58="","À compléter",IF(I58&lt;'Tableau de bord'!$F$5,"Retard","À venir")))))</x:f>
      </x:c>
      <x:c r="N58" s="12" t="str">
        <x:f>IF(OR(A58="",I58=""),"",IF(M58="Retard",'Tableau de bord'!$F$5-I58,0))</x:f>
      </x:c>
      <x:c r="O58" s="9"/>
      <x:c r="P58" s="12" t="str">
        <x:f>IF(A58="","",IF(OR(B58="",G58="",H58="",E58=""),"À compléter",IF(COUNTIFS($A$6:$A$505,A58,$B$6:$B$505,B58)&gt;1,"Doublon ID",IF(AND(ISNUMBER(J58),J58&lt;E58),"Incohérent",""))))</x:f>
      </x:c>
    </x:row>
    <x:row r="59" ht="23" customHeight="1">
      <x:c r="A59" s="9"/>
      <x:c r="B59" s="9"/>
      <x:c r="C59" s="9"/>
      <x:c r="D59" s="9"/>
      <x:c r="E59" s="11"/>
      <x:c r="F59" s="9"/>
      <x:c r="G59" s="9"/>
      <x:c r="H59" s="9"/>
      <x:c r="I59" s="11"/>
      <x:c r="J59" s="11"/>
      <x:c r="K59" s="9"/>
      <x:c r="L59" s="9"/>
      <x:c r="M59" s="12" t="str">
        <x:f>IF(A59="","",IF(G59="","À compléter",IF(AND(ISNUMBER(J59),J59&lt;='Tableau de bord'!$F$5),"Réalisée",IF(I59="","À compléter",IF(I59&lt;'Tableau de bord'!$F$5,"Retard","À venir")))))</x:f>
      </x:c>
      <x:c r="N59" s="12" t="str">
        <x:f>IF(OR(A59="",I59=""),"",IF(M59="Retard",'Tableau de bord'!$F$5-I59,0))</x:f>
      </x:c>
      <x:c r="O59" s="9"/>
      <x:c r="P59" s="12" t="str">
        <x:f>IF(A59="","",IF(OR(B59="",G59="",H59="",E59=""),"À compléter",IF(COUNTIFS($A$6:$A$505,A59,$B$6:$B$505,B59)&gt;1,"Doublon ID",IF(AND(ISNUMBER(J59),J59&lt;E59),"Incohérent",""))))</x:f>
      </x:c>
    </x:row>
    <x:row r="60" ht="23" customHeight="1">
      <x:c r="A60" s="9"/>
      <x:c r="B60" s="9"/>
      <x:c r="C60" s="9"/>
      <x:c r="D60" s="9"/>
      <x:c r="E60" s="11"/>
      <x:c r="F60" s="9"/>
      <x:c r="G60" s="9"/>
      <x:c r="H60" s="9"/>
      <x:c r="I60" s="11"/>
      <x:c r="J60" s="11"/>
      <x:c r="K60" s="9"/>
      <x:c r="L60" s="9"/>
      <x:c r="M60" s="12" t="str">
        <x:f>IF(A60="","",IF(G60="","À compléter",IF(AND(ISNUMBER(J60),J60&lt;='Tableau de bord'!$F$5),"Réalisée",IF(I60="","À compléter",IF(I60&lt;'Tableau de bord'!$F$5,"Retard","À venir")))))</x:f>
      </x:c>
      <x:c r="N60" s="12" t="str">
        <x:f>IF(OR(A60="",I60=""),"",IF(M60="Retard",'Tableau de bord'!$F$5-I60,0))</x:f>
      </x:c>
      <x:c r="O60" s="9"/>
      <x:c r="P60" s="12" t="str">
        <x:f>IF(A60="","",IF(OR(B60="",G60="",H60="",E60=""),"À compléter",IF(COUNTIFS($A$6:$A$505,A60,$B$6:$B$505,B60)&gt;1,"Doublon ID",IF(AND(ISNUMBER(J60),J60&lt;E60),"Incohérent",""))))</x:f>
      </x:c>
    </x:row>
    <x:row r="61" ht="23" customHeight="1">
      <x:c r="A61" s="9"/>
      <x:c r="B61" s="9"/>
      <x:c r="C61" s="9"/>
      <x:c r="D61" s="9"/>
      <x:c r="E61" s="11"/>
      <x:c r="F61" s="9"/>
      <x:c r="G61" s="9"/>
      <x:c r="H61" s="9"/>
      <x:c r="I61" s="11"/>
      <x:c r="J61" s="11"/>
      <x:c r="K61" s="9"/>
      <x:c r="L61" s="9"/>
      <x:c r="M61" s="12" t="str">
        <x:f>IF(A61="","",IF(G61="","À compléter",IF(AND(ISNUMBER(J61),J61&lt;='Tableau de bord'!$F$5),"Réalisée",IF(I61="","À compléter",IF(I61&lt;'Tableau de bord'!$F$5,"Retard","À venir")))))</x:f>
      </x:c>
      <x:c r="N61" s="12" t="str">
        <x:f>IF(OR(A61="",I61=""),"",IF(M61="Retard",'Tableau de bord'!$F$5-I61,0))</x:f>
      </x:c>
      <x:c r="O61" s="9"/>
      <x:c r="P61" s="12" t="str">
        <x:f>IF(A61="","",IF(OR(B61="",G61="",H61="",E61=""),"À compléter",IF(COUNTIFS($A$6:$A$505,A61,$B$6:$B$505,B61)&gt;1,"Doublon ID",IF(AND(ISNUMBER(J61),J61&lt;E61),"Incohérent",""))))</x:f>
      </x:c>
    </x:row>
    <x:row r="62" ht="23" customHeight="1">
      <x:c r="A62" s="9"/>
      <x:c r="B62" s="9"/>
      <x:c r="C62" s="9"/>
      <x:c r="D62" s="9"/>
      <x:c r="E62" s="11"/>
      <x:c r="F62" s="9"/>
      <x:c r="G62" s="9"/>
      <x:c r="H62" s="9"/>
      <x:c r="I62" s="11"/>
      <x:c r="J62" s="11"/>
      <x:c r="K62" s="9"/>
      <x:c r="L62" s="9"/>
      <x:c r="M62" s="12" t="str">
        <x:f>IF(A62="","",IF(G62="","À compléter",IF(AND(ISNUMBER(J62),J62&lt;='Tableau de bord'!$F$5),"Réalisée",IF(I62="","À compléter",IF(I62&lt;'Tableau de bord'!$F$5,"Retard","À venir")))))</x:f>
      </x:c>
      <x:c r="N62" s="12" t="str">
        <x:f>IF(OR(A62="",I62=""),"",IF(M62="Retard",'Tableau de bord'!$F$5-I62,0))</x:f>
      </x:c>
      <x:c r="O62" s="9"/>
      <x:c r="P62" s="12" t="str">
        <x:f>IF(A62="","",IF(OR(B62="",G62="",H62="",E62=""),"À compléter",IF(COUNTIFS($A$6:$A$505,A62,$B$6:$B$505,B62)&gt;1,"Doublon ID",IF(AND(ISNUMBER(J62),J62&lt;E62),"Incohérent",""))))</x:f>
      </x:c>
    </x:row>
    <x:row r="63" ht="23" customHeight="1">
      <x:c r="A63" s="9"/>
      <x:c r="B63" s="9"/>
      <x:c r="C63" s="9"/>
      <x:c r="D63" s="9"/>
      <x:c r="E63" s="11"/>
      <x:c r="F63" s="9"/>
      <x:c r="G63" s="9"/>
      <x:c r="H63" s="9"/>
      <x:c r="I63" s="11"/>
      <x:c r="J63" s="11"/>
      <x:c r="K63" s="9"/>
      <x:c r="L63" s="9"/>
      <x:c r="M63" s="12" t="str">
        <x:f>IF(A63="","",IF(G63="","À compléter",IF(AND(ISNUMBER(J63),J63&lt;='Tableau de bord'!$F$5),"Réalisée",IF(I63="","À compléter",IF(I63&lt;'Tableau de bord'!$F$5,"Retard","À venir")))))</x:f>
      </x:c>
      <x:c r="N63" s="12" t="str">
        <x:f>IF(OR(A63="",I63=""),"",IF(M63="Retard",'Tableau de bord'!$F$5-I63,0))</x:f>
      </x:c>
      <x:c r="O63" s="9"/>
      <x:c r="P63" s="12" t="str">
        <x:f>IF(A63="","",IF(OR(B63="",G63="",H63="",E63=""),"À compléter",IF(COUNTIFS($A$6:$A$505,A63,$B$6:$B$505,B63)&gt;1,"Doublon ID",IF(AND(ISNUMBER(J63),J63&lt;E63),"Incohérent",""))))</x:f>
      </x:c>
    </x:row>
    <x:row r="64" ht="23" customHeight="1">
      <x:c r="A64" s="9"/>
      <x:c r="B64" s="9"/>
      <x:c r="C64" s="9"/>
      <x:c r="D64" s="9"/>
      <x:c r="E64" s="11"/>
      <x:c r="F64" s="9"/>
      <x:c r="G64" s="9"/>
      <x:c r="H64" s="9"/>
      <x:c r="I64" s="11"/>
      <x:c r="J64" s="11"/>
      <x:c r="K64" s="9"/>
      <x:c r="L64" s="9"/>
      <x:c r="M64" s="12" t="str">
        <x:f>IF(A64="","",IF(G64="","À compléter",IF(AND(ISNUMBER(J64),J64&lt;='Tableau de bord'!$F$5),"Réalisée",IF(I64="","À compléter",IF(I64&lt;'Tableau de bord'!$F$5,"Retard","À venir")))))</x:f>
      </x:c>
      <x:c r="N64" s="12" t="str">
        <x:f>IF(OR(A64="",I64=""),"",IF(M64="Retard",'Tableau de bord'!$F$5-I64,0))</x:f>
      </x:c>
      <x:c r="O64" s="9"/>
      <x:c r="P64" s="12" t="str">
        <x:f>IF(A64="","",IF(OR(B64="",G64="",H64="",E64=""),"À compléter",IF(COUNTIFS($A$6:$A$505,A64,$B$6:$B$505,B64)&gt;1,"Doublon ID",IF(AND(ISNUMBER(J64),J64&lt;E64),"Incohérent",""))))</x:f>
      </x:c>
    </x:row>
    <x:row r="65" ht="23" customHeight="1">
      <x:c r="A65" s="9"/>
      <x:c r="B65" s="9"/>
      <x:c r="C65" s="9"/>
      <x:c r="D65" s="9"/>
      <x:c r="E65" s="11"/>
      <x:c r="F65" s="9"/>
      <x:c r="G65" s="9"/>
      <x:c r="H65" s="9"/>
      <x:c r="I65" s="11"/>
      <x:c r="J65" s="11"/>
      <x:c r="K65" s="9"/>
      <x:c r="L65" s="9"/>
      <x:c r="M65" s="12" t="str">
        <x:f>IF(A65="","",IF(G65="","À compléter",IF(AND(ISNUMBER(J65),J65&lt;='Tableau de bord'!$F$5),"Réalisée",IF(I65="","À compléter",IF(I65&lt;'Tableau de bord'!$F$5,"Retard","À venir")))))</x:f>
      </x:c>
      <x:c r="N65" s="12" t="str">
        <x:f>IF(OR(A65="",I65=""),"",IF(M65="Retard",'Tableau de bord'!$F$5-I65,0))</x:f>
      </x:c>
      <x:c r="O65" s="9"/>
      <x:c r="P65" s="12" t="str">
        <x:f>IF(A65="","",IF(OR(B65="",G65="",H65="",E65=""),"À compléter",IF(COUNTIFS($A$6:$A$505,A65,$B$6:$B$505,B65)&gt;1,"Doublon ID",IF(AND(ISNUMBER(J65),J65&lt;E65),"Incohérent",""))))</x:f>
      </x:c>
    </x:row>
    <x:row r="66" ht="23" customHeight="1">
      <x:c r="A66" s="9"/>
      <x:c r="B66" s="9"/>
      <x:c r="C66" s="9"/>
      <x:c r="D66" s="9"/>
      <x:c r="E66" s="11"/>
      <x:c r="F66" s="9"/>
      <x:c r="G66" s="9"/>
      <x:c r="H66" s="9"/>
      <x:c r="I66" s="11"/>
      <x:c r="J66" s="11"/>
      <x:c r="K66" s="9"/>
      <x:c r="L66" s="9"/>
      <x:c r="M66" s="12" t="str">
        <x:f>IF(A66="","",IF(G66="","À compléter",IF(AND(ISNUMBER(J66),J66&lt;='Tableau de bord'!$F$5),"Réalisée",IF(I66="","À compléter",IF(I66&lt;'Tableau de bord'!$F$5,"Retard","À venir")))))</x:f>
      </x:c>
      <x:c r="N66" s="12" t="str">
        <x:f>IF(OR(A66="",I66=""),"",IF(M66="Retard",'Tableau de bord'!$F$5-I66,0))</x:f>
      </x:c>
      <x:c r="O66" s="9"/>
      <x:c r="P66" s="12" t="str">
        <x:f>IF(A66="","",IF(OR(B66="",G66="",H66="",E66=""),"À compléter",IF(COUNTIFS($A$6:$A$505,A66,$B$6:$B$505,B66)&gt;1,"Doublon ID",IF(AND(ISNUMBER(J66),J66&lt;E66),"Incohérent",""))))</x:f>
      </x:c>
    </x:row>
    <x:row r="67" ht="23" customHeight="1">
      <x:c r="A67" s="9"/>
      <x:c r="B67" s="9"/>
      <x:c r="C67" s="9"/>
      <x:c r="D67" s="9"/>
      <x:c r="E67" s="11"/>
      <x:c r="F67" s="9"/>
      <x:c r="G67" s="9"/>
      <x:c r="H67" s="9"/>
      <x:c r="I67" s="11"/>
      <x:c r="J67" s="11"/>
      <x:c r="K67" s="9"/>
      <x:c r="L67" s="9"/>
      <x:c r="M67" s="12" t="str">
        <x:f>IF(A67="","",IF(G67="","À compléter",IF(AND(ISNUMBER(J67),J67&lt;='Tableau de bord'!$F$5),"Réalisée",IF(I67="","À compléter",IF(I67&lt;'Tableau de bord'!$F$5,"Retard","À venir")))))</x:f>
      </x:c>
      <x:c r="N67" s="12" t="str">
        <x:f>IF(OR(A67="",I67=""),"",IF(M67="Retard",'Tableau de bord'!$F$5-I67,0))</x:f>
      </x:c>
      <x:c r="O67" s="9"/>
      <x:c r="P67" s="12" t="str">
        <x:f>IF(A67="","",IF(OR(B67="",G67="",H67="",E67=""),"À compléter",IF(COUNTIFS($A$6:$A$505,A67,$B$6:$B$505,B67)&gt;1,"Doublon ID",IF(AND(ISNUMBER(J67),J67&lt;E67),"Incohérent",""))))</x:f>
      </x:c>
    </x:row>
    <x:row r="68" ht="23" customHeight="1">
      <x:c r="A68" s="9"/>
      <x:c r="B68" s="9"/>
      <x:c r="C68" s="9"/>
      <x:c r="D68" s="9"/>
      <x:c r="E68" s="11"/>
      <x:c r="F68" s="9"/>
      <x:c r="G68" s="9"/>
      <x:c r="H68" s="9"/>
      <x:c r="I68" s="11"/>
      <x:c r="J68" s="11"/>
      <x:c r="K68" s="9"/>
      <x:c r="L68" s="9"/>
      <x:c r="M68" s="12" t="str">
        <x:f>IF(A68="","",IF(G68="","À compléter",IF(AND(ISNUMBER(J68),J68&lt;='Tableau de bord'!$F$5),"Réalisée",IF(I68="","À compléter",IF(I68&lt;'Tableau de bord'!$F$5,"Retard","À venir")))))</x:f>
      </x:c>
      <x:c r="N68" s="12" t="str">
        <x:f>IF(OR(A68="",I68=""),"",IF(M68="Retard",'Tableau de bord'!$F$5-I68,0))</x:f>
      </x:c>
      <x:c r="O68" s="9"/>
      <x:c r="P68" s="12" t="str">
        <x:f>IF(A68="","",IF(OR(B68="",G68="",H68="",E68=""),"À compléter",IF(COUNTIFS($A$6:$A$505,A68,$B$6:$B$505,B68)&gt;1,"Doublon ID",IF(AND(ISNUMBER(J68),J68&lt;E68),"Incohérent",""))))</x:f>
      </x:c>
    </x:row>
    <x:row r="69" ht="23" customHeight="1">
      <x:c r="A69" s="9"/>
      <x:c r="B69" s="9"/>
      <x:c r="C69" s="9"/>
      <x:c r="D69" s="9"/>
      <x:c r="E69" s="11"/>
      <x:c r="F69" s="9"/>
      <x:c r="G69" s="9"/>
      <x:c r="H69" s="9"/>
      <x:c r="I69" s="11"/>
      <x:c r="J69" s="11"/>
      <x:c r="K69" s="9"/>
      <x:c r="L69" s="9"/>
      <x:c r="M69" s="12" t="str">
        <x:f>IF(A69="","",IF(G69="","À compléter",IF(AND(ISNUMBER(J69),J69&lt;='Tableau de bord'!$F$5),"Réalisée",IF(I69="","À compléter",IF(I69&lt;'Tableau de bord'!$F$5,"Retard","À venir")))))</x:f>
      </x:c>
      <x:c r="N69" s="12" t="str">
        <x:f>IF(OR(A69="",I69=""),"",IF(M69="Retard",'Tableau de bord'!$F$5-I69,0))</x:f>
      </x:c>
      <x:c r="O69" s="9"/>
      <x:c r="P69" s="12" t="str">
        <x:f>IF(A69="","",IF(OR(B69="",G69="",H69="",E69=""),"À compléter",IF(COUNTIFS($A$6:$A$505,A69,$B$6:$B$505,B69)&gt;1,"Doublon ID",IF(AND(ISNUMBER(J69),J69&lt;E69),"Incohérent",""))))</x:f>
      </x:c>
    </x:row>
    <x:row r="70" ht="23" customHeight="1">
      <x:c r="A70" s="9"/>
      <x:c r="B70" s="9"/>
      <x:c r="C70" s="9"/>
      <x:c r="D70" s="9"/>
      <x:c r="E70" s="11"/>
      <x:c r="F70" s="9"/>
      <x:c r="G70" s="9"/>
      <x:c r="H70" s="9"/>
      <x:c r="I70" s="11"/>
      <x:c r="J70" s="11"/>
      <x:c r="K70" s="9"/>
      <x:c r="L70" s="9"/>
      <x:c r="M70" s="12" t="str">
        <x:f>IF(A70="","",IF(G70="","À compléter",IF(AND(ISNUMBER(J70),J70&lt;='Tableau de bord'!$F$5),"Réalisée",IF(I70="","À compléter",IF(I70&lt;'Tableau de bord'!$F$5,"Retard","À venir")))))</x:f>
      </x:c>
      <x:c r="N70" s="12" t="str">
        <x:f>IF(OR(A70="",I70=""),"",IF(M70="Retard",'Tableau de bord'!$F$5-I70,0))</x:f>
      </x:c>
      <x:c r="O70" s="9"/>
      <x:c r="P70" s="12" t="str">
        <x:f>IF(A70="","",IF(OR(B70="",G70="",H70="",E70=""),"À compléter",IF(COUNTIFS($A$6:$A$505,A70,$B$6:$B$505,B70)&gt;1,"Doublon ID",IF(AND(ISNUMBER(J70),J70&lt;E70),"Incohérent",""))))</x:f>
      </x:c>
    </x:row>
    <x:row r="71" ht="23" customHeight="1">
      <x:c r="A71" s="9"/>
      <x:c r="B71" s="9"/>
      <x:c r="C71" s="9"/>
      <x:c r="D71" s="9"/>
      <x:c r="E71" s="11"/>
      <x:c r="F71" s="9"/>
      <x:c r="G71" s="9"/>
      <x:c r="H71" s="9"/>
      <x:c r="I71" s="11"/>
      <x:c r="J71" s="11"/>
      <x:c r="K71" s="9"/>
      <x:c r="L71" s="9"/>
      <x:c r="M71" s="12" t="str">
        <x:f>IF(A71="","",IF(G71="","À compléter",IF(AND(ISNUMBER(J71),J71&lt;='Tableau de bord'!$F$5),"Réalisée",IF(I71="","À compléter",IF(I71&lt;'Tableau de bord'!$F$5,"Retard","À venir")))))</x:f>
      </x:c>
      <x:c r="N71" s="12" t="str">
        <x:f>IF(OR(A71="",I71=""),"",IF(M71="Retard",'Tableau de bord'!$F$5-I71,0))</x:f>
      </x:c>
      <x:c r="O71" s="9"/>
      <x:c r="P71" s="12" t="str">
        <x:f>IF(A71="","",IF(OR(B71="",G71="",H71="",E71=""),"À compléter",IF(COUNTIFS($A$6:$A$505,A71,$B$6:$B$505,B71)&gt;1,"Doublon ID",IF(AND(ISNUMBER(J71),J71&lt;E71),"Incohérent",""))))</x:f>
      </x:c>
    </x:row>
    <x:row r="72" ht="23" customHeight="1">
      <x:c r="A72" s="9"/>
      <x:c r="B72" s="9"/>
      <x:c r="C72" s="9"/>
      <x:c r="D72" s="9"/>
      <x:c r="E72" s="11"/>
      <x:c r="F72" s="9"/>
      <x:c r="G72" s="9"/>
      <x:c r="H72" s="9"/>
      <x:c r="I72" s="11"/>
      <x:c r="J72" s="11"/>
      <x:c r="K72" s="9"/>
      <x:c r="L72" s="9"/>
      <x:c r="M72" s="12" t="str">
        <x:f>IF(A72="","",IF(G72="","À compléter",IF(AND(ISNUMBER(J72),J72&lt;='Tableau de bord'!$F$5),"Réalisée",IF(I72="","À compléter",IF(I72&lt;'Tableau de bord'!$F$5,"Retard","À venir")))))</x:f>
      </x:c>
      <x:c r="N72" s="12" t="str">
        <x:f>IF(OR(A72="",I72=""),"",IF(M72="Retard",'Tableau de bord'!$F$5-I72,0))</x:f>
      </x:c>
      <x:c r="O72" s="9"/>
      <x:c r="P72" s="12" t="str">
        <x:f>IF(A72="","",IF(OR(B72="",G72="",H72="",E72=""),"À compléter",IF(COUNTIFS($A$6:$A$505,A72,$B$6:$B$505,B72)&gt;1,"Doublon ID",IF(AND(ISNUMBER(J72),J72&lt;E72),"Incohérent",""))))</x:f>
      </x:c>
    </x:row>
    <x:row r="73" ht="23" customHeight="1">
      <x:c r="A73" s="9"/>
      <x:c r="B73" s="9"/>
      <x:c r="C73" s="9"/>
      <x:c r="D73" s="9"/>
      <x:c r="E73" s="11"/>
      <x:c r="F73" s="9"/>
      <x:c r="G73" s="9"/>
      <x:c r="H73" s="9"/>
      <x:c r="I73" s="11"/>
      <x:c r="J73" s="11"/>
      <x:c r="K73" s="9"/>
      <x:c r="L73" s="9"/>
      <x:c r="M73" s="12" t="str">
        <x:f>IF(A73="","",IF(G73="","À compléter",IF(AND(ISNUMBER(J73),J73&lt;='Tableau de bord'!$F$5),"Réalisée",IF(I73="","À compléter",IF(I73&lt;'Tableau de bord'!$F$5,"Retard","À venir")))))</x:f>
      </x:c>
      <x:c r="N73" s="12" t="str">
        <x:f>IF(OR(A73="",I73=""),"",IF(M73="Retard",'Tableau de bord'!$F$5-I73,0))</x:f>
      </x:c>
      <x:c r="O73" s="9"/>
      <x:c r="P73" s="12" t="str">
        <x:f>IF(A73="","",IF(OR(B73="",G73="",H73="",E73=""),"À compléter",IF(COUNTIFS($A$6:$A$505,A73,$B$6:$B$505,B73)&gt;1,"Doublon ID",IF(AND(ISNUMBER(J73),J73&lt;E73),"Incohérent",""))))</x:f>
      </x:c>
    </x:row>
    <x:row r="74" ht="23" customHeight="1">
      <x:c r="A74" s="9"/>
      <x:c r="B74" s="9"/>
      <x:c r="C74" s="9"/>
      <x:c r="D74" s="9"/>
      <x:c r="E74" s="11"/>
      <x:c r="F74" s="9"/>
      <x:c r="G74" s="9"/>
      <x:c r="H74" s="9"/>
      <x:c r="I74" s="11"/>
      <x:c r="J74" s="11"/>
      <x:c r="K74" s="9"/>
      <x:c r="L74" s="9"/>
      <x:c r="M74" s="12" t="str">
        <x:f>IF(A74="","",IF(G74="","À compléter",IF(AND(ISNUMBER(J74),J74&lt;='Tableau de bord'!$F$5),"Réalisée",IF(I74="","À compléter",IF(I74&lt;'Tableau de bord'!$F$5,"Retard","À venir")))))</x:f>
      </x:c>
      <x:c r="N74" s="12" t="str">
        <x:f>IF(OR(A74="",I74=""),"",IF(M74="Retard",'Tableau de bord'!$F$5-I74,0))</x:f>
      </x:c>
      <x:c r="O74" s="9"/>
      <x:c r="P74" s="12" t="str">
        <x:f>IF(A74="","",IF(OR(B74="",G74="",H74="",E74=""),"À compléter",IF(COUNTIFS($A$6:$A$505,A74,$B$6:$B$505,B74)&gt;1,"Doublon ID",IF(AND(ISNUMBER(J74),J74&lt;E74),"Incohérent",""))))</x:f>
      </x:c>
    </x:row>
    <x:row r="75" ht="23" customHeight="1">
      <x:c r="A75" s="9"/>
      <x:c r="B75" s="9"/>
      <x:c r="C75" s="9"/>
      <x:c r="D75" s="9"/>
      <x:c r="E75" s="11"/>
      <x:c r="F75" s="9"/>
      <x:c r="G75" s="9"/>
      <x:c r="H75" s="9"/>
      <x:c r="I75" s="11"/>
      <x:c r="J75" s="11"/>
      <x:c r="K75" s="9"/>
      <x:c r="L75" s="9"/>
      <x:c r="M75" s="12" t="str">
        <x:f>IF(A75="","",IF(G75="","À compléter",IF(AND(ISNUMBER(J75),J75&lt;='Tableau de bord'!$F$5),"Réalisée",IF(I75="","À compléter",IF(I75&lt;'Tableau de bord'!$F$5,"Retard","À venir")))))</x:f>
      </x:c>
      <x:c r="N75" s="12" t="str">
        <x:f>IF(OR(A75="",I75=""),"",IF(M75="Retard",'Tableau de bord'!$F$5-I75,0))</x:f>
      </x:c>
      <x:c r="O75" s="9"/>
      <x:c r="P75" s="12" t="str">
        <x:f>IF(A75="","",IF(OR(B75="",G75="",H75="",E75=""),"À compléter",IF(COUNTIFS($A$6:$A$505,A75,$B$6:$B$505,B75)&gt;1,"Doublon ID",IF(AND(ISNUMBER(J75),J75&lt;E75),"Incohérent",""))))</x:f>
      </x:c>
    </x:row>
    <x:row r="76" ht="23" customHeight="1">
      <x:c r="A76" s="9"/>
      <x:c r="B76" s="9"/>
      <x:c r="C76" s="9"/>
      <x:c r="D76" s="9"/>
      <x:c r="E76" s="11"/>
      <x:c r="F76" s="9"/>
      <x:c r="G76" s="9"/>
      <x:c r="H76" s="9"/>
      <x:c r="I76" s="11"/>
      <x:c r="J76" s="11"/>
      <x:c r="K76" s="9"/>
      <x:c r="L76" s="9"/>
      <x:c r="M76" s="12" t="str">
        <x:f>IF(A76="","",IF(G76="","À compléter",IF(AND(ISNUMBER(J76),J76&lt;='Tableau de bord'!$F$5),"Réalisée",IF(I76="","À compléter",IF(I76&lt;'Tableau de bord'!$F$5,"Retard","À venir")))))</x:f>
      </x:c>
      <x:c r="N76" s="12" t="str">
        <x:f>IF(OR(A76="",I76=""),"",IF(M76="Retard",'Tableau de bord'!$F$5-I76,0))</x:f>
      </x:c>
      <x:c r="O76" s="9"/>
      <x:c r="P76" s="12" t="str">
        <x:f>IF(A76="","",IF(OR(B76="",G76="",H76="",E76=""),"À compléter",IF(COUNTIFS($A$6:$A$505,A76,$B$6:$B$505,B76)&gt;1,"Doublon ID",IF(AND(ISNUMBER(J76),J76&lt;E76),"Incohérent",""))))</x:f>
      </x:c>
    </x:row>
    <x:row r="77" ht="23" customHeight="1">
      <x:c r="A77" s="9"/>
      <x:c r="B77" s="9"/>
      <x:c r="C77" s="9"/>
      <x:c r="D77" s="9"/>
      <x:c r="E77" s="11"/>
      <x:c r="F77" s="9"/>
      <x:c r="G77" s="9"/>
      <x:c r="H77" s="9"/>
      <x:c r="I77" s="11"/>
      <x:c r="J77" s="11"/>
      <x:c r="K77" s="9"/>
      <x:c r="L77" s="9"/>
      <x:c r="M77" s="12" t="str">
        <x:f>IF(A77="","",IF(G77="","À compléter",IF(AND(ISNUMBER(J77),J77&lt;='Tableau de bord'!$F$5),"Réalisée",IF(I77="","À compléter",IF(I77&lt;'Tableau de bord'!$F$5,"Retard","À venir")))))</x:f>
      </x:c>
      <x:c r="N77" s="12" t="str">
        <x:f>IF(OR(A77="",I77=""),"",IF(M77="Retard",'Tableau de bord'!$F$5-I77,0))</x:f>
      </x:c>
      <x:c r="O77" s="9"/>
      <x:c r="P77" s="12" t="str">
        <x:f>IF(A77="","",IF(OR(B77="",G77="",H77="",E77=""),"À compléter",IF(COUNTIFS($A$6:$A$505,A77,$B$6:$B$505,B77)&gt;1,"Doublon ID",IF(AND(ISNUMBER(J77),J77&lt;E77),"Incohérent",""))))</x:f>
      </x:c>
    </x:row>
    <x:row r="78" ht="23" customHeight="1">
      <x:c r="A78" s="9"/>
      <x:c r="B78" s="9"/>
      <x:c r="C78" s="9"/>
      <x:c r="D78" s="9"/>
      <x:c r="E78" s="11"/>
      <x:c r="F78" s="9"/>
      <x:c r="G78" s="9"/>
      <x:c r="H78" s="9"/>
      <x:c r="I78" s="11"/>
      <x:c r="J78" s="11"/>
      <x:c r="K78" s="9"/>
      <x:c r="L78" s="9"/>
      <x:c r="M78" s="12" t="str">
        <x:f>IF(A78="","",IF(G78="","À compléter",IF(AND(ISNUMBER(J78),J78&lt;='Tableau de bord'!$F$5),"Réalisée",IF(I78="","À compléter",IF(I78&lt;'Tableau de bord'!$F$5,"Retard","À venir")))))</x:f>
      </x:c>
      <x:c r="N78" s="12" t="str">
        <x:f>IF(OR(A78="",I78=""),"",IF(M78="Retard",'Tableau de bord'!$F$5-I78,0))</x:f>
      </x:c>
      <x:c r="O78" s="9"/>
      <x:c r="P78" s="12" t="str">
        <x:f>IF(A78="","",IF(OR(B78="",G78="",H78="",E78=""),"À compléter",IF(COUNTIFS($A$6:$A$505,A78,$B$6:$B$505,B78)&gt;1,"Doublon ID",IF(AND(ISNUMBER(J78),J78&lt;E78),"Incohérent",""))))</x:f>
      </x:c>
    </x:row>
    <x:row r="79" ht="23" customHeight="1">
      <x:c r="A79" s="9"/>
      <x:c r="B79" s="9"/>
      <x:c r="C79" s="9"/>
      <x:c r="D79" s="9"/>
      <x:c r="E79" s="11"/>
      <x:c r="F79" s="9"/>
      <x:c r="G79" s="9"/>
      <x:c r="H79" s="9"/>
      <x:c r="I79" s="11"/>
      <x:c r="J79" s="11"/>
      <x:c r="K79" s="9"/>
      <x:c r="L79" s="9"/>
      <x:c r="M79" s="12" t="str">
        <x:f>IF(A79="","",IF(G79="","À compléter",IF(AND(ISNUMBER(J79),J79&lt;='Tableau de bord'!$F$5),"Réalisée",IF(I79="","À compléter",IF(I79&lt;'Tableau de bord'!$F$5,"Retard","À venir")))))</x:f>
      </x:c>
      <x:c r="N79" s="12" t="str">
        <x:f>IF(OR(A79="",I79=""),"",IF(M79="Retard",'Tableau de bord'!$F$5-I79,0))</x:f>
      </x:c>
      <x:c r="O79" s="9"/>
      <x:c r="P79" s="12" t="str">
        <x:f>IF(A79="","",IF(OR(B79="",G79="",H79="",E79=""),"À compléter",IF(COUNTIFS($A$6:$A$505,A79,$B$6:$B$505,B79)&gt;1,"Doublon ID",IF(AND(ISNUMBER(J79),J79&lt;E79),"Incohérent",""))))</x:f>
      </x:c>
    </x:row>
    <x:row r="80" ht="23" customHeight="1">
      <x:c r="A80" s="9"/>
      <x:c r="B80" s="9"/>
      <x:c r="C80" s="9"/>
      <x:c r="D80" s="9"/>
      <x:c r="E80" s="11"/>
      <x:c r="F80" s="9"/>
      <x:c r="G80" s="9"/>
      <x:c r="H80" s="9"/>
      <x:c r="I80" s="11"/>
      <x:c r="J80" s="11"/>
      <x:c r="K80" s="9"/>
      <x:c r="L80" s="9"/>
      <x:c r="M80" s="12" t="str">
        <x:f>IF(A80="","",IF(G80="","À compléter",IF(AND(ISNUMBER(J80),J80&lt;='Tableau de bord'!$F$5),"Réalisée",IF(I80="","À compléter",IF(I80&lt;'Tableau de bord'!$F$5,"Retard","À venir")))))</x:f>
      </x:c>
      <x:c r="N80" s="12" t="str">
        <x:f>IF(OR(A80="",I80=""),"",IF(M80="Retard",'Tableau de bord'!$F$5-I80,0))</x:f>
      </x:c>
      <x:c r="O80" s="9"/>
      <x:c r="P80" s="12" t="str">
        <x:f>IF(A80="","",IF(OR(B80="",G80="",H80="",E80=""),"À compléter",IF(COUNTIFS($A$6:$A$505,A80,$B$6:$B$505,B80)&gt;1,"Doublon ID",IF(AND(ISNUMBER(J80),J80&lt;E80),"Incohérent",""))))</x:f>
      </x:c>
    </x:row>
    <x:row r="81" ht="23" customHeight="1">
      <x:c r="A81" s="9"/>
      <x:c r="B81" s="9"/>
      <x:c r="C81" s="9"/>
      <x:c r="D81" s="9"/>
      <x:c r="E81" s="11"/>
      <x:c r="F81" s="9"/>
      <x:c r="G81" s="9"/>
      <x:c r="H81" s="9"/>
      <x:c r="I81" s="11"/>
      <x:c r="J81" s="11"/>
      <x:c r="K81" s="9"/>
      <x:c r="L81" s="9"/>
      <x:c r="M81" s="12" t="str">
        <x:f>IF(A81="","",IF(G81="","À compléter",IF(AND(ISNUMBER(J81),J81&lt;='Tableau de bord'!$F$5),"Réalisée",IF(I81="","À compléter",IF(I81&lt;'Tableau de bord'!$F$5,"Retard","À venir")))))</x:f>
      </x:c>
      <x:c r="N81" s="12" t="str">
        <x:f>IF(OR(A81="",I81=""),"",IF(M81="Retard",'Tableau de bord'!$F$5-I81,0))</x:f>
      </x:c>
      <x:c r="O81" s="9"/>
      <x:c r="P81" s="12" t="str">
        <x:f>IF(A81="","",IF(OR(B81="",G81="",H81="",E81=""),"À compléter",IF(COUNTIFS($A$6:$A$505,A81,$B$6:$B$505,B81)&gt;1,"Doublon ID",IF(AND(ISNUMBER(J81),J81&lt;E81),"Incohérent",""))))</x:f>
      </x:c>
    </x:row>
    <x:row r="82" ht="23" customHeight="1">
      <x:c r="A82" s="9"/>
      <x:c r="B82" s="9"/>
      <x:c r="C82" s="9"/>
      <x:c r="D82" s="9"/>
      <x:c r="E82" s="11"/>
      <x:c r="F82" s="9"/>
      <x:c r="G82" s="9"/>
      <x:c r="H82" s="9"/>
      <x:c r="I82" s="11"/>
      <x:c r="J82" s="11"/>
      <x:c r="K82" s="9"/>
      <x:c r="L82" s="9"/>
      <x:c r="M82" s="12" t="str">
        <x:f>IF(A82="","",IF(G82="","À compléter",IF(AND(ISNUMBER(J82),J82&lt;='Tableau de bord'!$F$5),"Réalisée",IF(I82="","À compléter",IF(I82&lt;'Tableau de bord'!$F$5,"Retard","À venir")))))</x:f>
      </x:c>
      <x:c r="N82" s="12" t="str">
        <x:f>IF(OR(A82="",I82=""),"",IF(M82="Retard",'Tableau de bord'!$F$5-I82,0))</x:f>
      </x:c>
      <x:c r="O82" s="9"/>
      <x:c r="P82" s="12" t="str">
        <x:f>IF(A82="","",IF(OR(B82="",G82="",H82="",E82=""),"À compléter",IF(COUNTIFS($A$6:$A$505,A82,$B$6:$B$505,B82)&gt;1,"Doublon ID",IF(AND(ISNUMBER(J82),J82&lt;E82),"Incohérent",""))))</x:f>
      </x:c>
    </x:row>
    <x:row r="83" ht="23" customHeight="1">
      <x:c r="A83" s="9"/>
      <x:c r="B83" s="9"/>
      <x:c r="C83" s="9"/>
      <x:c r="D83" s="9"/>
      <x:c r="E83" s="11"/>
      <x:c r="F83" s="9"/>
      <x:c r="G83" s="9"/>
      <x:c r="H83" s="9"/>
      <x:c r="I83" s="11"/>
      <x:c r="J83" s="11"/>
      <x:c r="K83" s="9"/>
      <x:c r="L83" s="9"/>
      <x:c r="M83" s="12" t="str">
        <x:f>IF(A83="","",IF(G83="","À compléter",IF(AND(ISNUMBER(J83),J83&lt;='Tableau de bord'!$F$5),"Réalisée",IF(I83="","À compléter",IF(I83&lt;'Tableau de bord'!$F$5,"Retard","À venir")))))</x:f>
      </x:c>
      <x:c r="N83" s="12" t="str">
        <x:f>IF(OR(A83="",I83=""),"",IF(M83="Retard",'Tableau de bord'!$F$5-I83,0))</x:f>
      </x:c>
      <x:c r="O83" s="9"/>
      <x:c r="P83" s="12" t="str">
        <x:f>IF(A83="","",IF(OR(B83="",G83="",H83="",E83=""),"À compléter",IF(COUNTIFS($A$6:$A$505,A83,$B$6:$B$505,B83)&gt;1,"Doublon ID",IF(AND(ISNUMBER(J83),J83&lt;E83),"Incohérent",""))))</x:f>
      </x:c>
    </x:row>
    <x:row r="84" ht="23" customHeight="1">
      <x:c r="A84" s="9"/>
      <x:c r="B84" s="9"/>
      <x:c r="C84" s="9"/>
      <x:c r="D84" s="9"/>
      <x:c r="E84" s="11"/>
      <x:c r="F84" s="9"/>
      <x:c r="G84" s="9"/>
      <x:c r="H84" s="9"/>
      <x:c r="I84" s="11"/>
      <x:c r="J84" s="11"/>
      <x:c r="K84" s="9"/>
      <x:c r="L84" s="9"/>
      <x:c r="M84" s="12" t="str">
        <x:f>IF(A84="","",IF(G84="","À compléter",IF(AND(ISNUMBER(J84),J84&lt;='Tableau de bord'!$F$5),"Réalisée",IF(I84="","À compléter",IF(I84&lt;'Tableau de bord'!$F$5,"Retard","À venir")))))</x:f>
      </x:c>
      <x:c r="N84" s="12" t="str">
        <x:f>IF(OR(A84="",I84=""),"",IF(M84="Retard",'Tableau de bord'!$F$5-I84,0))</x:f>
      </x:c>
      <x:c r="O84" s="9"/>
      <x:c r="P84" s="12" t="str">
        <x:f>IF(A84="","",IF(OR(B84="",G84="",H84="",E84=""),"À compléter",IF(COUNTIFS($A$6:$A$505,A84,$B$6:$B$505,B84)&gt;1,"Doublon ID",IF(AND(ISNUMBER(J84),J84&lt;E84),"Incohérent",""))))</x:f>
      </x:c>
    </x:row>
    <x:row r="85" ht="23" customHeight="1">
      <x:c r="A85" s="9"/>
      <x:c r="B85" s="9"/>
      <x:c r="C85" s="9"/>
      <x:c r="D85" s="9"/>
      <x:c r="E85" s="11"/>
      <x:c r="F85" s="9"/>
      <x:c r="G85" s="9"/>
      <x:c r="H85" s="9"/>
      <x:c r="I85" s="11"/>
      <x:c r="J85" s="11"/>
      <x:c r="K85" s="9"/>
      <x:c r="L85" s="9"/>
      <x:c r="M85" s="12" t="str">
        <x:f>IF(A85="","",IF(G85="","À compléter",IF(AND(ISNUMBER(J85),J85&lt;='Tableau de bord'!$F$5),"Réalisée",IF(I85="","À compléter",IF(I85&lt;'Tableau de bord'!$F$5,"Retard","À venir")))))</x:f>
      </x:c>
      <x:c r="N85" s="12" t="str">
        <x:f>IF(OR(A85="",I85=""),"",IF(M85="Retard",'Tableau de bord'!$F$5-I85,0))</x:f>
      </x:c>
      <x:c r="O85" s="9"/>
      <x:c r="P85" s="12" t="str">
        <x:f>IF(A85="","",IF(OR(B85="",G85="",H85="",E85=""),"À compléter",IF(COUNTIFS($A$6:$A$505,A85,$B$6:$B$505,B85)&gt;1,"Doublon ID",IF(AND(ISNUMBER(J85),J85&lt;E85),"Incohérent",""))))</x:f>
      </x:c>
    </x:row>
    <x:row r="86" ht="23" customHeight="1">
      <x:c r="A86" s="9"/>
      <x:c r="B86" s="9"/>
      <x:c r="C86" s="9"/>
      <x:c r="D86" s="9"/>
      <x:c r="E86" s="11"/>
      <x:c r="F86" s="9"/>
      <x:c r="G86" s="9"/>
      <x:c r="H86" s="9"/>
      <x:c r="I86" s="11"/>
      <x:c r="J86" s="11"/>
      <x:c r="K86" s="9"/>
      <x:c r="L86" s="9"/>
      <x:c r="M86" s="12" t="str">
        <x:f>IF(A86="","",IF(G86="","À compléter",IF(AND(ISNUMBER(J86),J86&lt;='Tableau de bord'!$F$5),"Réalisée",IF(I86="","À compléter",IF(I86&lt;'Tableau de bord'!$F$5,"Retard","À venir")))))</x:f>
      </x:c>
      <x:c r="N86" s="12" t="str">
        <x:f>IF(OR(A86="",I86=""),"",IF(M86="Retard",'Tableau de bord'!$F$5-I86,0))</x:f>
      </x:c>
      <x:c r="O86" s="9"/>
      <x:c r="P86" s="12" t="str">
        <x:f>IF(A86="","",IF(OR(B86="",G86="",H86="",E86=""),"À compléter",IF(COUNTIFS($A$6:$A$505,A86,$B$6:$B$505,B86)&gt;1,"Doublon ID",IF(AND(ISNUMBER(J86),J86&lt;E86),"Incohérent",""))))</x:f>
      </x:c>
    </x:row>
    <x:row r="87" ht="23" customHeight="1">
      <x:c r="A87" s="9"/>
      <x:c r="B87" s="9"/>
      <x:c r="C87" s="9"/>
      <x:c r="D87" s="9"/>
      <x:c r="E87" s="11"/>
      <x:c r="F87" s="9"/>
      <x:c r="G87" s="9"/>
      <x:c r="H87" s="9"/>
      <x:c r="I87" s="11"/>
      <x:c r="J87" s="11"/>
      <x:c r="K87" s="9"/>
      <x:c r="L87" s="9"/>
      <x:c r="M87" s="12" t="str">
        <x:f>IF(A87="","",IF(G87="","À compléter",IF(AND(ISNUMBER(J87),J87&lt;='Tableau de bord'!$F$5),"Réalisée",IF(I87="","À compléter",IF(I87&lt;'Tableau de bord'!$F$5,"Retard","À venir")))))</x:f>
      </x:c>
      <x:c r="N87" s="12" t="str">
        <x:f>IF(OR(A87="",I87=""),"",IF(M87="Retard",'Tableau de bord'!$F$5-I87,0))</x:f>
      </x:c>
      <x:c r="O87" s="9"/>
      <x:c r="P87" s="12" t="str">
        <x:f>IF(A87="","",IF(OR(B87="",G87="",H87="",E87=""),"À compléter",IF(COUNTIFS($A$6:$A$505,A87,$B$6:$B$505,B87)&gt;1,"Doublon ID",IF(AND(ISNUMBER(J87),J87&lt;E87),"Incohérent",""))))</x:f>
      </x:c>
    </x:row>
    <x:row r="88" ht="23" customHeight="1">
      <x:c r="A88" s="9"/>
      <x:c r="B88" s="9"/>
      <x:c r="C88" s="9"/>
      <x:c r="D88" s="9"/>
      <x:c r="E88" s="11"/>
      <x:c r="F88" s="9"/>
      <x:c r="G88" s="9"/>
      <x:c r="H88" s="9"/>
      <x:c r="I88" s="11"/>
      <x:c r="J88" s="11"/>
      <x:c r="K88" s="9"/>
      <x:c r="L88" s="9"/>
      <x:c r="M88" s="12" t="str">
        <x:f>IF(A88="","",IF(G88="","À compléter",IF(AND(ISNUMBER(J88),J88&lt;='Tableau de bord'!$F$5),"Réalisée",IF(I88="","À compléter",IF(I88&lt;'Tableau de bord'!$F$5,"Retard","À venir")))))</x:f>
      </x:c>
      <x:c r="N88" s="12" t="str">
        <x:f>IF(OR(A88="",I88=""),"",IF(M88="Retard",'Tableau de bord'!$F$5-I88,0))</x:f>
      </x:c>
      <x:c r="O88" s="9"/>
      <x:c r="P88" s="12" t="str">
        <x:f>IF(A88="","",IF(OR(B88="",G88="",H88="",E88=""),"À compléter",IF(COUNTIFS($A$6:$A$505,A88,$B$6:$B$505,B88)&gt;1,"Doublon ID",IF(AND(ISNUMBER(J88),J88&lt;E88),"Incohérent",""))))</x:f>
      </x:c>
    </x:row>
    <x:row r="89" ht="23" customHeight="1">
      <x:c r="A89" s="9"/>
      <x:c r="B89" s="9"/>
      <x:c r="C89" s="9"/>
      <x:c r="D89" s="9"/>
      <x:c r="E89" s="11"/>
      <x:c r="F89" s="9"/>
      <x:c r="G89" s="9"/>
      <x:c r="H89" s="9"/>
      <x:c r="I89" s="11"/>
      <x:c r="J89" s="11"/>
      <x:c r="K89" s="9"/>
      <x:c r="L89" s="9"/>
      <x:c r="M89" s="12" t="str">
        <x:f>IF(A89="","",IF(G89="","À compléter",IF(AND(ISNUMBER(J89),J89&lt;='Tableau de bord'!$F$5),"Réalisée",IF(I89="","À compléter",IF(I89&lt;'Tableau de bord'!$F$5,"Retard","À venir")))))</x:f>
      </x:c>
      <x:c r="N89" s="12" t="str">
        <x:f>IF(OR(A89="",I89=""),"",IF(M89="Retard",'Tableau de bord'!$F$5-I89,0))</x:f>
      </x:c>
      <x:c r="O89" s="9"/>
      <x:c r="P89" s="12" t="str">
        <x:f>IF(A89="","",IF(OR(B89="",G89="",H89="",E89=""),"À compléter",IF(COUNTIFS($A$6:$A$505,A89,$B$6:$B$505,B89)&gt;1,"Doublon ID",IF(AND(ISNUMBER(J89),J89&lt;E89),"Incohérent",""))))</x:f>
      </x:c>
    </x:row>
    <x:row r="90" ht="23" customHeight="1">
      <x:c r="A90" s="9"/>
      <x:c r="B90" s="9"/>
      <x:c r="C90" s="9"/>
      <x:c r="D90" s="9"/>
      <x:c r="E90" s="11"/>
      <x:c r="F90" s="9"/>
      <x:c r="G90" s="9"/>
      <x:c r="H90" s="9"/>
      <x:c r="I90" s="11"/>
      <x:c r="J90" s="11"/>
      <x:c r="K90" s="9"/>
      <x:c r="L90" s="9"/>
      <x:c r="M90" s="12" t="str">
        <x:f>IF(A90="","",IF(G90="","À compléter",IF(AND(ISNUMBER(J90),J90&lt;='Tableau de bord'!$F$5),"Réalisée",IF(I90="","À compléter",IF(I90&lt;'Tableau de bord'!$F$5,"Retard","À venir")))))</x:f>
      </x:c>
      <x:c r="N90" s="12" t="str">
        <x:f>IF(OR(A90="",I90=""),"",IF(M90="Retard",'Tableau de bord'!$F$5-I90,0))</x:f>
      </x:c>
      <x:c r="O90" s="9"/>
      <x:c r="P90" s="12" t="str">
        <x:f>IF(A90="","",IF(OR(B90="",G90="",H90="",E90=""),"À compléter",IF(COUNTIFS($A$6:$A$505,A90,$B$6:$B$505,B90)&gt;1,"Doublon ID",IF(AND(ISNUMBER(J90),J90&lt;E90),"Incohérent",""))))</x:f>
      </x:c>
    </x:row>
    <x:row r="91" ht="23" customHeight="1">
      <x:c r="A91" s="9"/>
      <x:c r="B91" s="9"/>
      <x:c r="C91" s="9"/>
      <x:c r="D91" s="9"/>
      <x:c r="E91" s="11"/>
      <x:c r="F91" s="9"/>
      <x:c r="G91" s="9"/>
      <x:c r="H91" s="9"/>
      <x:c r="I91" s="11"/>
      <x:c r="J91" s="11"/>
      <x:c r="K91" s="9"/>
      <x:c r="L91" s="9"/>
      <x:c r="M91" s="12" t="str">
        <x:f>IF(A91="","",IF(G91="","À compléter",IF(AND(ISNUMBER(J91),J91&lt;='Tableau de bord'!$F$5),"Réalisée",IF(I91="","À compléter",IF(I91&lt;'Tableau de bord'!$F$5,"Retard","À venir")))))</x:f>
      </x:c>
      <x:c r="N91" s="12" t="str">
        <x:f>IF(OR(A91="",I91=""),"",IF(M91="Retard",'Tableau de bord'!$F$5-I91,0))</x:f>
      </x:c>
      <x:c r="O91" s="9"/>
      <x:c r="P91" s="12" t="str">
        <x:f>IF(A91="","",IF(OR(B91="",G91="",H91="",E91=""),"À compléter",IF(COUNTIFS($A$6:$A$505,A91,$B$6:$B$505,B91)&gt;1,"Doublon ID",IF(AND(ISNUMBER(J91),J91&lt;E91),"Incohérent",""))))</x:f>
      </x:c>
    </x:row>
    <x:row r="92" ht="23" customHeight="1">
      <x:c r="A92" s="9"/>
      <x:c r="B92" s="9"/>
      <x:c r="C92" s="9"/>
      <x:c r="D92" s="9"/>
      <x:c r="E92" s="11"/>
      <x:c r="F92" s="9"/>
      <x:c r="G92" s="9"/>
      <x:c r="H92" s="9"/>
      <x:c r="I92" s="11"/>
      <x:c r="J92" s="11"/>
      <x:c r="K92" s="9"/>
      <x:c r="L92" s="9"/>
      <x:c r="M92" s="12" t="str">
        <x:f>IF(A92="","",IF(G92="","À compléter",IF(AND(ISNUMBER(J92),J92&lt;='Tableau de bord'!$F$5),"Réalisée",IF(I92="","À compléter",IF(I92&lt;'Tableau de bord'!$F$5,"Retard","À venir")))))</x:f>
      </x:c>
      <x:c r="N92" s="12" t="str">
        <x:f>IF(OR(A92="",I92=""),"",IF(M92="Retard",'Tableau de bord'!$F$5-I92,0))</x:f>
      </x:c>
      <x:c r="O92" s="9"/>
      <x:c r="P92" s="12" t="str">
        <x:f>IF(A92="","",IF(OR(B92="",G92="",H92="",E92=""),"À compléter",IF(COUNTIFS($A$6:$A$505,A92,$B$6:$B$505,B92)&gt;1,"Doublon ID",IF(AND(ISNUMBER(J92),J92&lt;E92),"Incohérent",""))))</x:f>
      </x:c>
    </x:row>
    <x:row r="93" ht="23" customHeight="1">
      <x:c r="A93" s="9"/>
      <x:c r="B93" s="9"/>
      <x:c r="C93" s="9"/>
      <x:c r="D93" s="9"/>
      <x:c r="E93" s="11"/>
      <x:c r="F93" s="9"/>
      <x:c r="G93" s="9"/>
      <x:c r="H93" s="9"/>
      <x:c r="I93" s="11"/>
      <x:c r="J93" s="11"/>
      <x:c r="K93" s="9"/>
      <x:c r="L93" s="9"/>
      <x:c r="M93" s="12" t="str">
        <x:f>IF(A93="","",IF(G93="","À compléter",IF(AND(ISNUMBER(J93),J93&lt;='Tableau de bord'!$F$5),"Réalisée",IF(I93="","À compléter",IF(I93&lt;'Tableau de bord'!$F$5,"Retard","À venir")))))</x:f>
      </x:c>
      <x:c r="N93" s="12" t="str">
        <x:f>IF(OR(A93="",I93=""),"",IF(M93="Retard",'Tableau de bord'!$F$5-I93,0))</x:f>
      </x:c>
      <x:c r="O93" s="9"/>
      <x:c r="P93" s="12" t="str">
        <x:f>IF(A93="","",IF(OR(B93="",G93="",H93="",E93=""),"À compléter",IF(COUNTIFS($A$6:$A$505,A93,$B$6:$B$505,B93)&gt;1,"Doublon ID",IF(AND(ISNUMBER(J93),J93&lt;E93),"Incohérent",""))))</x:f>
      </x:c>
    </x:row>
    <x:row r="94" ht="23" customHeight="1">
      <x:c r="A94" s="9"/>
      <x:c r="B94" s="9"/>
      <x:c r="C94" s="9"/>
      <x:c r="D94" s="9"/>
      <x:c r="E94" s="11"/>
      <x:c r="F94" s="9"/>
      <x:c r="G94" s="9"/>
      <x:c r="H94" s="9"/>
      <x:c r="I94" s="11"/>
      <x:c r="J94" s="11"/>
      <x:c r="K94" s="9"/>
      <x:c r="L94" s="9"/>
      <x:c r="M94" s="12" t="str">
        <x:f>IF(A94="","",IF(G94="","À compléter",IF(AND(ISNUMBER(J94),J94&lt;='Tableau de bord'!$F$5),"Réalisée",IF(I94="","À compléter",IF(I94&lt;'Tableau de bord'!$F$5,"Retard","À venir")))))</x:f>
      </x:c>
      <x:c r="N94" s="12" t="str">
        <x:f>IF(OR(A94="",I94=""),"",IF(M94="Retard",'Tableau de bord'!$F$5-I94,0))</x:f>
      </x:c>
      <x:c r="O94" s="9"/>
      <x:c r="P94" s="12" t="str">
        <x:f>IF(A94="","",IF(OR(B94="",G94="",H94="",E94=""),"À compléter",IF(COUNTIFS($A$6:$A$505,A94,$B$6:$B$505,B94)&gt;1,"Doublon ID",IF(AND(ISNUMBER(J94),J94&lt;E94),"Incohérent",""))))</x:f>
      </x:c>
    </x:row>
    <x:row r="95" ht="23" customHeight="1">
      <x:c r="A95" s="9"/>
      <x:c r="B95" s="9"/>
      <x:c r="C95" s="9"/>
      <x:c r="D95" s="9"/>
      <x:c r="E95" s="11"/>
      <x:c r="F95" s="9"/>
      <x:c r="G95" s="9"/>
      <x:c r="H95" s="9"/>
      <x:c r="I95" s="11"/>
      <x:c r="J95" s="11"/>
      <x:c r="K95" s="9"/>
      <x:c r="L95" s="9"/>
      <x:c r="M95" s="12" t="str">
        <x:f>IF(A95="","",IF(G95="","À compléter",IF(AND(ISNUMBER(J95),J95&lt;='Tableau de bord'!$F$5),"Réalisée",IF(I95="","À compléter",IF(I95&lt;'Tableau de bord'!$F$5,"Retard","À venir")))))</x:f>
      </x:c>
      <x:c r="N95" s="12" t="str">
        <x:f>IF(OR(A95="",I95=""),"",IF(M95="Retard",'Tableau de bord'!$F$5-I95,0))</x:f>
      </x:c>
      <x:c r="O95" s="9"/>
      <x:c r="P95" s="12" t="str">
        <x:f>IF(A95="","",IF(OR(B95="",G95="",H95="",E95=""),"À compléter",IF(COUNTIFS($A$6:$A$505,A95,$B$6:$B$505,B95)&gt;1,"Doublon ID",IF(AND(ISNUMBER(J95),J95&lt;E95),"Incohérent",""))))</x:f>
      </x:c>
    </x:row>
    <x:row r="96" ht="23" customHeight="1">
      <x:c r="A96" s="9"/>
      <x:c r="B96" s="9"/>
      <x:c r="C96" s="9"/>
      <x:c r="D96" s="9"/>
      <x:c r="E96" s="11"/>
      <x:c r="F96" s="9"/>
      <x:c r="G96" s="9"/>
      <x:c r="H96" s="9"/>
      <x:c r="I96" s="11"/>
      <x:c r="J96" s="11"/>
      <x:c r="K96" s="9"/>
      <x:c r="L96" s="9"/>
      <x:c r="M96" s="12" t="str">
        <x:f>IF(A96="","",IF(G96="","À compléter",IF(AND(ISNUMBER(J96),J96&lt;='Tableau de bord'!$F$5),"Réalisée",IF(I96="","À compléter",IF(I96&lt;'Tableau de bord'!$F$5,"Retard","À venir")))))</x:f>
      </x:c>
      <x:c r="N96" s="12" t="str">
        <x:f>IF(OR(A96="",I96=""),"",IF(M96="Retard",'Tableau de bord'!$F$5-I96,0))</x:f>
      </x:c>
      <x:c r="O96" s="9"/>
      <x:c r="P96" s="12" t="str">
        <x:f>IF(A96="","",IF(OR(B96="",G96="",H96="",E96=""),"À compléter",IF(COUNTIFS($A$6:$A$505,A96,$B$6:$B$505,B96)&gt;1,"Doublon ID",IF(AND(ISNUMBER(J96),J96&lt;E96),"Incohérent",""))))</x:f>
      </x:c>
    </x:row>
    <x:row r="97" ht="23" customHeight="1">
      <x:c r="A97" s="9"/>
      <x:c r="B97" s="9"/>
      <x:c r="C97" s="9"/>
      <x:c r="D97" s="9"/>
      <x:c r="E97" s="11"/>
      <x:c r="F97" s="9"/>
      <x:c r="G97" s="9"/>
      <x:c r="H97" s="9"/>
      <x:c r="I97" s="11"/>
      <x:c r="J97" s="11"/>
      <x:c r="K97" s="9"/>
      <x:c r="L97" s="9"/>
      <x:c r="M97" s="12" t="str">
        <x:f>IF(A97="","",IF(G97="","À compléter",IF(AND(ISNUMBER(J97),J97&lt;='Tableau de bord'!$F$5),"Réalisée",IF(I97="","À compléter",IF(I97&lt;'Tableau de bord'!$F$5,"Retard","À venir")))))</x:f>
      </x:c>
      <x:c r="N97" s="12" t="str">
        <x:f>IF(OR(A97="",I97=""),"",IF(M97="Retard",'Tableau de bord'!$F$5-I97,0))</x:f>
      </x:c>
      <x:c r="O97" s="9"/>
      <x:c r="P97" s="12" t="str">
        <x:f>IF(A97="","",IF(OR(B97="",G97="",H97="",E97=""),"À compléter",IF(COUNTIFS($A$6:$A$505,A97,$B$6:$B$505,B97)&gt;1,"Doublon ID",IF(AND(ISNUMBER(J97),J97&lt;E97),"Incohérent",""))))</x:f>
      </x:c>
    </x:row>
    <x:row r="98" ht="23" customHeight="1">
      <x:c r="A98" s="9"/>
      <x:c r="B98" s="9"/>
      <x:c r="C98" s="9"/>
      <x:c r="D98" s="9"/>
      <x:c r="E98" s="11"/>
      <x:c r="F98" s="9"/>
      <x:c r="G98" s="9"/>
      <x:c r="H98" s="9"/>
      <x:c r="I98" s="11"/>
      <x:c r="J98" s="11"/>
      <x:c r="K98" s="9"/>
      <x:c r="L98" s="9"/>
      <x:c r="M98" s="12" t="str">
        <x:f>IF(A98="","",IF(G98="","À compléter",IF(AND(ISNUMBER(J98),J98&lt;='Tableau de bord'!$F$5),"Réalisée",IF(I98="","À compléter",IF(I98&lt;'Tableau de bord'!$F$5,"Retard","À venir")))))</x:f>
      </x:c>
      <x:c r="N98" s="12" t="str">
        <x:f>IF(OR(A98="",I98=""),"",IF(M98="Retard",'Tableau de bord'!$F$5-I98,0))</x:f>
      </x:c>
      <x:c r="O98" s="9"/>
      <x:c r="P98" s="12" t="str">
        <x:f>IF(A98="","",IF(OR(B98="",G98="",H98="",E98=""),"À compléter",IF(COUNTIFS($A$6:$A$505,A98,$B$6:$B$505,B98)&gt;1,"Doublon ID",IF(AND(ISNUMBER(J98),J98&lt;E98),"Incohérent",""))))</x:f>
      </x:c>
    </x:row>
    <x:row r="99" ht="23" customHeight="1">
      <x:c r="A99" s="9"/>
      <x:c r="B99" s="9"/>
      <x:c r="C99" s="9"/>
      <x:c r="D99" s="9"/>
      <x:c r="E99" s="11"/>
      <x:c r="F99" s="9"/>
      <x:c r="G99" s="9"/>
      <x:c r="H99" s="9"/>
      <x:c r="I99" s="11"/>
      <x:c r="J99" s="11"/>
      <x:c r="K99" s="9"/>
      <x:c r="L99" s="9"/>
      <x:c r="M99" s="12" t="str">
        <x:f>IF(A99="","",IF(G99="","À compléter",IF(AND(ISNUMBER(J99),J99&lt;='Tableau de bord'!$F$5),"Réalisée",IF(I99="","À compléter",IF(I99&lt;'Tableau de bord'!$F$5,"Retard","À venir")))))</x:f>
      </x:c>
      <x:c r="N99" s="12" t="str">
        <x:f>IF(OR(A99="",I99=""),"",IF(M99="Retard",'Tableau de bord'!$F$5-I99,0))</x:f>
      </x:c>
      <x:c r="O99" s="9"/>
      <x:c r="P99" s="12" t="str">
        <x:f>IF(A99="","",IF(OR(B99="",G99="",H99="",E99=""),"À compléter",IF(COUNTIFS($A$6:$A$505,A99,$B$6:$B$505,B99)&gt;1,"Doublon ID",IF(AND(ISNUMBER(J99),J99&lt;E99),"Incohérent",""))))</x:f>
      </x:c>
    </x:row>
    <x:row r="100" ht="23" customHeight="1">
      <x:c r="A100" s="9"/>
      <x:c r="B100" s="9"/>
      <x:c r="C100" s="9"/>
      <x:c r="D100" s="9"/>
      <x:c r="E100" s="11"/>
      <x:c r="F100" s="9"/>
      <x:c r="G100" s="9"/>
      <x:c r="H100" s="9"/>
      <x:c r="I100" s="11"/>
      <x:c r="J100" s="11"/>
      <x:c r="K100" s="9"/>
      <x:c r="L100" s="9"/>
      <x:c r="M100" s="12" t="str">
        <x:f>IF(A100="","",IF(G100="","À compléter",IF(AND(ISNUMBER(J100),J100&lt;='Tableau de bord'!$F$5),"Réalisée",IF(I100="","À compléter",IF(I100&lt;'Tableau de bord'!$F$5,"Retard","À venir")))))</x:f>
      </x:c>
      <x:c r="N100" s="12" t="str">
        <x:f>IF(OR(A100="",I100=""),"",IF(M100="Retard",'Tableau de bord'!$F$5-I100,0))</x:f>
      </x:c>
      <x:c r="O100" s="9"/>
      <x:c r="P100" s="12" t="str">
        <x:f>IF(A100="","",IF(OR(B100="",G100="",H100="",E100=""),"À compléter",IF(COUNTIFS($A$6:$A$505,A100,$B$6:$B$505,B100)&gt;1,"Doublon ID",IF(AND(ISNUMBER(J100),J100&lt;E100),"Incohérent",""))))</x:f>
      </x:c>
    </x:row>
    <x:row r="101" ht="23" customHeight="1">
      <x:c r="A101" s="9"/>
      <x:c r="B101" s="9"/>
      <x:c r="C101" s="9"/>
      <x:c r="D101" s="9"/>
      <x:c r="E101" s="11"/>
      <x:c r="F101" s="9"/>
      <x:c r="G101" s="9"/>
      <x:c r="H101" s="9"/>
      <x:c r="I101" s="11"/>
      <x:c r="J101" s="11"/>
      <x:c r="K101" s="9"/>
      <x:c r="L101" s="9"/>
      <x:c r="M101" s="12" t="str">
        <x:f>IF(A101="","",IF(G101="","À compléter",IF(AND(ISNUMBER(J101),J101&lt;='Tableau de bord'!$F$5),"Réalisée",IF(I101="","À compléter",IF(I101&lt;'Tableau de bord'!$F$5,"Retard","À venir")))))</x:f>
      </x:c>
      <x:c r="N101" s="12" t="str">
        <x:f>IF(OR(A101="",I101=""),"",IF(M101="Retard",'Tableau de bord'!$F$5-I101,0))</x:f>
      </x:c>
      <x:c r="O101" s="9"/>
      <x:c r="P101" s="12" t="str">
        <x:f>IF(A101="","",IF(OR(B101="",G101="",H101="",E101=""),"À compléter",IF(COUNTIFS($A$6:$A$505,A101,$B$6:$B$505,B101)&gt;1,"Doublon ID",IF(AND(ISNUMBER(J101),J101&lt;E101),"Incohérent",""))))</x:f>
      </x:c>
    </x:row>
    <x:row r="102" ht="23" customHeight="1">
      <x:c r="A102" s="9"/>
      <x:c r="B102" s="9"/>
      <x:c r="C102" s="9"/>
      <x:c r="D102" s="9"/>
      <x:c r="E102" s="11"/>
      <x:c r="F102" s="9"/>
      <x:c r="G102" s="9"/>
      <x:c r="H102" s="9"/>
      <x:c r="I102" s="11"/>
      <x:c r="J102" s="11"/>
      <x:c r="K102" s="9"/>
      <x:c r="L102" s="9"/>
      <x:c r="M102" s="12" t="str">
        <x:f>IF(A102="","",IF(G102="","À compléter",IF(AND(ISNUMBER(J102),J102&lt;='Tableau de bord'!$F$5),"Réalisée",IF(I102="","À compléter",IF(I102&lt;'Tableau de bord'!$F$5,"Retard","À venir")))))</x:f>
      </x:c>
      <x:c r="N102" s="12" t="str">
        <x:f>IF(OR(A102="",I102=""),"",IF(M102="Retard",'Tableau de bord'!$F$5-I102,0))</x:f>
      </x:c>
      <x:c r="O102" s="9"/>
      <x:c r="P102" s="12" t="str">
        <x:f>IF(A102="","",IF(OR(B102="",G102="",H102="",E102=""),"À compléter",IF(COUNTIFS($A$6:$A$505,A102,$B$6:$B$505,B102)&gt;1,"Doublon ID",IF(AND(ISNUMBER(J102),J102&lt;E102),"Incohérent",""))))</x:f>
      </x:c>
    </x:row>
    <x:row r="103" ht="23" customHeight="1">
      <x:c r="A103" s="9"/>
      <x:c r="B103" s="9"/>
      <x:c r="C103" s="9"/>
      <x:c r="D103" s="9"/>
      <x:c r="E103" s="11"/>
      <x:c r="F103" s="9"/>
      <x:c r="G103" s="9"/>
      <x:c r="H103" s="9"/>
      <x:c r="I103" s="11"/>
      <x:c r="J103" s="11"/>
      <x:c r="K103" s="9"/>
      <x:c r="L103" s="9"/>
      <x:c r="M103" s="12" t="str">
        <x:f>IF(A103="","",IF(G103="","À compléter",IF(AND(ISNUMBER(J103),J103&lt;='Tableau de bord'!$F$5),"Réalisée",IF(I103="","À compléter",IF(I103&lt;'Tableau de bord'!$F$5,"Retard","À venir")))))</x:f>
      </x:c>
      <x:c r="N103" s="12" t="str">
        <x:f>IF(OR(A103="",I103=""),"",IF(M103="Retard",'Tableau de bord'!$F$5-I103,0))</x:f>
      </x:c>
      <x:c r="O103" s="9"/>
      <x:c r="P103" s="12" t="str">
        <x:f>IF(A103="","",IF(OR(B103="",G103="",H103="",E103=""),"À compléter",IF(COUNTIFS($A$6:$A$505,A103,$B$6:$B$505,B103)&gt;1,"Doublon ID",IF(AND(ISNUMBER(J103),J103&lt;E103),"Incohérent",""))))</x:f>
      </x:c>
    </x:row>
    <x:row r="104" ht="23" customHeight="1">
      <x:c r="A104" s="9"/>
      <x:c r="B104" s="9"/>
      <x:c r="C104" s="9"/>
      <x:c r="D104" s="9"/>
      <x:c r="E104" s="11"/>
      <x:c r="F104" s="9"/>
      <x:c r="G104" s="9"/>
      <x:c r="H104" s="9"/>
      <x:c r="I104" s="11"/>
      <x:c r="J104" s="11"/>
      <x:c r="K104" s="9"/>
      <x:c r="L104" s="9"/>
      <x:c r="M104" s="12" t="str">
        <x:f>IF(A104="","",IF(G104="","À compléter",IF(AND(ISNUMBER(J104),J104&lt;='Tableau de bord'!$F$5),"Réalisée",IF(I104="","À compléter",IF(I104&lt;'Tableau de bord'!$F$5,"Retard","À venir")))))</x:f>
      </x:c>
      <x:c r="N104" s="12" t="str">
        <x:f>IF(OR(A104="",I104=""),"",IF(M104="Retard",'Tableau de bord'!$F$5-I104,0))</x:f>
      </x:c>
      <x:c r="O104" s="9"/>
      <x:c r="P104" s="12" t="str">
        <x:f>IF(A104="","",IF(OR(B104="",G104="",H104="",E104=""),"À compléter",IF(COUNTIFS($A$6:$A$505,A104,$B$6:$B$505,B104)&gt;1,"Doublon ID",IF(AND(ISNUMBER(J104),J104&lt;E104),"Incohérent",""))))</x:f>
      </x:c>
    </x:row>
    <x:row r="105" ht="23" customHeight="1">
      <x:c r="A105" s="9"/>
      <x:c r="B105" s="9"/>
      <x:c r="C105" s="9"/>
      <x:c r="D105" s="9"/>
      <x:c r="E105" s="11"/>
      <x:c r="F105" s="9"/>
      <x:c r="G105" s="9"/>
      <x:c r="H105" s="9"/>
      <x:c r="I105" s="11"/>
      <x:c r="J105" s="11"/>
      <x:c r="K105" s="9"/>
      <x:c r="L105" s="9"/>
      <x:c r="M105" s="12" t="str">
        <x:f>IF(A105="","",IF(G105="","À compléter",IF(AND(ISNUMBER(J105),J105&lt;='Tableau de bord'!$F$5),"Réalisée",IF(I105="","À compléter",IF(I105&lt;'Tableau de bord'!$F$5,"Retard","À venir")))))</x:f>
      </x:c>
      <x:c r="N105" s="12" t="str">
        <x:f>IF(OR(A105="",I105=""),"",IF(M105="Retard",'Tableau de bord'!$F$5-I105,0))</x:f>
      </x:c>
      <x:c r="O105" s="9"/>
      <x:c r="P105" s="12" t="str">
        <x:f>IF(A105="","",IF(OR(B105="",G105="",H105="",E105=""),"À compléter",IF(COUNTIFS($A$6:$A$505,A105,$B$6:$B$505,B105)&gt;1,"Doublon ID",IF(AND(ISNUMBER(J105),J105&lt;E105),"Incohérent",""))))</x:f>
      </x:c>
    </x:row>
    <x:row r="106" ht="23" customHeight="1">
      <x:c r="A106" s="9"/>
      <x:c r="B106" s="9"/>
      <x:c r="C106" s="9"/>
      <x:c r="D106" s="9"/>
      <x:c r="E106" s="11"/>
      <x:c r="F106" s="9"/>
      <x:c r="G106" s="9"/>
      <x:c r="H106" s="9"/>
      <x:c r="I106" s="11"/>
      <x:c r="J106" s="11"/>
      <x:c r="K106" s="9"/>
      <x:c r="L106" s="9"/>
      <x:c r="M106" s="12" t="str">
        <x:f>IF(A106="","",IF(G106="","À compléter",IF(AND(ISNUMBER(J106),J106&lt;='Tableau de bord'!$F$5),"Réalisée",IF(I106="","À compléter",IF(I106&lt;'Tableau de bord'!$F$5,"Retard","À venir")))))</x:f>
      </x:c>
      <x:c r="N106" s="12" t="str">
        <x:f>IF(OR(A106="",I106=""),"",IF(M106="Retard",'Tableau de bord'!$F$5-I106,0))</x:f>
      </x:c>
      <x:c r="O106" s="9"/>
      <x:c r="P106" s="12" t="str">
        <x:f>IF(A106="","",IF(OR(B106="",G106="",H106="",E106=""),"À compléter",IF(COUNTIFS($A$6:$A$505,A106,$B$6:$B$505,B106)&gt;1,"Doublon ID",IF(AND(ISNUMBER(J106),J106&lt;E106),"Incohérent",""))))</x:f>
      </x:c>
    </x:row>
    <x:row r="107" ht="23" customHeight="1">
      <x:c r="A107" s="9"/>
      <x:c r="B107" s="9"/>
      <x:c r="C107" s="9"/>
      <x:c r="D107" s="9"/>
      <x:c r="E107" s="11"/>
      <x:c r="F107" s="9"/>
      <x:c r="G107" s="9"/>
      <x:c r="H107" s="9"/>
      <x:c r="I107" s="11"/>
      <x:c r="J107" s="11"/>
      <x:c r="K107" s="9"/>
      <x:c r="L107" s="9"/>
      <x:c r="M107" s="12" t="str">
        <x:f>IF(A107="","",IF(G107="","À compléter",IF(AND(ISNUMBER(J107),J107&lt;='Tableau de bord'!$F$5),"Réalisée",IF(I107="","À compléter",IF(I107&lt;'Tableau de bord'!$F$5,"Retard","À venir")))))</x:f>
      </x:c>
      <x:c r="N107" s="12" t="str">
        <x:f>IF(OR(A107="",I107=""),"",IF(M107="Retard",'Tableau de bord'!$F$5-I107,0))</x:f>
      </x:c>
      <x:c r="O107" s="9"/>
      <x:c r="P107" s="12" t="str">
        <x:f>IF(A107="","",IF(OR(B107="",G107="",H107="",E107=""),"À compléter",IF(COUNTIFS($A$6:$A$505,A107,$B$6:$B$505,B107)&gt;1,"Doublon ID",IF(AND(ISNUMBER(J107),J107&lt;E107),"Incohérent",""))))</x:f>
      </x:c>
    </x:row>
    <x:row r="108" ht="23" customHeight="1">
      <x:c r="A108" s="9"/>
      <x:c r="B108" s="9"/>
      <x:c r="C108" s="9"/>
      <x:c r="D108" s="9"/>
      <x:c r="E108" s="11"/>
      <x:c r="F108" s="9"/>
      <x:c r="G108" s="9"/>
      <x:c r="H108" s="9"/>
      <x:c r="I108" s="11"/>
      <x:c r="J108" s="11"/>
      <x:c r="K108" s="9"/>
      <x:c r="L108" s="9"/>
      <x:c r="M108" s="12" t="str">
        <x:f>IF(A108="","",IF(G108="","À compléter",IF(AND(ISNUMBER(J108),J108&lt;='Tableau de bord'!$F$5),"Réalisée",IF(I108="","À compléter",IF(I108&lt;'Tableau de bord'!$F$5,"Retard","À venir")))))</x:f>
      </x:c>
      <x:c r="N108" s="12" t="str">
        <x:f>IF(OR(A108="",I108=""),"",IF(M108="Retard",'Tableau de bord'!$F$5-I108,0))</x:f>
      </x:c>
      <x:c r="O108" s="9"/>
      <x:c r="P108" s="12" t="str">
        <x:f>IF(A108="","",IF(OR(B108="",G108="",H108="",E108=""),"À compléter",IF(COUNTIFS($A$6:$A$505,A108,$B$6:$B$505,B108)&gt;1,"Doublon ID",IF(AND(ISNUMBER(J108),J108&lt;E108),"Incohérent",""))))</x:f>
      </x:c>
    </x:row>
    <x:row r="109" ht="23" customHeight="1">
      <x:c r="A109" s="9"/>
      <x:c r="B109" s="9"/>
      <x:c r="C109" s="9"/>
      <x:c r="D109" s="9"/>
      <x:c r="E109" s="11"/>
      <x:c r="F109" s="9"/>
      <x:c r="G109" s="9"/>
      <x:c r="H109" s="9"/>
      <x:c r="I109" s="11"/>
      <x:c r="J109" s="11"/>
      <x:c r="K109" s="9"/>
      <x:c r="L109" s="9"/>
      <x:c r="M109" s="12" t="str">
        <x:f>IF(A109="","",IF(G109="","À compléter",IF(AND(ISNUMBER(J109),J109&lt;='Tableau de bord'!$F$5),"Réalisée",IF(I109="","À compléter",IF(I109&lt;'Tableau de bord'!$F$5,"Retard","À venir")))))</x:f>
      </x:c>
      <x:c r="N109" s="12" t="str">
        <x:f>IF(OR(A109="",I109=""),"",IF(M109="Retard",'Tableau de bord'!$F$5-I109,0))</x:f>
      </x:c>
      <x:c r="O109" s="9"/>
      <x:c r="P109" s="12" t="str">
        <x:f>IF(A109="","",IF(OR(B109="",G109="",H109="",E109=""),"À compléter",IF(COUNTIFS($A$6:$A$505,A109,$B$6:$B$505,B109)&gt;1,"Doublon ID",IF(AND(ISNUMBER(J109),J109&lt;E109),"Incohérent",""))))</x:f>
      </x:c>
    </x:row>
    <x:row r="110" ht="23" customHeight="1">
      <x:c r="A110" s="9"/>
      <x:c r="B110" s="9"/>
      <x:c r="C110" s="9"/>
      <x:c r="D110" s="9"/>
      <x:c r="E110" s="11"/>
      <x:c r="F110" s="9"/>
      <x:c r="G110" s="9"/>
      <x:c r="H110" s="9"/>
      <x:c r="I110" s="11"/>
      <x:c r="J110" s="11"/>
      <x:c r="K110" s="9"/>
      <x:c r="L110" s="9"/>
      <x:c r="M110" s="12" t="str">
        <x:f>IF(A110="","",IF(G110="","À compléter",IF(AND(ISNUMBER(J110),J110&lt;='Tableau de bord'!$F$5),"Réalisée",IF(I110="","À compléter",IF(I110&lt;'Tableau de bord'!$F$5,"Retard","À venir")))))</x:f>
      </x:c>
      <x:c r="N110" s="12" t="str">
        <x:f>IF(OR(A110="",I110=""),"",IF(M110="Retard",'Tableau de bord'!$F$5-I110,0))</x:f>
      </x:c>
      <x:c r="O110" s="9"/>
      <x:c r="P110" s="12" t="str">
        <x:f>IF(A110="","",IF(OR(B110="",G110="",H110="",E110=""),"À compléter",IF(COUNTIFS($A$6:$A$505,A110,$B$6:$B$505,B110)&gt;1,"Doublon ID",IF(AND(ISNUMBER(J110),J110&lt;E110),"Incohérent",""))))</x:f>
      </x:c>
    </x:row>
    <x:row r="111" ht="23" customHeight="1">
      <x:c r="A111" s="9"/>
      <x:c r="B111" s="9"/>
      <x:c r="C111" s="9"/>
      <x:c r="D111" s="9"/>
      <x:c r="E111" s="11"/>
      <x:c r="F111" s="9"/>
      <x:c r="G111" s="9"/>
      <x:c r="H111" s="9"/>
      <x:c r="I111" s="11"/>
      <x:c r="J111" s="11"/>
      <x:c r="K111" s="9"/>
      <x:c r="L111" s="9"/>
      <x:c r="M111" s="12" t="str">
        <x:f>IF(A111="","",IF(G111="","À compléter",IF(AND(ISNUMBER(J111),J111&lt;='Tableau de bord'!$F$5),"Réalisée",IF(I111="","À compléter",IF(I111&lt;'Tableau de bord'!$F$5,"Retard","À venir")))))</x:f>
      </x:c>
      <x:c r="N111" s="12" t="str">
        <x:f>IF(OR(A111="",I111=""),"",IF(M111="Retard",'Tableau de bord'!$F$5-I111,0))</x:f>
      </x:c>
      <x:c r="O111" s="9"/>
      <x:c r="P111" s="12" t="str">
        <x:f>IF(A111="","",IF(OR(B111="",G111="",H111="",E111=""),"À compléter",IF(COUNTIFS($A$6:$A$505,A111,$B$6:$B$505,B111)&gt;1,"Doublon ID",IF(AND(ISNUMBER(J111),J111&lt;E111),"Incohérent",""))))</x:f>
      </x:c>
    </x:row>
    <x:row r="112" ht="23" customHeight="1">
      <x:c r="A112" s="9"/>
      <x:c r="B112" s="9"/>
      <x:c r="C112" s="9"/>
      <x:c r="D112" s="9"/>
      <x:c r="E112" s="11"/>
      <x:c r="F112" s="9"/>
      <x:c r="G112" s="9"/>
      <x:c r="H112" s="9"/>
      <x:c r="I112" s="11"/>
      <x:c r="J112" s="11"/>
      <x:c r="K112" s="9"/>
      <x:c r="L112" s="9"/>
      <x:c r="M112" s="12" t="str">
        <x:f>IF(A112="","",IF(G112="","À compléter",IF(AND(ISNUMBER(J112),J112&lt;='Tableau de bord'!$F$5),"Réalisée",IF(I112="","À compléter",IF(I112&lt;'Tableau de bord'!$F$5,"Retard","À venir")))))</x:f>
      </x:c>
      <x:c r="N112" s="12" t="str">
        <x:f>IF(OR(A112="",I112=""),"",IF(M112="Retard",'Tableau de bord'!$F$5-I112,0))</x:f>
      </x:c>
      <x:c r="O112" s="9"/>
      <x:c r="P112" s="12" t="str">
        <x:f>IF(A112="","",IF(OR(B112="",G112="",H112="",E112=""),"À compléter",IF(COUNTIFS($A$6:$A$505,A112,$B$6:$B$505,B112)&gt;1,"Doublon ID",IF(AND(ISNUMBER(J112),J112&lt;E112),"Incohérent",""))))</x:f>
      </x:c>
    </x:row>
    <x:row r="113" ht="23" customHeight="1">
      <x:c r="A113" s="9"/>
      <x:c r="B113" s="9"/>
      <x:c r="C113" s="9"/>
      <x:c r="D113" s="9"/>
      <x:c r="E113" s="11"/>
      <x:c r="F113" s="9"/>
      <x:c r="G113" s="9"/>
      <x:c r="H113" s="9"/>
      <x:c r="I113" s="11"/>
      <x:c r="J113" s="11"/>
      <x:c r="K113" s="9"/>
      <x:c r="L113" s="9"/>
      <x:c r="M113" s="12" t="str">
        <x:f>IF(A113="","",IF(G113="","À compléter",IF(AND(ISNUMBER(J113),J113&lt;='Tableau de bord'!$F$5),"Réalisée",IF(I113="","À compléter",IF(I113&lt;'Tableau de bord'!$F$5,"Retard","À venir")))))</x:f>
      </x:c>
      <x:c r="N113" s="12" t="str">
        <x:f>IF(OR(A113="",I113=""),"",IF(M113="Retard",'Tableau de bord'!$F$5-I113,0))</x:f>
      </x:c>
      <x:c r="O113" s="9"/>
      <x:c r="P113" s="12" t="str">
        <x:f>IF(A113="","",IF(OR(B113="",G113="",H113="",E113=""),"À compléter",IF(COUNTIFS($A$6:$A$505,A113,$B$6:$B$505,B113)&gt;1,"Doublon ID",IF(AND(ISNUMBER(J113),J113&lt;E113),"Incohérent",""))))</x:f>
      </x:c>
    </x:row>
    <x:row r="114" ht="23" customHeight="1">
      <x:c r="A114" s="9"/>
      <x:c r="B114" s="9"/>
      <x:c r="C114" s="9"/>
      <x:c r="D114" s="9"/>
      <x:c r="E114" s="11"/>
      <x:c r="F114" s="9"/>
      <x:c r="G114" s="9"/>
      <x:c r="H114" s="9"/>
      <x:c r="I114" s="11"/>
      <x:c r="J114" s="11"/>
      <x:c r="K114" s="9"/>
      <x:c r="L114" s="9"/>
      <x:c r="M114" s="12" t="str">
        <x:f>IF(A114="","",IF(G114="","À compléter",IF(AND(ISNUMBER(J114),J114&lt;='Tableau de bord'!$F$5),"Réalisée",IF(I114="","À compléter",IF(I114&lt;'Tableau de bord'!$F$5,"Retard","À venir")))))</x:f>
      </x:c>
      <x:c r="N114" s="12" t="str">
        <x:f>IF(OR(A114="",I114=""),"",IF(M114="Retard",'Tableau de bord'!$F$5-I114,0))</x:f>
      </x:c>
      <x:c r="O114" s="9"/>
      <x:c r="P114" s="12" t="str">
        <x:f>IF(A114="","",IF(OR(B114="",G114="",H114="",E114=""),"À compléter",IF(COUNTIFS($A$6:$A$505,A114,$B$6:$B$505,B114)&gt;1,"Doublon ID",IF(AND(ISNUMBER(J114),J114&lt;E114),"Incohérent",""))))</x:f>
      </x:c>
    </x:row>
    <x:row r="115" ht="23" customHeight="1">
      <x:c r="A115" s="9"/>
      <x:c r="B115" s="9"/>
      <x:c r="C115" s="9"/>
      <x:c r="D115" s="9"/>
      <x:c r="E115" s="11"/>
      <x:c r="F115" s="9"/>
      <x:c r="G115" s="9"/>
      <x:c r="H115" s="9"/>
      <x:c r="I115" s="11"/>
      <x:c r="J115" s="11"/>
      <x:c r="K115" s="9"/>
      <x:c r="L115" s="9"/>
      <x:c r="M115" s="12" t="str">
        <x:f>IF(A115="","",IF(G115="","À compléter",IF(AND(ISNUMBER(J115),J115&lt;='Tableau de bord'!$F$5),"Réalisée",IF(I115="","À compléter",IF(I115&lt;'Tableau de bord'!$F$5,"Retard","À venir")))))</x:f>
      </x:c>
      <x:c r="N115" s="12" t="str">
        <x:f>IF(OR(A115="",I115=""),"",IF(M115="Retard",'Tableau de bord'!$F$5-I115,0))</x:f>
      </x:c>
      <x:c r="O115" s="9"/>
      <x:c r="P115" s="12" t="str">
        <x:f>IF(A115="","",IF(OR(B115="",G115="",H115="",E115=""),"À compléter",IF(COUNTIFS($A$6:$A$505,A115,$B$6:$B$505,B115)&gt;1,"Doublon ID",IF(AND(ISNUMBER(J115),J115&lt;E115),"Incohérent",""))))</x:f>
      </x:c>
    </x:row>
    <x:row r="116" ht="23" customHeight="1">
      <x:c r="A116" s="9"/>
      <x:c r="B116" s="9"/>
      <x:c r="C116" s="9"/>
      <x:c r="D116" s="9"/>
      <x:c r="E116" s="11"/>
      <x:c r="F116" s="9"/>
      <x:c r="G116" s="9"/>
      <x:c r="H116" s="9"/>
      <x:c r="I116" s="11"/>
      <x:c r="J116" s="11"/>
      <x:c r="K116" s="9"/>
      <x:c r="L116" s="9"/>
      <x:c r="M116" s="12" t="str">
        <x:f>IF(A116="","",IF(G116="","À compléter",IF(AND(ISNUMBER(J116),J116&lt;='Tableau de bord'!$F$5),"Réalisée",IF(I116="","À compléter",IF(I116&lt;'Tableau de bord'!$F$5,"Retard","À venir")))))</x:f>
      </x:c>
      <x:c r="N116" s="12" t="str">
        <x:f>IF(OR(A116="",I116=""),"",IF(M116="Retard",'Tableau de bord'!$F$5-I116,0))</x:f>
      </x:c>
      <x:c r="O116" s="9"/>
      <x:c r="P116" s="12" t="str">
        <x:f>IF(A116="","",IF(OR(B116="",G116="",H116="",E116=""),"À compléter",IF(COUNTIFS($A$6:$A$505,A116,$B$6:$B$505,B116)&gt;1,"Doublon ID",IF(AND(ISNUMBER(J116),J116&lt;E116),"Incohérent",""))))</x:f>
      </x:c>
    </x:row>
    <x:row r="117" ht="23" customHeight="1">
      <x:c r="A117" s="9"/>
      <x:c r="B117" s="9"/>
      <x:c r="C117" s="9"/>
      <x:c r="D117" s="9"/>
      <x:c r="E117" s="11"/>
      <x:c r="F117" s="9"/>
      <x:c r="G117" s="9"/>
      <x:c r="H117" s="9"/>
      <x:c r="I117" s="11"/>
      <x:c r="J117" s="11"/>
      <x:c r="K117" s="9"/>
      <x:c r="L117" s="9"/>
      <x:c r="M117" s="12" t="str">
        <x:f>IF(A117="","",IF(G117="","À compléter",IF(AND(ISNUMBER(J117),J117&lt;='Tableau de bord'!$F$5),"Réalisée",IF(I117="","À compléter",IF(I117&lt;'Tableau de bord'!$F$5,"Retard","À venir")))))</x:f>
      </x:c>
      <x:c r="N117" s="12" t="str">
        <x:f>IF(OR(A117="",I117=""),"",IF(M117="Retard",'Tableau de bord'!$F$5-I117,0))</x:f>
      </x:c>
      <x:c r="O117" s="9"/>
      <x:c r="P117" s="12" t="str">
        <x:f>IF(A117="","",IF(OR(B117="",G117="",H117="",E117=""),"À compléter",IF(COUNTIFS($A$6:$A$505,A117,$B$6:$B$505,B117)&gt;1,"Doublon ID",IF(AND(ISNUMBER(J117),J117&lt;E117),"Incohérent",""))))</x:f>
      </x:c>
    </x:row>
    <x:row r="118" ht="23" customHeight="1">
      <x:c r="A118" s="9"/>
      <x:c r="B118" s="9"/>
      <x:c r="C118" s="9"/>
      <x:c r="D118" s="9"/>
      <x:c r="E118" s="11"/>
      <x:c r="F118" s="9"/>
      <x:c r="G118" s="9"/>
      <x:c r="H118" s="9"/>
      <x:c r="I118" s="11"/>
      <x:c r="J118" s="11"/>
      <x:c r="K118" s="9"/>
      <x:c r="L118" s="9"/>
      <x:c r="M118" s="12" t="str">
        <x:f>IF(A118="","",IF(G118="","À compléter",IF(AND(ISNUMBER(J118),J118&lt;='Tableau de bord'!$F$5),"Réalisée",IF(I118="","À compléter",IF(I118&lt;'Tableau de bord'!$F$5,"Retard","À venir")))))</x:f>
      </x:c>
      <x:c r="N118" s="12" t="str">
        <x:f>IF(OR(A118="",I118=""),"",IF(M118="Retard",'Tableau de bord'!$F$5-I118,0))</x:f>
      </x:c>
      <x:c r="O118" s="9"/>
      <x:c r="P118" s="12" t="str">
        <x:f>IF(A118="","",IF(OR(B118="",G118="",H118="",E118=""),"À compléter",IF(COUNTIFS($A$6:$A$505,A118,$B$6:$B$505,B118)&gt;1,"Doublon ID",IF(AND(ISNUMBER(J118),J118&lt;E118),"Incohérent",""))))</x:f>
      </x:c>
    </x:row>
    <x:row r="119" ht="23" customHeight="1">
      <x:c r="A119" s="9"/>
      <x:c r="B119" s="9"/>
      <x:c r="C119" s="9"/>
      <x:c r="D119" s="9"/>
      <x:c r="E119" s="11"/>
      <x:c r="F119" s="9"/>
      <x:c r="G119" s="9"/>
      <x:c r="H119" s="9"/>
      <x:c r="I119" s="11"/>
      <x:c r="J119" s="11"/>
      <x:c r="K119" s="9"/>
      <x:c r="L119" s="9"/>
      <x:c r="M119" s="12" t="str">
        <x:f>IF(A119="","",IF(G119="","À compléter",IF(AND(ISNUMBER(J119),J119&lt;='Tableau de bord'!$F$5),"Réalisée",IF(I119="","À compléter",IF(I119&lt;'Tableau de bord'!$F$5,"Retard","À venir")))))</x:f>
      </x:c>
      <x:c r="N119" s="12" t="str">
        <x:f>IF(OR(A119="",I119=""),"",IF(M119="Retard",'Tableau de bord'!$F$5-I119,0))</x:f>
      </x:c>
      <x:c r="O119" s="9"/>
      <x:c r="P119" s="12" t="str">
        <x:f>IF(A119="","",IF(OR(B119="",G119="",H119="",E119=""),"À compléter",IF(COUNTIFS($A$6:$A$505,A119,$B$6:$B$505,B119)&gt;1,"Doublon ID",IF(AND(ISNUMBER(J119),J119&lt;E119),"Incohérent",""))))</x:f>
      </x:c>
    </x:row>
    <x:row r="120" ht="23" customHeight="1">
      <x:c r="A120" s="9"/>
      <x:c r="B120" s="9"/>
      <x:c r="C120" s="9"/>
      <x:c r="D120" s="9"/>
      <x:c r="E120" s="11"/>
      <x:c r="F120" s="9"/>
      <x:c r="G120" s="9"/>
      <x:c r="H120" s="9"/>
      <x:c r="I120" s="11"/>
      <x:c r="J120" s="11"/>
      <x:c r="K120" s="9"/>
      <x:c r="L120" s="9"/>
      <x:c r="M120" s="12" t="str">
        <x:f>IF(A120="","",IF(G120="","À compléter",IF(AND(ISNUMBER(J120),J120&lt;='Tableau de bord'!$F$5),"Réalisée",IF(I120="","À compléter",IF(I120&lt;'Tableau de bord'!$F$5,"Retard","À venir")))))</x:f>
      </x:c>
      <x:c r="N120" s="12" t="str">
        <x:f>IF(OR(A120="",I120=""),"",IF(M120="Retard",'Tableau de bord'!$F$5-I120,0))</x:f>
      </x:c>
      <x:c r="O120" s="9"/>
      <x:c r="P120" s="12" t="str">
        <x:f>IF(A120="","",IF(OR(B120="",G120="",H120="",E120=""),"À compléter",IF(COUNTIFS($A$6:$A$505,A120,$B$6:$B$505,B120)&gt;1,"Doublon ID",IF(AND(ISNUMBER(J120),J120&lt;E120),"Incohérent",""))))</x:f>
      </x:c>
    </x:row>
    <x:row r="121" ht="23" customHeight="1">
      <x:c r="A121" s="9"/>
      <x:c r="B121" s="9"/>
      <x:c r="C121" s="9"/>
      <x:c r="D121" s="9"/>
      <x:c r="E121" s="11"/>
      <x:c r="F121" s="9"/>
      <x:c r="G121" s="9"/>
      <x:c r="H121" s="9"/>
      <x:c r="I121" s="11"/>
      <x:c r="J121" s="11"/>
      <x:c r="K121" s="9"/>
      <x:c r="L121" s="9"/>
      <x:c r="M121" s="12" t="str">
        <x:f>IF(A121="","",IF(G121="","À compléter",IF(AND(ISNUMBER(J121),J121&lt;='Tableau de bord'!$F$5),"Réalisée",IF(I121="","À compléter",IF(I121&lt;'Tableau de bord'!$F$5,"Retard","À venir")))))</x:f>
      </x:c>
      <x:c r="N121" s="12" t="str">
        <x:f>IF(OR(A121="",I121=""),"",IF(M121="Retard",'Tableau de bord'!$F$5-I121,0))</x:f>
      </x:c>
      <x:c r="O121" s="9"/>
      <x:c r="P121" s="12" t="str">
        <x:f>IF(A121="","",IF(OR(B121="",G121="",H121="",E121=""),"À compléter",IF(COUNTIFS($A$6:$A$505,A121,$B$6:$B$505,B121)&gt;1,"Doublon ID",IF(AND(ISNUMBER(J121),J121&lt;E121),"Incohérent",""))))</x:f>
      </x:c>
    </x:row>
    <x:row r="122" ht="23" customHeight="1">
      <x:c r="A122" s="9"/>
      <x:c r="B122" s="9"/>
      <x:c r="C122" s="9"/>
      <x:c r="D122" s="9"/>
      <x:c r="E122" s="11"/>
      <x:c r="F122" s="9"/>
      <x:c r="G122" s="9"/>
      <x:c r="H122" s="9"/>
      <x:c r="I122" s="11"/>
      <x:c r="J122" s="11"/>
      <x:c r="K122" s="9"/>
      <x:c r="L122" s="9"/>
      <x:c r="M122" s="12" t="str">
        <x:f>IF(A122="","",IF(G122="","À compléter",IF(AND(ISNUMBER(J122),J122&lt;='Tableau de bord'!$F$5),"Réalisée",IF(I122="","À compléter",IF(I122&lt;'Tableau de bord'!$F$5,"Retard","À venir")))))</x:f>
      </x:c>
      <x:c r="N122" s="12" t="str">
        <x:f>IF(OR(A122="",I122=""),"",IF(M122="Retard",'Tableau de bord'!$F$5-I122,0))</x:f>
      </x:c>
      <x:c r="O122" s="9"/>
      <x:c r="P122" s="12" t="str">
        <x:f>IF(A122="","",IF(OR(B122="",G122="",H122="",E122=""),"À compléter",IF(COUNTIFS($A$6:$A$505,A122,$B$6:$B$505,B122)&gt;1,"Doublon ID",IF(AND(ISNUMBER(J122),J122&lt;E122),"Incohérent",""))))</x:f>
      </x:c>
    </x:row>
    <x:row r="123" ht="23" customHeight="1">
      <x:c r="A123" s="9"/>
      <x:c r="B123" s="9"/>
      <x:c r="C123" s="9"/>
      <x:c r="D123" s="9"/>
      <x:c r="E123" s="11"/>
      <x:c r="F123" s="9"/>
      <x:c r="G123" s="9"/>
      <x:c r="H123" s="9"/>
      <x:c r="I123" s="11"/>
      <x:c r="J123" s="11"/>
      <x:c r="K123" s="9"/>
      <x:c r="L123" s="9"/>
      <x:c r="M123" s="12" t="str">
        <x:f>IF(A123="","",IF(G123="","À compléter",IF(AND(ISNUMBER(J123),J123&lt;='Tableau de bord'!$F$5),"Réalisée",IF(I123="","À compléter",IF(I123&lt;'Tableau de bord'!$F$5,"Retard","À venir")))))</x:f>
      </x:c>
      <x:c r="N123" s="12" t="str">
        <x:f>IF(OR(A123="",I123=""),"",IF(M123="Retard",'Tableau de bord'!$F$5-I123,0))</x:f>
      </x:c>
      <x:c r="O123" s="9"/>
      <x:c r="P123" s="12" t="str">
        <x:f>IF(A123="","",IF(OR(B123="",G123="",H123="",E123=""),"À compléter",IF(COUNTIFS($A$6:$A$505,A123,$B$6:$B$505,B123)&gt;1,"Doublon ID",IF(AND(ISNUMBER(J123),J123&lt;E123),"Incohérent",""))))</x:f>
      </x:c>
    </x:row>
    <x:row r="124" ht="23" customHeight="1">
      <x:c r="A124" s="9"/>
      <x:c r="B124" s="9"/>
      <x:c r="C124" s="9"/>
      <x:c r="D124" s="9"/>
      <x:c r="E124" s="11"/>
      <x:c r="F124" s="9"/>
      <x:c r="G124" s="9"/>
      <x:c r="H124" s="9"/>
      <x:c r="I124" s="11"/>
      <x:c r="J124" s="11"/>
      <x:c r="K124" s="9"/>
      <x:c r="L124" s="9"/>
      <x:c r="M124" s="12" t="str">
        <x:f>IF(A124="","",IF(G124="","À compléter",IF(AND(ISNUMBER(J124),J124&lt;='Tableau de bord'!$F$5),"Réalisée",IF(I124="","À compléter",IF(I124&lt;'Tableau de bord'!$F$5,"Retard","À venir")))))</x:f>
      </x:c>
      <x:c r="N124" s="12" t="str">
        <x:f>IF(OR(A124="",I124=""),"",IF(M124="Retard",'Tableau de bord'!$F$5-I124,0))</x:f>
      </x:c>
      <x:c r="O124" s="9"/>
      <x:c r="P124" s="12" t="str">
        <x:f>IF(A124="","",IF(OR(B124="",G124="",H124="",E124=""),"À compléter",IF(COUNTIFS($A$6:$A$505,A124,$B$6:$B$505,B124)&gt;1,"Doublon ID",IF(AND(ISNUMBER(J124),J124&lt;E124),"Incohérent",""))))</x:f>
      </x:c>
    </x:row>
    <x:row r="125" ht="23" customHeight="1">
      <x:c r="A125" s="9"/>
      <x:c r="B125" s="9"/>
      <x:c r="C125" s="9"/>
      <x:c r="D125" s="9"/>
      <x:c r="E125" s="11"/>
      <x:c r="F125" s="9"/>
      <x:c r="G125" s="9"/>
      <x:c r="H125" s="9"/>
      <x:c r="I125" s="11"/>
      <x:c r="J125" s="11"/>
      <x:c r="K125" s="9"/>
      <x:c r="L125" s="9"/>
      <x:c r="M125" s="12" t="str">
        <x:f>IF(A125="","",IF(G125="","À compléter",IF(AND(ISNUMBER(J125),J125&lt;='Tableau de bord'!$F$5),"Réalisée",IF(I125="","À compléter",IF(I125&lt;'Tableau de bord'!$F$5,"Retard","À venir")))))</x:f>
      </x:c>
      <x:c r="N125" s="12" t="str">
        <x:f>IF(OR(A125="",I125=""),"",IF(M125="Retard",'Tableau de bord'!$F$5-I125,0))</x:f>
      </x:c>
      <x:c r="O125" s="9"/>
      <x:c r="P125" s="12" t="str">
        <x:f>IF(A125="","",IF(OR(B125="",G125="",H125="",E125=""),"À compléter",IF(COUNTIFS($A$6:$A$505,A125,$B$6:$B$505,B125)&gt;1,"Doublon ID",IF(AND(ISNUMBER(J125),J125&lt;E125),"Incohérent",""))))</x:f>
      </x:c>
    </x:row>
    <x:row r="126" ht="23" customHeight="1">
      <x:c r="A126" s="9"/>
      <x:c r="B126" s="9"/>
      <x:c r="C126" s="9"/>
      <x:c r="D126" s="9"/>
      <x:c r="E126" s="11"/>
      <x:c r="F126" s="9"/>
      <x:c r="G126" s="9"/>
      <x:c r="H126" s="9"/>
      <x:c r="I126" s="11"/>
      <x:c r="J126" s="11"/>
      <x:c r="K126" s="9"/>
      <x:c r="L126" s="9"/>
      <x:c r="M126" s="12" t="str">
        <x:f>IF(A126="","",IF(G126="","À compléter",IF(AND(ISNUMBER(J126),J126&lt;='Tableau de bord'!$F$5),"Réalisée",IF(I126="","À compléter",IF(I126&lt;'Tableau de bord'!$F$5,"Retard","À venir")))))</x:f>
      </x:c>
      <x:c r="N126" s="12" t="str">
        <x:f>IF(OR(A126="",I126=""),"",IF(M126="Retard",'Tableau de bord'!$F$5-I126,0))</x:f>
      </x:c>
      <x:c r="O126" s="9"/>
      <x:c r="P126" s="12" t="str">
        <x:f>IF(A126="","",IF(OR(B126="",G126="",H126="",E126=""),"À compléter",IF(COUNTIFS($A$6:$A$505,A126,$B$6:$B$505,B126)&gt;1,"Doublon ID",IF(AND(ISNUMBER(J126),J126&lt;E126),"Incohérent",""))))</x:f>
      </x:c>
    </x:row>
    <x:row r="127" ht="23" customHeight="1">
      <x:c r="A127" s="9"/>
      <x:c r="B127" s="9"/>
      <x:c r="C127" s="9"/>
      <x:c r="D127" s="9"/>
      <x:c r="E127" s="11"/>
      <x:c r="F127" s="9"/>
      <x:c r="G127" s="9"/>
      <x:c r="H127" s="9"/>
      <x:c r="I127" s="11"/>
      <x:c r="J127" s="11"/>
      <x:c r="K127" s="9"/>
      <x:c r="L127" s="9"/>
      <x:c r="M127" s="12" t="str">
        <x:f>IF(A127="","",IF(G127="","À compléter",IF(AND(ISNUMBER(J127),J127&lt;='Tableau de bord'!$F$5),"Réalisée",IF(I127="","À compléter",IF(I127&lt;'Tableau de bord'!$F$5,"Retard","À venir")))))</x:f>
      </x:c>
      <x:c r="N127" s="12" t="str">
        <x:f>IF(OR(A127="",I127=""),"",IF(M127="Retard",'Tableau de bord'!$F$5-I127,0))</x:f>
      </x:c>
      <x:c r="O127" s="9"/>
      <x:c r="P127" s="12" t="str">
        <x:f>IF(A127="","",IF(OR(B127="",G127="",H127="",E127=""),"À compléter",IF(COUNTIFS($A$6:$A$505,A127,$B$6:$B$505,B127)&gt;1,"Doublon ID",IF(AND(ISNUMBER(J127),J127&lt;E127),"Incohérent",""))))</x:f>
      </x:c>
    </x:row>
    <x:row r="128" ht="23" customHeight="1">
      <x:c r="A128" s="9"/>
      <x:c r="B128" s="9"/>
      <x:c r="C128" s="9"/>
      <x:c r="D128" s="9"/>
      <x:c r="E128" s="11"/>
      <x:c r="F128" s="9"/>
      <x:c r="G128" s="9"/>
      <x:c r="H128" s="9"/>
      <x:c r="I128" s="11"/>
      <x:c r="J128" s="11"/>
      <x:c r="K128" s="9"/>
      <x:c r="L128" s="9"/>
      <x:c r="M128" s="12" t="str">
        <x:f>IF(A128="","",IF(G128="","À compléter",IF(AND(ISNUMBER(J128),J128&lt;='Tableau de bord'!$F$5),"Réalisée",IF(I128="","À compléter",IF(I128&lt;'Tableau de bord'!$F$5,"Retard","À venir")))))</x:f>
      </x:c>
      <x:c r="N128" s="12" t="str">
        <x:f>IF(OR(A128="",I128=""),"",IF(M128="Retard",'Tableau de bord'!$F$5-I128,0))</x:f>
      </x:c>
      <x:c r="O128" s="9"/>
      <x:c r="P128" s="12" t="str">
        <x:f>IF(A128="","",IF(OR(B128="",G128="",H128="",E128=""),"À compléter",IF(COUNTIFS($A$6:$A$505,A128,$B$6:$B$505,B128)&gt;1,"Doublon ID",IF(AND(ISNUMBER(J128),J128&lt;E128),"Incohérent",""))))</x:f>
      </x:c>
    </x:row>
    <x:row r="129" ht="23" customHeight="1">
      <x:c r="A129" s="9"/>
      <x:c r="B129" s="9"/>
      <x:c r="C129" s="9"/>
      <x:c r="D129" s="9"/>
      <x:c r="E129" s="11"/>
      <x:c r="F129" s="9"/>
      <x:c r="G129" s="9"/>
      <x:c r="H129" s="9"/>
      <x:c r="I129" s="11"/>
      <x:c r="J129" s="11"/>
      <x:c r="K129" s="9"/>
      <x:c r="L129" s="9"/>
      <x:c r="M129" s="12" t="str">
        <x:f>IF(A129="","",IF(G129="","À compléter",IF(AND(ISNUMBER(J129),J129&lt;='Tableau de bord'!$F$5),"Réalisée",IF(I129="","À compléter",IF(I129&lt;'Tableau de bord'!$F$5,"Retard","À venir")))))</x:f>
      </x:c>
      <x:c r="N129" s="12" t="str">
        <x:f>IF(OR(A129="",I129=""),"",IF(M129="Retard",'Tableau de bord'!$F$5-I129,0))</x:f>
      </x:c>
      <x:c r="O129" s="9"/>
      <x:c r="P129" s="12" t="str">
        <x:f>IF(A129="","",IF(OR(B129="",G129="",H129="",E129=""),"À compléter",IF(COUNTIFS($A$6:$A$505,A129,$B$6:$B$505,B129)&gt;1,"Doublon ID",IF(AND(ISNUMBER(J129),J129&lt;E129),"Incohérent",""))))</x:f>
      </x:c>
    </x:row>
    <x:row r="130" ht="23" customHeight="1">
      <x:c r="A130" s="9"/>
      <x:c r="B130" s="9"/>
      <x:c r="C130" s="9"/>
      <x:c r="D130" s="9"/>
      <x:c r="E130" s="11"/>
      <x:c r="F130" s="9"/>
      <x:c r="G130" s="9"/>
      <x:c r="H130" s="9"/>
      <x:c r="I130" s="11"/>
      <x:c r="J130" s="11"/>
      <x:c r="K130" s="9"/>
      <x:c r="L130" s="9"/>
      <x:c r="M130" s="12" t="str">
        <x:f>IF(A130="","",IF(G130="","À compléter",IF(AND(ISNUMBER(J130),J130&lt;='Tableau de bord'!$F$5),"Réalisée",IF(I130="","À compléter",IF(I130&lt;'Tableau de bord'!$F$5,"Retard","À venir")))))</x:f>
      </x:c>
      <x:c r="N130" s="12" t="str">
        <x:f>IF(OR(A130="",I130=""),"",IF(M130="Retard",'Tableau de bord'!$F$5-I130,0))</x:f>
      </x:c>
      <x:c r="O130" s="9"/>
      <x:c r="P130" s="12" t="str">
        <x:f>IF(A130="","",IF(OR(B130="",G130="",H130="",E130=""),"À compléter",IF(COUNTIFS($A$6:$A$505,A130,$B$6:$B$505,B130)&gt;1,"Doublon ID",IF(AND(ISNUMBER(J130),J130&lt;E130),"Incohérent",""))))</x:f>
      </x:c>
    </x:row>
    <x:row r="131" ht="23" customHeight="1">
      <x:c r="A131" s="9"/>
      <x:c r="B131" s="9"/>
      <x:c r="C131" s="9"/>
      <x:c r="D131" s="9"/>
      <x:c r="E131" s="11"/>
      <x:c r="F131" s="9"/>
      <x:c r="G131" s="9"/>
      <x:c r="H131" s="9"/>
      <x:c r="I131" s="11"/>
      <x:c r="J131" s="11"/>
      <x:c r="K131" s="9"/>
      <x:c r="L131" s="9"/>
      <x:c r="M131" s="12" t="str">
        <x:f>IF(A131="","",IF(G131="","À compléter",IF(AND(ISNUMBER(J131),J131&lt;='Tableau de bord'!$F$5),"Réalisée",IF(I131="","À compléter",IF(I131&lt;'Tableau de bord'!$F$5,"Retard","À venir")))))</x:f>
      </x:c>
      <x:c r="N131" s="12" t="str">
        <x:f>IF(OR(A131="",I131=""),"",IF(M131="Retard",'Tableau de bord'!$F$5-I131,0))</x:f>
      </x:c>
      <x:c r="O131" s="9"/>
      <x:c r="P131" s="12" t="str">
        <x:f>IF(A131="","",IF(OR(B131="",G131="",H131="",E131=""),"À compléter",IF(COUNTIFS($A$6:$A$505,A131,$B$6:$B$505,B131)&gt;1,"Doublon ID",IF(AND(ISNUMBER(J131),J131&lt;E131),"Incohérent",""))))</x:f>
      </x:c>
    </x:row>
    <x:row r="132" ht="23" customHeight="1">
      <x:c r="A132" s="9"/>
      <x:c r="B132" s="9"/>
      <x:c r="C132" s="9"/>
      <x:c r="D132" s="9"/>
      <x:c r="E132" s="11"/>
      <x:c r="F132" s="9"/>
      <x:c r="G132" s="9"/>
      <x:c r="H132" s="9"/>
      <x:c r="I132" s="11"/>
      <x:c r="J132" s="11"/>
      <x:c r="K132" s="9"/>
      <x:c r="L132" s="9"/>
      <x:c r="M132" s="12" t="str">
        <x:f>IF(A132="","",IF(G132="","À compléter",IF(AND(ISNUMBER(J132),J132&lt;='Tableau de bord'!$F$5),"Réalisée",IF(I132="","À compléter",IF(I132&lt;'Tableau de bord'!$F$5,"Retard","À venir")))))</x:f>
      </x:c>
      <x:c r="N132" s="12" t="str">
        <x:f>IF(OR(A132="",I132=""),"",IF(M132="Retard",'Tableau de bord'!$F$5-I132,0))</x:f>
      </x:c>
      <x:c r="O132" s="9"/>
      <x:c r="P132" s="12" t="str">
        <x:f>IF(A132="","",IF(OR(B132="",G132="",H132="",E132=""),"À compléter",IF(COUNTIFS($A$6:$A$505,A132,$B$6:$B$505,B132)&gt;1,"Doublon ID",IF(AND(ISNUMBER(J132),J132&lt;E132),"Incohérent",""))))</x:f>
      </x:c>
    </x:row>
    <x:row r="133" ht="23" customHeight="1">
      <x:c r="A133" s="9"/>
      <x:c r="B133" s="9"/>
      <x:c r="C133" s="9"/>
      <x:c r="D133" s="9"/>
      <x:c r="E133" s="11"/>
      <x:c r="F133" s="9"/>
      <x:c r="G133" s="9"/>
      <x:c r="H133" s="9"/>
      <x:c r="I133" s="11"/>
      <x:c r="J133" s="11"/>
      <x:c r="K133" s="9"/>
      <x:c r="L133" s="9"/>
      <x:c r="M133" s="12" t="str">
        <x:f>IF(A133="","",IF(G133="","À compléter",IF(AND(ISNUMBER(J133),J133&lt;='Tableau de bord'!$F$5),"Réalisée",IF(I133="","À compléter",IF(I133&lt;'Tableau de bord'!$F$5,"Retard","À venir")))))</x:f>
      </x:c>
      <x:c r="N133" s="12" t="str">
        <x:f>IF(OR(A133="",I133=""),"",IF(M133="Retard",'Tableau de bord'!$F$5-I133,0))</x:f>
      </x:c>
      <x:c r="O133" s="9"/>
      <x:c r="P133" s="12" t="str">
        <x:f>IF(A133="","",IF(OR(B133="",G133="",H133="",E133=""),"À compléter",IF(COUNTIFS($A$6:$A$505,A133,$B$6:$B$505,B133)&gt;1,"Doublon ID",IF(AND(ISNUMBER(J133),J133&lt;E133),"Incohérent",""))))</x:f>
      </x:c>
    </x:row>
    <x:row r="134" ht="23" customHeight="1">
      <x:c r="A134" s="9"/>
      <x:c r="B134" s="9"/>
      <x:c r="C134" s="9"/>
      <x:c r="D134" s="9"/>
      <x:c r="E134" s="11"/>
      <x:c r="F134" s="9"/>
      <x:c r="G134" s="9"/>
      <x:c r="H134" s="9"/>
      <x:c r="I134" s="11"/>
      <x:c r="J134" s="11"/>
      <x:c r="K134" s="9"/>
      <x:c r="L134" s="9"/>
      <x:c r="M134" s="12" t="str">
        <x:f>IF(A134="","",IF(G134="","À compléter",IF(AND(ISNUMBER(J134),J134&lt;='Tableau de bord'!$F$5),"Réalisée",IF(I134="","À compléter",IF(I134&lt;'Tableau de bord'!$F$5,"Retard","À venir")))))</x:f>
      </x:c>
      <x:c r="N134" s="12" t="str">
        <x:f>IF(OR(A134="",I134=""),"",IF(M134="Retard",'Tableau de bord'!$F$5-I134,0))</x:f>
      </x:c>
      <x:c r="O134" s="9"/>
      <x:c r="P134" s="12" t="str">
        <x:f>IF(A134="","",IF(OR(B134="",G134="",H134="",E134=""),"À compléter",IF(COUNTIFS($A$6:$A$505,A134,$B$6:$B$505,B134)&gt;1,"Doublon ID",IF(AND(ISNUMBER(J134),J134&lt;E134),"Incohérent",""))))</x:f>
      </x:c>
    </x:row>
    <x:row r="135" ht="23" customHeight="1">
      <x:c r="A135" s="9"/>
      <x:c r="B135" s="9"/>
      <x:c r="C135" s="9"/>
      <x:c r="D135" s="9"/>
      <x:c r="E135" s="11"/>
      <x:c r="F135" s="9"/>
      <x:c r="G135" s="9"/>
      <x:c r="H135" s="9"/>
      <x:c r="I135" s="11"/>
      <x:c r="J135" s="11"/>
      <x:c r="K135" s="9"/>
      <x:c r="L135" s="9"/>
      <x:c r="M135" s="12" t="str">
        <x:f>IF(A135="","",IF(G135="","À compléter",IF(AND(ISNUMBER(J135),J135&lt;='Tableau de bord'!$F$5),"Réalisée",IF(I135="","À compléter",IF(I135&lt;'Tableau de bord'!$F$5,"Retard","À venir")))))</x:f>
      </x:c>
      <x:c r="N135" s="12" t="str">
        <x:f>IF(OR(A135="",I135=""),"",IF(M135="Retard",'Tableau de bord'!$F$5-I135,0))</x:f>
      </x:c>
      <x:c r="O135" s="9"/>
      <x:c r="P135" s="12" t="str">
        <x:f>IF(A135="","",IF(OR(B135="",G135="",H135="",E135=""),"À compléter",IF(COUNTIFS($A$6:$A$505,A135,$B$6:$B$505,B135)&gt;1,"Doublon ID",IF(AND(ISNUMBER(J135),J135&lt;E135),"Incohérent",""))))</x:f>
      </x:c>
    </x:row>
    <x:row r="136" ht="23" customHeight="1">
      <x:c r="A136" s="9"/>
      <x:c r="B136" s="9"/>
      <x:c r="C136" s="9"/>
      <x:c r="D136" s="9"/>
      <x:c r="E136" s="11"/>
      <x:c r="F136" s="9"/>
      <x:c r="G136" s="9"/>
      <x:c r="H136" s="9"/>
      <x:c r="I136" s="11"/>
      <x:c r="J136" s="11"/>
      <x:c r="K136" s="9"/>
      <x:c r="L136" s="9"/>
      <x:c r="M136" s="12" t="str">
        <x:f>IF(A136="","",IF(G136="","À compléter",IF(AND(ISNUMBER(J136),J136&lt;='Tableau de bord'!$F$5),"Réalisée",IF(I136="","À compléter",IF(I136&lt;'Tableau de bord'!$F$5,"Retard","À venir")))))</x:f>
      </x:c>
      <x:c r="N136" s="12" t="str">
        <x:f>IF(OR(A136="",I136=""),"",IF(M136="Retard",'Tableau de bord'!$F$5-I136,0))</x:f>
      </x:c>
      <x:c r="O136" s="9"/>
      <x:c r="P136" s="12" t="str">
        <x:f>IF(A136="","",IF(OR(B136="",G136="",H136="",E136=""),"À compléter",IF(COUNTIFS($A$6:$A$505,A136,$B$6:$B$505,B136)&gt;1,"Doublon ID",IF(AND(ISNUMBER(J136),J136&lt;E136),"Incohérent",""))))</x:f>
      </x:c>
    </x:row>
    <x:row r="137" ht="23" customHeight="1">
      <x:c r="A137" s="9"/>
      <x:c r="B137" s="9"/>
      <x:c r="C137" s="9"/>
      <x:c r="D137" s="9"/>
      <x:c r="E137" s="11"/>
      <x:c r="F137" s="9"/>
      <x:c r="G137" s="9"/>
      <x:c r="H137" s="9"/>
      <x:c r="I137" s="11"/>
      <x:c r="J137" s="11"/>
      <x:c r="K137" s="9"/>
      <x:c r="L137" s="9"/>
      <x:c r="M137" s="12" t="str">
        <x:f>IF(A137="","",IF(G137="","À compléter",IF(AND(ISNUMBER(J137),J137&lt;='Tableau de bord'!$F$5),"Réalisée",IF(I137="","À compléter",IF(I137&lt;'Tableau de bord'!$F$5,"Retard","À venir")))))</x:f>
      </x:c>
      <x:c r="N137" s="12" t="str">
        <x:f>IF(OR(A137="",I137=""),"",IF(M137="Retard",'Tableau de bord'!$F$5-I137,0))</x:f>
      </x:c>
      <x:c r="O137" s="9"/>
      <x:c r="P137" s="12" t="str">
        <x:f>IF(A137="","",IF(OR(B137="",G137="",H137="",E137=""),"À compléter",IF(COUNTIFS($A$6:$A$505,A137,$B$6:$B$505,B137)&gt;1,"Doublon ID",IF(AND(ISNUMBER(J137),J137&lt;E137),"Incohérent",""))))</x:f>
      </x:c>
    </x:row>
    <x:row r="138" ht="23" customHeight="1">
      <x:c r="A138" s="9"/>
      <x:c r="B138" s="9"/>
      <x:c r="C138" s="9"/>
      <x:c r="D138" s="9"/>
      <x:c r="E138" s="11"/>
      <x:c r="F138" s="9"/>
      <x:c r="G138" s="9"/>
      <x:c r="H138" s="9"/>
      <x:c r="I138" s="11"/>
      <x:c r="J138" s="11"/>
      <x:c r="K138" s="9"/>
      <x:c r="L138" s="9"/>
      <x:c r="M138" s="12" t="str">
        <x:f>IF(A138="","",IF(G138="","À compléter",IF(AND(ISNUMBER(J138),J138&lt;='Tableau de bord'!$F$5),"Réalisée",IF(I138="","À compléter",IF(I138&lt;'Tableau de bord'!$F$5,"Retard","À venir")))))</x:f>
      </x:c>
      <x:c r="N138" s="12" t="str">
        <x:f>IF(OR(A138="",I138=""),"",IF(M138="Retard",'Tableau de bord'!$F$5-I138,0))</x:f>
      </x:c>
      <x:c r="O138" s="9"/>
      <x:c r="P138" s="12" t="str">
        <x:f>IF(A138="","",IF(OR(B138="",G138="",H138="",E138=""),"À compléter",IF(COUNTIFS($A$6:$A$505,A138,$B$6:$B$505,B138)&gt;1,"Doublon ID",IF(AND(ISNUMBER(J138),J138&lt;E138),"Incohérent",""))))</x:f>
      </x:c>
    </x:row>
    <x:row r="139" ht="23" customHeight="1">
      <x:c r="A139" s="9"/>
      <x:c r="B139" s="9"/>
      <x:c r="C139" s="9"/>
      <x:c r="D139" s="9"/>
      <x:c r="E139" s="11"/>
      <x:c r="F139" s="9"/>
      <x:c r="G139" s="9"/>
      <x:c r="H139" s="9"/>
      <x:c r="I139" s="11"/>
      <x:c r="J139" s="11"/>
      <x:c r="K139" s="9"/>
      <x:c r="L139" s="9"/>
      <x:c r="M139" s="12" t="str">
        <x:f>IF(A139="","",IF(G139="","À compléter",IF(AND(ISNUMBER(J139),J139&lt;='Tableau de bord'!$F$5),"Réalisée",IF(I139="","À compléter",IF(I139&lt;'Tableau de bord'!$F$5,"Retard","À venir")))))</x:f>
      </x:c>
      <x:c r="N139" s="12" t="str">
        <x:f>IF(OR(A139="",I139=""),"",IF(M139="Retard",'Tableau de bord'!$F$5-I139,0))</x:f>
      </x:c>
      <x:c r="O139" s="9"/>
      <x:c r="P139" s="12" t="str">
        <x:f>IF(A139="","",IF(OR(B139="",G139="",H139="",E139=""),"À compléter",IF(COUNTIFS($A$6:$A$505,A139,$B$6:$B$505,B139)&gt;1,"Doublon ID",IF(AND(ISNUMBER(J139),J139&lt;E139),"Incohérent",""))))</x:f>
      </x:c>
    </x:row>
    <x:row r="140" ht="23" customHeight="1">
      <x:c r="A140" s="9"/>
      <x:c r="B140" s="9"/>
      <x:c r="C140" s="9"/>
      <x:c r="D140" s="9"/>
      <x:c r="E140" s="11"/>
      <x:c r="F140" s="9"/>
      <x:c r="G140" s="9"/>
      <x:c r="H140" s="9"/>
      <x:c r="I140" s="11"/>
      <x:c r="J140" s="11"/>
      <x:c r="K140" s="9"/>
      <x:c r="L140" s="9"/>
      <x:c r="M140" s="12" t="str">
        <x:f>IF(A140="","",IF(G140="","À compléter",IF(AND(ISNUMBER(J140),J140&lt;='Tableau de bord'!$F$5),"Réalisée",IF(I140="","À compléter",IF(I140&lt;'Tableau de bord'!$F$5,"Retard","À venir")))))</x:f>
      </x:c>
      <x:c r="N140" s="12" t="str">
        <x:f>IF(OR(A140="",I140=""),"",IF(M140="Retard",'Tableau de bord'!$F$5-I140,0))</x:f>
      </x:c>
      <x:c r="O140" s="9"/>
      <x:c r="P140" s="12" t="str">
        <x:f>IF(A140="","",IF(OR(B140="",G140="",H140="",E140=""),"À compléter",IF(COUNTIFS($A$6:$A$505,A140,$B$6:$B$505,B140)&gt;1,"Doublon ID",IF(AND(ISNUMBER(J140),J140&lt;E140),"Incohérent",""))))</x:f>
      </x:c>
    </x:row>
    <x:row r="141" ht="23" customHeight="1">
      <x:c r="A141" s="9"/>
      <x:c r="B141" s="9"/>
      <x:c r="C141" s="9"/>
      <x:c r="D141" s="9"/>
      <x:c r="E141" s="11"/>
      <x:c r="F141" s="9"/>
      <x:c r="G141" s="9"/>
      <x:c r="H141" s="9"/>
      <x:c r="I141" s="11"/>
      <x:c r="J141" s="11"/>
      <x:c r="K141" s="9"/>
      <x:c r="L141" s="9"/>
      <x:c r="M141" s="12" t="str">
        <x:f>IF(A141="","",IF(G141="","À compléter",IF(AND(ISNUMBER(J141),J141&lt;='Tableau de bord'!$F$5),"Réalisée",IF(I141="","À compléter",IF(I141&lt;'Tableau de bord'!$F$5,"Retard","À venir")))))</x:f>
      </x:c>
      <x:c r="N141" s="12" t="str">
        <x:f>IF(OR(A141="",I141=""),"",IF(M141="Retard",'Tableau de bord'!$F$5-I141,0))</x:f>
      </x:c>
      <x:c r="O141" s="9"/>
      <x:c r="P141" s="12" t="str">
        <x:f>IF(A141="","",IF(OR(B141="",G141="",H141="",E141=""),"À compléter",IF(COUNTIFS($A$6:$A$505,A141,$B$6:$B$505,B141)&gt;1,"Doublon ID",IF(AND(ISNUMBER(J141),J141&lt;E141),"Incohérent",""))))</x:f>
      </x:c>
    </x:row>
    <x:row r="142" ht="23" customHeight="1">
      <x:c r="A142" s="9"/>
      <x:c r="B142" s="9"/>
      <x:c r="C142" s="9"/>
      <x:c r="D142" s="9"/>
      <x:c r="E142" s="11"/>
      <x:c r="F142" s="9"/>
      <x:c r="G142" s="9"/>
      <x:c r="H142" s="9"/>
      <x:c r="I142" s="11"/>
      <x:c r="J142" s="11"/>
      <x:c r="K142" s="9"/>
      <x:c r="L142" s="9"/>
      <x:c r="M142" s="12" t="str">
        <x:f>IF(A142="","",IF(G142="","À compléter",IF(AND(ISNUMBER(J142),J142&lt;='Tableau de bord'!$F$5),"Réalisée",IF(I142="","À compléter",IF(I142&lt;'Tableau de bord'!$F$5,"Retard","À venir")))))</x:f>
      </x:c>
      <x:c r="N142" s="12" t="str">
        <x:f>IF(OR(A142="",I142=""),"",IF(M142="Retard",'Tableau de bord'!$F$5-I142,0))</x:f>
      </x:c>
      <x:c r="O142" s="9"/>
      <x:c r="P142" s="12" t="str">
        <x:f>IF(A142="","",IF(OR(B142="",G142="",H142="",E142=""),"À compléter",IF(COUNTIFS($A$6:$A$505,A142,$B$6:$B$505,B142)&gt;1,"Doublon ID",IF(AND(ISNUMBER(J142),J142&lt;E142),"Incohérent",""))))</x:f>
      </x:c>
    </x:row>
    <x:row r="143" ht="23" customHeight="1">
      <x:c r="A143" s="9"/>
      <x:c r="B143" s="9"/>
      <x:c r="C143" s="9"/>
      <x:c r="D143" s="9"/>
      <x:c r="E143" s="11"/>
      <x:c r="F143" s="9"/>
      <x:c r="G143" s="9"/>
      <x:c r="H143" s="9"/>
      <x:c r="I143" s="11"/>
      <x:c r="J143" s="11"/>
      <x:c r="K143" s="9"/>
      <x:c r="L143" s="9"/>
      <x:c r="M143" s="12" t="str">
        <x:f>IF(A143="","",IF(G143="","À compléter",IF(AND(ISNUMBER(J143),J143&lt;='Tableau de bord'!$F$5),"Réalisée",IF(I143="","À compléter",IF(I143&lt;'Tableau de bord'!$F$5,"Retard","À venir")))))</x:f>
      </x:c>
      <x:c r="N143" s="12" t="str">
        <x:f>IF(OR(A143="",I143=""),"",IF(M143="Retard",'Tableau de bord'!$F$5-I143,0))</x:f>
      </x:c>
      <x:c r="O143" s="9"/>
      <x:c r="P143" s="12" t="str">
        <x:f>IF(A143="","",IF(OR(B143="",G143="",H143="",E143=""),"À compléter",IF(COUNTIFS($A$6:$A$505,A143,$B$6:$B$505,B143)&gt;1,"Doublon ID",IF(AND(ISNUMBER(J143),J143&lt;E143),"Incohérent",""))))</x:f>
      </x:c>
    </x:row>
    <x:row r="144" ht="23" customHeight="1">
      <x:c r="A144" s="9"/>
      <x:c r="B144" s="9"/>
      <x:c r="C144" s="9"/>
      <x:c r="D144" s="9"/>
      <x:c r="E144" s="11"/>
      <x:c r="F144" s="9"/>
      <x:c r="G144" s="9"/>
      <x:c r="H144" s="9"/>
      <x:c r="I144" s="11"/>
      <x:c r="J144" s="11"/>
      <x:c r="K144" s="9"/>
      <x:c r="L144" s="9"/>
      <x:c r="M144" s="12" t="str">
        <x:f>IF(A144="","",IF(G144="","À compléter",IF(AND(ISNUMBER(J144),J144&lt;='Tableau de bord'!$F$5),"Réalisée",IF(I144="","À compléter",IF(I144&lt;'Tableau de bord'!$F$5,"Retard","À venir")))))</x:f>
      </x:c>
      <x:c r="N144" s="12" t="str">
        <x:f>IF(OR(A144="",I144=""),"",IF(M144="Retard",'Tableau de bord'!$F$5-I144,0))</x:f>
      </x:c>
      <x:c r="O144" s="9"/>
      <x:c r="P144" s="12" t="str">
        <x:f>IF(A144="","",IF(OR(B144="",G144="",H144="",E144=""),"À compléter",IF(COUNTIFS($A$6:$A$505,A144,$B$6:$B$505,B144)&gt;1,"Doublon ID",IF(AND(ISNUMBER(J144),J144&lt;E144),"Incohérent",""))))</x:f>
      </x:c>
    </x:row>
    <x:row r="145" ht="23" customHeight="1">
      <x:c r="A145" s="9"/>
      <x:c r="B145" s="9"/>
      <x:c r="C145" s="9"/>
      <x:c r="D145" s="9"/>
      <x:c r="E145" s="11"/>
      <x:c r="F145" s="9"/>
      <x:c r="G145" s="9"/>
      <x:c r="H145" s="9"/>
      <x:c r="I145" s="11"/>
      <x:c r="J145" s="11"/>
      <x:c r="K145" s="9"/>
      <x:c r="L145" s="9"/>
      <x:c r="M145" s="12" t="str">
        <x:f>IF(A145="","",IF(G145="","À compléter",IF(AND(ISNUMBER(J145),J145&lt;='Tableau de bord'!$F$5),"Réalisée",IF(I145="","À compléter",IF(I145&lt;'Tableau de bord'!$F$5,"Retard","À venir")))))</x:f>
      </x:c>
      <x:c r="N145" s="12" t="str">
        <x:f>IF(OR(A145="",I145=""),"",IF(M145="Retard",'Tableau de bord'!$F$5-I145,0))</x:f>
      </x:c>
      <x:c r="O145" s="9"/>
      <x:c r="P145" s="12" t="str">
        <x:f>IF(A145="","",IF(OR(B145="",G145="",H145="",E145=""),"À compléter",IF(COUNTIFS($A$6:$A$505,A145,$B$6:$B$505,B145)&gt;1,"Doublon ID",IF(AND(ISNUMBER(J145),J145&lt;E145),"Incohérent",""))))</x:f>
      </x:c>
    </x:row>
    <x:row r="146" ht="23" customHeight="1">
      <x:c r="A146" s="9"/>
      <x:c r="B146" s="9"/>
      <x:c r="C146" s="9"/>
      <x:c r="D146" s="9"/>
      <x:c r="E146" s="11"/>
      <x:c r="F146" s="9"/>
      <x:c r="G146" s="9"/>
      <x:c r="H146" s="9"/>
      <x:c r="I146" s="11"/>
      <x:c r="J146" s="11"/>
      <x:c r="K146" s="9"/>
      <x:c r="L146" s="9"/>
      <x:c r="M146" s="12" t="str">
        <x:f>IF(A146="","",IF(G146="","À compléter",IF(AND(ISNUMBER(J146),J146&lt;='Tableau de bord'!$F$5),"Réalisée",IF(I146="","À compléter",IF(I146&lt;'Tableau de bord'!$F$5,"Retard","À venir")))))</x:f>
      </x:c>
      <x:c r="N146" s="12" t="str">
        <x:f>IF(OR(A146="",I146=""),"",IF(M146="Retard",'Tableau de bord'!$F$5-I146,0))</x:f>
      </x:c>
      <x:c r="O146" s="9"/>
      <x:c r="P146" s="12" t="str">
        <x:f>IF(A146="","",IF(OR(B146="",G146="",H146="",E146=""),"À compléter",IF(COUNTIFS($A$6:$A$505,A146,$B$6:$B$505,B146)&gt;1,"Doublon ID",IF(AND(ISNUMBER(J146),J146&lt;E146),"Incohérent",""))))</x:f>
      </x:c>
    </x:row>
    <x:row r="147" ht="23" customHeight="1">
      <x:c r="A147" s="9"/>
      <x:c r="B147" s="9"/>
      <x:c r="C147" s="9"/>
      <x:c r="D147" s="9"/>
      <x:c r="E147" s="11"/>
      <x:c r="F147" s="9"/>
      <x:c r="G147" s="9"/>
      <x:c r="H147" s="9"/>
      <x:c r="I147" s="11"/>
      <x:c r="J147" s="11"/>
      <x:c r="K147" s="9"/>
      <x:c r="L147" s="9"/>
      <x:c r="M147" s="12" t="str">
        <x:f>IF(A147="","",IF(G147="","À compléter",IF(AND(ISNUMBER(J147),J147&lt;='Tableau de bord'!$F$5),"Réalisée",IF(I147="","À compléter",IF(I147&lt;'Tableau de bord'!$F$5,"Retard","À venir")))))</x:f>
      </x:c>
      <x:c r="N147" s="12" t="str">
        <x:f>IF(OR(A147="",I147=""),"",IF(M147="Retard",'Tableau de bord'!$F$5-I147,0))</x:f>
      </x:c>
      <x:c r="O147" s="9"/>
      <x:c r="P147" s="12" t="str">
        <x:f>IF(A147="","",IF(OR(B147="",G147="",H147="",E147=""),"À compléter",IF(COUNTIFS($A$6:$A$505,A147,$B$6:$B$505,B147)&gt;1,"Doublon ID",IF(AND(ISNUMBER(J147),J147&lt;E147),"Incohérent",""))))</x:f>
      </x:c>
    </x:row>
    <x:row r="148" ht="23" customHeight="1">
      <x:c r="A148" s="9"/>
      <x:c r="B148" s="9"/>
      <x:c r="C148" s="9"/>
      <x:c r="D148" s="9"/>
      <x:c r="E148" s="11"/>
      <x:c r="F148" s="9"/>
      <x:c r="G148" s="9"/>
      <x:c r="H148" s="9"/>
      <x:c r="I148" s="11"/>
      <x:c r="J148" s="11"/>
      <x:c r="K148" s="9"/>
      <x:c r="L148" s="9"/>
      <x:c r="M148" s="12" t="str">
        <x:f>IF(A148="","",IF(G148="","À compléter",IF(AND(ISNUMBER(J148),J148&lt;='Tableau de bord'!$F$5),"Réalisée",IF(I148="","À compléter",IF(I148&lt;'Tableau de bord'!$F$5,"Retard","À venir")))))</x:f>
      </x:c>
      <x:c r="N148" s="12" t="str">
        <x:f>IF(OR(A148="",I148=""),"",IF(M148="Retard",'Tableau de bord'!$F$5-I148,0))</x:f>
      </x:c>
      <x:c r="O148" s="9"/>
      <x:c r="P148" s="12" t="str">
        <x:f>IF(A148="","",IF(OR(B148="",G148="",H148="",E148=""),"À compléter",IF(COUNTIFS($A$6:$A$505,A148,$B$6:$B$505,B148)&gt;1,"Doublon ID",IF(AND(ISNUMBER(J148),J148&lt;E148),"Incohérent",""))))</x:f>
      </x:c>
    </x:row>
    <x:row r="149" ht="23" customHeight="1">
      <x:c r="A149" s="9"/>
      <x:c r="B149" s="9"/>
      <x:c r="C149" s="9"/>
      <x:c r="D149" s="9"/>
      <x:c r="E149" s="11"/>
      <x:c r="F149" s="9"/>
      <x:c r="G149" s="9"/>
      <x:c r="H149" s="9"/>
      <x:c r="I149" s="11"/>
      <x:c r="J149" s="11"/>
      <x:c r="K149" s="9"/>
      <x:c r="L149" s="9"/>
      <x:c r="M149" s="12" t="str">
        <x:f>IF(A149="","",IF(G149="","À compléter",IF(AND(ISNUMBER(J149),J149&lt;='Tableau de bord'!$F$5),"Réalisée",IF(I149="","À compléter",IF(I149&lt;'Tableau de bord'!$F$5,"Retard","À venir")))))</x:f>
      </x:c>
      <x:c r="N149" s="12" t="str">
        <x:f>IF(OR(A149="",I149=""),"",IF(M149="Retard",'Tableau de bord'!$F$5-I149,0))</x:f>
      </x:c>
      <x:c r="O149" s="9"/>
      <x:c r="P149" s="12" t="str">
        <x:f>IF(A149="","",IF(OR(B149="",G149="",H149="",E149=""),"À compléter",IF(COUNTIFS($A$6:$A$505,A149,$B$6:$B$505,B149)&gt;1,"Doublon ID",IF(AND(ISNUMBER(J149),J149&lt;E149),"Incohérent",""))))</x:f>
      </x:c>
    </x:row>
    <x:row r="150" ht="23" customHeight="1">
      <x:c r="A150" s="9"/>
      <x:c r="B150" s="9"/>
      <x:c r="C150" s="9"/>
      <x:c r="D150" s="9"/>
      <x:c r="E150" s="11"/>
      <x:c r="F150" s="9"/>
      <x:c r="G150" s="9"/>
      <x:c r="H150" s="9"/>
      <x:c r="I150" s="11"/>
      <x:c r="J150" s="11"/>
      <x:c r="K150" s="9"/>
      <x:c r="L150" s="9"/>
      <x:c r="M150" s="12" t="str">
        <x:f>IF(A150="","",IF(G150="","À compléter",IF(AND(ISNUMBER(J150),J150&lt;='Tableau de bord'!$F$5),"Réalisée",IF(I150="","À compléter",IF(I150&lt;'Tableau de bord'!$F$5,"Retard","À venir")))))</x:f>
      </x:c>
      <x:c r="N150" s="12" t="str">
        <x:f>IF(OR(A150="",I150=""),"",IF(M150="Retard",'Tableau de bord'!$F$5-I150,0))</x:f>
      </x:c>
      <x:c r="O150" s="9"/>
      <x:c r="P150" s="12" t="str">
        <x:f>IF(A150="","",IF(OR(B150="",G150="",H150="",E150=""),"À compléter",IF(COUNTIFS($A$6:$A$505,A150,$B$6:$B$505,B150)&gt;1,"Doublon ID",IF(AND(ISNUMBER(J150),J150&lt;E150),"Incohérent",""))))</x:f>
      </x:c>
    </x:row>
    <x:row r="151" ht="23" customHeight="1">
      <x:c r="A151" s="9"/>
      <x:c r="B151" s="9"/>
      <x:c r="C151" s="9"/>
      <x:c r="D151" s="9"/>
      <x:c r="E151" s="11"/>
      <x:c r="F151" s="9"/>
      <x:c r="G151" s="9"/>
      <x:c r="H151" s="9"/>
      <x:c r="I151" s="11"/>
      <x:c r="J151" s="11"/>
      <x:c r="K151" s="9"/>
      <x:c r="L151" s="9"/>
      <x:c r="M151" s="12" t="str">
        <x:f>IF(A151="","",IF(G151="","À compléter",IF(AND(ISNUMBER(J151),J151&lt;='Tableau de bord'!$F$5),"Réalisée",IF(I151="","À compléter",IF(I151&lt;'Tableau de bord'!$F$5,"Retard","À venir")))))</x:f>
      </x:c>
      <x:c r="N151" s="12" t="str">
        <x:f>IF(OR(A151="",I151=""),"",IF(M151="Retard",'Tableau de bord'!$F$5-I151,0))</x:f>
      </x:c>
      <x:c r="O151" s="9"/>
      <x:c r="P151" s="12" t="str">
        <x:f>IF(A151="","",IF(OR(B151="",G151="",H151="",E151=""),"À compléter",IF(COUNTIFS($A$6:$A$505,A151,$B$6:$B$505,B151)&gt;1,"Doublon ID",IF(AND(ISNUMBER(J151),J151&lt;E151),"Incohérent",""))))</x:f>
      </x:c>
    </x:row>
    <x:row r="152" ht="23" customHeight="1">
      <x:c r="A152" s="9"/>
      <x:c r="B152" s="9"/>
      <x:c r="C152" s="9"/>
      <x:c r="D152" s="9"/>
      <x:c r="E152" s="11"/>
      <x:c r="F152" s="9"/>
      <x:c r="G152" s="9"/>
      <x:c r="H152" s="9"/>
      <x:c r="I152" s="11"/>
      <x:c r="J152" s="11"/>
      <x:c r="K152" s="9"/>
      <x:c r="L152" s="9"/>
      <x:c r="M152" s="12" t="str">
        <x:f>IF(A152="","",IF(G152="","À compléter",IF(AND(ISNUMBER(J152),J152&lt;='Tableau de bord'!$F$5),"Réalisée",IF(I152="","À compléter",IF(I152&lt;'Tableau de bord'!$F$5,"Retard","À venir")))))</x:f>
      </x:c>
      <x:c r="N152" s="12" t="str">
        <x:f>IF(OR(A152="",I152=""),"",IF(M152="Retard",'Tableau de bord'!$F$5-I152,0))</x:f>
      </x:c>
      <x:c r="O152" s="9"/>
      <x:c r="P152" s="12" t="str">
        <x:f>IF(A152="","",IF(OR(B152="",G152="",H152="",E152=""),"À compléter",IF(COUNTIFS($A$6:$A$505,A152,$B$6:$B$505,B152)&gt;1,"Doublon ID",IF(AND(ISNUMBER(J152),J152&lt;E152),"Incohérent",""))))</x:f>
      </x:c>
    </x:row>
    <x:row r="153" ht="23" customHeight="1">
      <x:c r="A153" s="9"/>
      <x:c r="B153" s="9"/>
      <x:c r="C153" s="9"/>
      <x:c r="D153" s="9"/>
      <x:c r="E153" s="11"/>
      <x:c r="F153" s="9"/>
      <x:c r="G153" s="9"/>
      <x:c r="H153" s="9"/>
      <x:c r="I153" s="11"/>
      <x:c r="J153" s="11"/>
      <x:c r="K153" s="9"/>
      <x:c r="L153" s="9"/>
      <x:c r="M153" s="12" t="str">
        <x:f>IF(A153="","",IF(G153="","À compléter",IF(AND(ISNUMBER(J153),J153&lt;='Tableau de bord'!$F$5),"Réalisée",IF(I153="","À compléter",IF(I153&lt;'Tableau de bord'!$F$5,"Retard","À venir")))))</x:f>
      </x:c>
      <x:c r="N153" s="12" t="str">
        <x:f>IF(OR(A153="",I153=""),"",IF(M153="Retard",'Tableau de bord'!$F$5-I153,0))</x:f>
      </x:c>
      <x:c r="O153" s="9"/>
      <x:c r="P153" s="12" t="str">
        <x:f>IF(A153="","",IF(OR(B153="",G153="",H153="",E153=""),"À compléter",IF(COUNTIFS($A$6:$A$505,A153,$B$6:$B$505,B153)&gt;1,"Doublon ID",IF(AND(ISNUMBER(J153),J153&lt;E153),"Incohérent",""))))</x:f>
      </x:c>
    </x:row>
    <x:row r="154" ht="23" customHeight="1">
      <x:c r="A154" s="9"/>
      <x:c r="B154" s="9"/>
      <x:c r="C154" s="9"/>
      <x:c r="D154" s="9"/>
      <x:c r="E154" s="11"/>
      <x:c r="F154" s="9"/>
      <x:c r="G154" s="9"/>
      <x:c r="H154" s="9"/>
      <x:c r="I154" s="11"/>
      <x:c r="J154" s="11"/>
      <x:c r="K154" s="9"/>
      <x:c r="L154" s="9"/>
      <x:c r="M154" s="12" t="str">
        <x:f>IF(A154="","",IF(G154="","À compléter",IF(AND(ISNUMBER(J154),J154&lt;='Tableau de bord'!$F$5),"Réalisée",IF(I154="","À compléter",IF(I154&lt;'Tableau de bord'!$F$5,"Retard","À venir")))))</x:f>
      </x:c>
      <x:c r="N154" s="12" t="str">
        <x:f>IF(OR(A154="",I154=""),"",IF(M154="Retard",'Tableau de bord'!$F$5-I154,0))</x:f>
      </x:c>
      <x:c r="O154" s="9"/>
      <x:c r="P154" s="12" t="str">
        <x:f>IF(A154="","",IF(OR(B154="",G154="",H154="",E154=""),"À compléter",IF(COUNTIFS($A$6:$A$505,A154,$B$6:$B$505,B154)&gt;1,"Doublon ID",IF(AND(ISNUMBER(J154),J154&lt;E154),"Incohérent",""))))</x:f>
      </x:c>
    </x:row>
    <x:row r="155" ht="23" customHeight="1">
      <x:c r="A155" s="9"/>
      <x:c r="B155" s="9"/>
      <x:c r="C155" s="9"/>
      <x:c r="D155" s="9"/>
      <x:c r="E155" s="11"/>
      <x:c r="F155" s="9"/>
      <x:c r="G155" s="9"/>
      <x:c r="H155" s="9"/>
      <x:c r="I155" s="11"/>
      <x:c r="J155" s="11"/>
      <x:c r="K155" s="9"/>
      <x:c r="L155" s="9"/>
      <x:c r="M155" s="12" t="str">
        <x:f>IF(A155="","",IF(G155="","À compléter",IF(AND(ISNUMBER(J155),J155&lt;='Tableau de bord'!$F$5),"Réalisée",IF(I155="","À compléter",IF(I155&lt;'Tableau de bord'!$F$5,"Retard","À venir")))))</x:f>
      </x:c>
      <x:c r="N155" s="12" t="str">
        <x:f>IF(OR(A155="",I155=""),"",IF(M155="Retard",'Tableau de bord'!$F$5-I155,0))</x:f>
      </x:c>
      <x:c r="O155" s="9"/>
      <x:c r="P155" s="12" t="str">
        <x:f>IF(A155="","",IF(OR(B155="",G155="",H155="",E155=""),"À compléter",IF(COUNTIFS($A$6:$A$505,A155,$B$6:$B$505,B155)&gt;1,"Doublon ID",IF(AND(ISNUMBER(J155),J155&lt;E155),"Incohérent",""))))</x:f>
      </x:c>
    </x:row>
    <x:row r="156" ht="23" customHeight="1">
      <x:c r="A156" s="9"/>
      <x:c r="B156" s="9"/>
      <x:c r="C156" s="9"/>
      <x:c r="D156" s="9"/>
      <x:c r="E156" s="11"/>
      <x:c r="F156" s="9"/>
      <x:c r="G156" s="9"/>
      <x:c r="H156" s="9"/>
      <x:c r="I156" s="11"/>
      <x:c r="J156" s="11"/>
      <x:c r="K156" s="9"/>
      <x:c r="L156" s="9"/>
      <x:c r="M156" s="12" t="str">
        <x:f>IF(A156="","",IF(G156="","À compléter",IF(AND(ISNUMBER(J156),J156&lt;='Tableau de bord'!$F$5),"Réalisée",IF(I156="","À compléter",IF(I156&lt;'Tableau de bord'!$F$5,"Retard","À venir")))))</x:f>
      </x:c>
      <x:c r="N156" s="12" t="str">
        <x:f>IF(OR(A156="",I156=""),"",IF(M156="Retard",'Tableau de bord'!$F$5-I156,0))</x:f>
      </x:c>
      <x:c r="O156" s="9"/>
      <x:c r="P156" s="12" t="str">
        <x:f>IF(A156="","",IF(OR(B156="",G156="",H156="",E156=""),"À compléter",IF(COUNTIFS($A$6:$A$505,A156,$B$6:$B$505,B156)&gt;1,"Doublon ID",IF(AND(ISNUMBER(J156),J156&lt;E156),"Incohérent",""))))</x:f>
      </x:c>
    </x:row>
    <x:row r="157" ht="23" customHeight="1">
      <x:c r="A157" s="9"/>
      <x:c r="B157" s="9"/>
      <x:c r="C157" s="9"/>
      <x:c r="D157" s="9"/>
      <x:c r="E157" s="11"/>
      <x:c r="F157" s="9"/>
      <x:c r="G157" s="9"/>
      <x:c r="H157" s="9"/>
      <x:c r="I157" s="11"/>
      <x:c r="J157" s="11"/>
      <x:c r="K157" s="9"/>
      <x:c r="L157" s="9"/>
      <x:c r="M157" s="12" t="str">
        <x:f>IF(A157="","",IF(G157="","À compléter",IF(AND(ISNUMBER(J157),J157&lt;='Tableau de bord'!$F$5),"Réalisée",IF(I157="","À compléter",IF(I157&lt;'Tableau de bord'!$F$5,"Retard","À venir")))))</x:f>
      </x:c>
      <x:c r="N157" s="12" t="str">
        <x:f>IF(OR(A157="",I157=""),"",IF(M157="Retard",'Tableau de bord'!$F$5-I157,0))</x:f>
      </x:c>
      <x:c r="O157" s="9"/>
      <x:c r="P157" s="12" t="str">
        <x:f>IF(A157="","",IF(OR(B157="",G157="",H157="",E157=""),"À compléter",IF(COUNTIFS($A$6:$A$505,A157,$B$6:$B$505,B157)&gt;1,"Doublon ID",IF(AND(ISNUMBER(J157),J157&lt;E157),"Incohérent",""))))</x:f>
      </x:c>
    </x:row>
    <x:row r="158" ht="23" customHeight="1">
      <x:c r="A158" s="9"/>
      <x:c r="B158" s="9"/>
      <x:c r="C158" s="9"/>
      <x:c r="D158" s="9"/>
      <x:c r="E158" s="11"/>
      <x:c r="F158" s="9"/>
      <x:c r="G158" s="9"/>
      <x:c r="H158" s="9"/>
      <x:c r="I158" s="11"/>
      <x:c r="J158" s="11"/>
      <x:c r="K158" s="9"/>
      <x:c r="L158" s="9"/>
      <x:c r="M158" s="12" t="str">
        <x:f>IF(A158="","",IF(G158="","À compléter",IF(AND(ISNUMBER(J158),J158&lt;='Tableau de bord'!$F$5),"Réalisée",IF(I158="","À compléter",IF(I158&lt;'Tableau de bord'!$F$5,"Retard","À venir")))))</x:f>
      </x:c>
      <x:c r="N158" s="12" t="str">
        <x:f>IF(OR(A158="",I158=""),"",IF(M158="Retard",'Tableau de bord'!$F$5-I158,0))</x:f>
      </x:c>
      <x:c r="O158" s="9"/>
      <x:c r="P158" s="12" t="str">
        <x:f>IF(A158="","",IF(OR(B158="",G158="",H158="",E158=""),"À compléter",IF(COUNTIFS($A$6:$A$505,A158,$B$6:$B$505,B158)&gt;1,"Doublon ID",IF(AND(ISNUMBER(J158),J158&lt;E158),"Incohérent",""))))</x:f>
      </x:c>
    </x:row>
    <x:row r="159" ht="23" customHeight="1">
      <x:c r="A159" s="9"/>
      <x:c r="B159" s="9"/>
      <x:c r="C159" s="9"/>
      <x:c r="D159" s="9"/>
      <x:c r="E159" s="11"/>
      <x:c r="F159" s="9"/>
      <x:c r="G159" s="9"/>
      <x:c r="H159" s="9"/>
      <x:c r="I159" s="11"/>
      <x:c r="J159" s="11"/>
      <x:c r="K159" s="9"/>
      <x:c r="L159" s="9"/>
      <x:c r="M159" s="12" t="str">
        <x:f>IF(A159="","",IF(G159="","À compléter",IF(AND(ISNUMBER(J159),J159&lt;='Tableau de bord'!$F$5),"Réalisée",IF(I159="","À compléter",IF(I159&lt;'Tableau de bord'!$F$5,"Retard","À venir")))))</x:f>
      </x:c>
      <x:c r="N159" s="12" t="str">
        <x:f>IF(OR(A159="",I159=""),"",IF(M159="Retard",'Tableau de bord'!$F$5-I159,0))</x:f>
      </x:c>
      <x:c r="O159" s="9"/>
      <x:c r="P159" s="12" t="str">
        <x:f>IF(A159="","",IF(OR(B159="",G159="",H159="",E159=""),"À compléter",IF(COUNTIFS($A$6:$A$505,A159,$B$6:$B$505,B159)&gt;1,"Doublon ID",IF(AND(ISNUMBER(J159),J159&lt;E159),"Incohérent",""))))</x:f>
      </x:c>
    </x:row>
    <x:row r="160" ht="23" customHeight="1">
      <x:c r="A160" s="9"/>
      <x:c r="B160" s="9"/>
      <x:c r="C160" s="9"/>
      <x:c r="D160" s="9"/>
      <x:c r="E160" s="11"/>
      <x:c r="F160" s="9"/>
      <x:c r="G160" s="9"/>
      <x:c r="H160" s="9"/>
      <x:c r="I160" s="11"/>
      <x:c r="J160" s="11"/>
      <x:c r="K160" s="9"/>
      <x:c r="L160" s="9"/>
      <x:c r="M160" s="12" t="str">
        <x:f>IF(A160="","",IF(G160="","À compléter",IF(AND(ISNUMBER(J160),J160&lt;='Tableau de bord'!$F$5),"Réalisée",IF(I160="","À compléter",IF(I160&lt;'Tableau de bord'!$F$5,"Retard","À venir")))))</x:f>
      </x:c>
      <x:c r="N160" s="12" t="str">
        <x:f>IF(OR(A160="",I160=""),"",IF(M160="Retard",'Tableau de bord'!$F$5-I160,0))</x:f>
      </x:c>
      <x:c r="O160" s="9"/>
      <x:c r="P160" s="12" t="str">
        <x:f>IF(A160="","",IF(OR(B160="",G160="",H160="",E160=""),"À compléter",IF(COUNTIFS($A$6:$A$505,A160,$B$6:$B$505,B160)&gt;1,"Doublon ID",IF(AND(ISNUMBER(J160),J160&lt;E160),"Incohérent",""))))</x:f>
      </x:c>
    </x:row>
    <x:row r="161" ht="23" customHeight="1">
      <x:c r="A161" s="9"/>
      <x:c r="B161" s="9"/>
      <x:c r="C161" s="9"/>
      <x:c r="D161" s="9"/>
      <x:c r="E161" s="11"/>
      <x:c r="F161" s="9"/>
      <x:c r="G161" s="9"/>
      <x:c r="H161" s="9"/>
      <x:c r="I161" s="11"/>
      <x:c r="J161" s="11"/>
      <x:c r="K161" s="9"/>
      <x:c r="L161" s="9"/>
      <x:c r="M161" s="12" t="str">
        <x:f>IF(A161="","",IF(G161="","À compléter",IF(AND(ISNUMBER(J161),J161&lt;='Tableau de bord'!$F$5),"Réalisée",IF(I161="","À compléter",IF(I161&lt;'Tableau de bord'!$F$5,"Retard","À venir")))))</x:f>
      </x:c>
      <x:c r="N161" s="12" t="str">
        <x:f>IF(OR(A161="",I161=""),"",IF(M161="Retard",'Tableau de bord'!$F$5-I161,0))</x:f>
      </x:c>
      <x:c r="O161" s="9"/>
      <x:c r="P161" s="12" t="str">
        <x:f>IF(A161="","",IF(OR(B161="",G161="",H161="",E161=""),"À compléter",IF(COUNTIFS($A$6:$A$505,A161,$B$6:$B$505,B161)&gt;1,"Doublon ID",IF(AND(ISNUMBER(J161),J161&lt;E161),"Incohérent",""))))</x:f>
      </x:c>
    </x:row>
    <x:row r="162" ht="23" customHeight="1">
      <x:c r="A162" s="9"/>
      <x:c r="B162" s="9"/>
      <x:c r="C162" s="9"/>
      <x:c r="D162" s="9"/>
      <x:c r="E162" s="11"/>
      <x:c r="F162" s="9"/>
      <x:c r="G162" s="9"/>
      <x:c r="H162" s="9"/>
      <x:c r="I162" s="11"/>
      <x:c r="J162" s="11"/>
      <x:c r="K162" s="9"/>
      <x:c r="L162" s="9"/>
      <x:c r="M162" s="12" t="str">
        <x:f>IF(A162="","",IF(G162="","À compléter",IF(AND(ISNUMBER(J162),J162&lt;='Tableau de bord'!$F$5),"Réalisée",IF(I162="","À compléter",IF(I162&lt;'Tableau de bord'!$F$5,"Retard","À venir")))))</x:f>
      </x:c>
      <x:c r="N162" s="12" t="str">
        <x:f>IF(OR(A162="",I162=""),"",IF(M162="Retard",'Tableau de bord'!$F$5-I162,0))</x:f>
      </x:c>
      <x:c r="O162" s="9"/>
      <x:c r="P162" s="12" t="str">
        <x:f>IF(A162="","",IF(OR(B162="",G162="",H162="",E162=""),"À compléter",IF(COUNTIFS($A$6:$A$505,A162,$B$6:$B$505,B162)&gt;1,"Doublon ID",IF(AND(ISNUMBER(J162),J162&lt;E162),"Incohérent",""))))</x:f>
      </x:c>
    </x:row>
    <x:row r="163" ht="23" customHeight="1">
      <x:c r="A163" s="9"/>
      <x:c r="B163" s="9"/>
      <x:c r="C163" s="9"/>
      <x:c r="D163" s="9"/>
      <x:c r="E163" s="11"/>
      <x:c r="F163" s="9"/>
      <x:c r="G163" s="9"/>
      <x:c r="H163" s="9"/>
      <x:c r="I163" s="11"/>
      <x:c r="J163" s="11"/>
      <x:c r="K163" s="9"/>
      <x:c r="L163" s="9"/>
      <x:c r="M163" s="12" t="str">
        <x:f>IF(A163="","",IF(G163="","À compléter",IF(AND(ISNUMBER(J163),J163&lt;='Tableau de bord'!$F$5),"Réalisée",IF(I163="","À compléter",IF(I163&lt;'Tableau de bord'!$F$5,"Retard","À venir")))))</x:f>
      </x:c>
      <x:c r="N163" s="12" t="str">
        <x:f>IF(OR(A163="",I163=""),"",IF(M163="Retard",'Tableau de bord'!$F$5-I163,0))</x:f>
      </x:c>
      <x:c r="O163" s="9"/>
      <x:c r="P163" s="12" t="str">
        <x:f>IF(A163="","",IF(OR(B163="",G163="",H163="",E163=""),"À compléter",IF(COUNTIFS($A$6:$A$505,A163,$B$6:$B$505,B163)&gt;1,"Doublon ID",IF(AND(ISNUMBER(J163),J163&lt;E163),"Incohérent",""))))</x:f>
      </x:c>
    </x:row>
    <x:row r="164" ht="23" customHeight="1">
      <x:c r="A164" s="9"/>
      <x:c r="B164" s="9"/>
      <x:c r="C164" s="9"/>
      <x:c r="D164" s="9"/>
      <x:c r="E164" s="11"/>
      <x:c r="F164" s="9"/>
      <x:c r="G164" s="9"/>
      <x:c r="H164" s="9"/>
      <x:c r="I164" s="11"/>
      <x:c r="J164" s="11"/>
      <x:c r="K164" s="9"/>
      <x:c r="L164" s="9"/>
      <x:c r="M164" s="12" t="str">
        <x:f>IF(A164="","",IF(G164="","À compléter",IF(AND(ISNUMBER(J164),J164&lt;='Tableau de bord'!$F$5),"Réalisée",IF(I164="","À compléter",IF(I164&lt;'Tableau de bord'!$F$5,"Retard","À venir")))))</x:f>
      </x:c>
      <x:c r="N164" s="12" t="str">
        <x:f>IF(OR(A164="",I164=""),"",IF(M164="Retard",'Tableau de bord'!$F$5-I164,0))</x:f>
      </x:c>
      <x:c r="O164" s="9"/>
      <x:c r="P164" s="12" t="str">
        <x:f>IF(A164="","",IF(OR(B164="",G164="",H164="",E164=""),"À compléter",IF(COUNTIFS($A$6:$A$505,A164,$B$6:$B$505,B164)&gt;1,"Doublon ID",IF(AND(ISNUMBER(J164),J164&lt;E164),"Incohérent",""))))</x:f>
      </x:c>
    </x:row>
    <x:row r="165" ht="23" customHeight="1">
      <x:c r="A165" s="9"/>
      <x:c r="B165" s="9"/>
      <x:c r="C165" s="9"/>
      <x:c r="D165" s="9"/>
      <x:c r="E165" s="11"/>
      <x:c r="F165" s="9"/>
      <x:c r="G165" s="9"/>
      <x:c r="H165" s="9"/>
      <x:c r="I165" s="11"/>
      <x:c r="J165" s="11"/>
      <x:c r="K165" s="9"/>
      <x:c r="L165" s="9"/>
      <x:c r="M165" s="12" t="str">
        <x:f>IF(A165="","",IF(G165="","À compléter",IF(AND(ISNUMBER(J165),J165&lt;='Tableau de bord'!$F$5),"Réalisée",IF(I165="","À compléter",IF(I165&lt;'Tableau de bord'!$F$5,"Retard","À venir")))))</x:f>
      </x:c>
      <x:c r="N165" s="12" t="str">
        <x:f>IF(OR(A165="",I165=""),"",IF(M165="Retard",'Tableau de bord'!$F$5-I165,0))</x:f>
      </x:c>
      <x:c r="O165" s="9"/>
      <x:c r="P165" s="12" t="str">
        <x:f>IF(A165="","",IF(OR(B165="",G165="",H165="",E165=""),"À compléter",IF(COUNTIFS($A$6:$A$505,A165,$B$6:$B$505,B165)&gt;1,"Doublon ID",IF(AND(ISNUMBER(J165),J165&lt;E165),"Incohérent",""))))</x:f>
      </x:c>
    </x:row>
    <x:row r="166" ht="23" customHeight="1">
      <x:c r="A166" s="9"/>
      <x:c r="B166" s="9"/>
      <x:c r="C166" s="9"/>
      <x:c r="D166" s="9"/>
      <x:c r="E166" s="11"/>
      <x:c r="F166" s="9"/>
      <x:c r="G166" s="9"/>
      <x:c r="H166" s="9"/>
      <x:c r="I166" s="11"/>
      <x:c r="J166" s="11"/>
      <x:c r="K166" s="9"/>
      <x:c r="L166" s="9"/>
      <x:c r="M166" s="12" t="str">
        <x:f>IF(A166="","",IF(G166="","À compléter",IF(AND(ISNUMBER(J166),J166&lt;='Tableau de bord'!$F$5),"Réalisée",IF(I166="","À compléter",IF(I166&lt;'Tableau de bord'!$F$5,"Retard","À venir")))))</x:f>
      </x:c>
      <x:c r="N166" s="12" t="str">
        <x:f>IF(OR(A166="",I166=""),"",IF(M166="Retard",'Tableau de bord'!$F$5-I166,0))</x:f>
      </x:c>
      <x:c r="O166" s="9"/>
      <x:c r="P166" s="12" t="str">
        <x:f>IF(A166="","",IF(OR(B166="",G166="",H166="",E166=""),"À compléter",IF(COUNTIFS($A$6:$A$505,A166,$B$6:$B$505,B166)&gt;1,"Doublon ID",IF(AND(ISNUMBER(J166),J166&lt;E166),"Incohérent",""))))</x:f>
      </x:c>
    </x:row>
    <x:row r="167" ht="23" customHeight="1">
      <x:c r="A167" s="9"/>
      <x:c r="B167" s="9"/>
      <x:c r="C167" s="9"/>
      <x:c r="D167" s="9"/>
      <x:c r="E167" s="11"/>
      <x:c r="F167" s="9"/>
      <x:c r="G167" s="9"/>
      <x:c r="H167" s="9"/>
      <x:c r="I167" s="11"/>
      <x:c r="J167" s="11"/>
      <x:c r="K167" s="9"/>
      <x:c r="L167" s="9"/>
      <x:c r="M167" s="12" t="str">
        <x:f>IF(A167="","",IF(G167="","À compléter",IF(AND(ISNUMBER(J167),J167&lt;='Tableau de bord'!$F$5),"Réalisée",IF(I167="","À compléter",IF(I167&lt;'Tableau de bord'!$F$5,"Retard","À venir")))))</x:f>
      </x:c>
      <x:c r="N167" s="12" t="str">
        <x:f>IF(OR(A167="",I167=""),"",IF(M167="Retard",'Tableau de bord'!$F$5-I167,0))</x:f>
      </x:c>
      <x:c r="O167" s="9"/>
      <x:c r="P167" s="12" t="str">
        <x:f>IF(A167="","",IF(OR(B167="",G167="",H167="",E167=""),"À compléter",IF(COUNTIFS($A$6:$A$505,A167,$B$6:$B$505,B167)&gt;1,"Doublon ID",IF(AND(ISNUMBER(J167),J167&lt;E167),"Incohérent",""))))</x:f>
      </x:c>
    </x:row>
    <x:row r="168" ht="23" customHeight="1">
      <x:c r="A168" s="9"/>
      <x:c r="B168" s="9"/>
      <x:c r="C168" s="9"/>
      <x:c r="D168" s="9"/>
      <x:c r="E168" s="11"/>
      <x:c r="F168" s="9"/>
      <x:c r="G168" s="9"/>
      <x:c r="H168" s="9"/>
      <x:c r="I168" s="11"/>
      <x:c r="J168" s="11"/>
      <x:c r="K168" s="9"/>
      <x:c r="L168" s="9"/>
      <x:c r="M168" s="12" t="str">
        <x:f>IF(A168="","",IF(G168="","À compléter",IF(AND(ISNUMBER(J168),J168&lt;='Tableau de bord'!$F$5),"Réalisée",IF(I168="","À compléter",IF(I168&lt;'Tableau de bord'!$F$5,"Retard","À venir")))))</x:f>
      </x:c>
      <x:c r="N168" s="12" t="str">
        <x:f>IF(OR(A168="",I168=""),"",IF(M168="Retard",'Tableau de bord'!$F$5-I168,0))</x:f>
      </x:c>
      <x:c r="O168" s="9"/>
      <x:c r="P168" s="12" t="str">
        <x:f>IF(A168="","",IF(OR(B168="",G168="",H168="",E168=""),"À compléter",IF(COUNTIFS($A$6:$A$505,A168,$B$6:$B$505,B168)&gt;1,"Doublon ID",IF(AND(ISNUMBER(J168),J168&lt;E168),"Incohérent",""))))</x:f>
      </x:c>
    </x:row>
    <x:row r="169" ht="23" customHeight="1">
      <x:c r="A169" s="9"/>
      <x:c r="B169" s="9"/>
      <x:c r="C169" s="9"/>
      <x:c r="D169" s="9"/>
      <x:c r="E169" s="11"/>
      <x:c r="F169" s="9"/>
      <x:c r="G169" s="9"/>
      <x:c r="H169" s="9"/>
      <x:c r="I169" s="11"/>
      <x:c r="J169" s="11"/>
      <x:c r="K169" s="9"/>
      <x:c r="L169" s="9"/>
      <x:c r="M169" s="12" t="str">
        <x:f>IF(A169="","",IF(G169="","À compléter",IF(AND(ISNUMBER(J169),J169&lt;='Tableau de bord'!$F$5),"Réalisée",IF(I169="","À compléter",IF(I169&lt;'Tableau de bord'!$F$5,"Retard","À venir")))))</x:f>
      </x:c>
      <x:c r="N169" s="12" t="str">
        <x:f>IF(OR(A169="",I169=""),"",IF(M169="Retard",'Tableau de bord'!$F$5-I169,0))</x:f>
      </x:c>
      <x:c r="O169" s="9"/>
      <x:c r="P169" s="12" t="str">
        <x:f>IF(A169="","",IF(OR(B169="",G169="",H169="",E169=""),"À compléter",IF(COUNTIFS($A$6:$A$505,A169,$B$6:$B$505,B169)&gt;1,"Doublon ID",IF(AND(ISNUMBER(J169),J169&lt;E169),"Incohérent",""))))</x:f>
      </x:c>
    </x:row>
    <x:row r="170" ht="23" customHeight="1">
      <x:c r="A170" s="9"/>
      <x:c r="B170" s="9"/>
      <x:c r="C170" s="9"/>
      <x:c r="D170" s="9"/>
      <x:c r="E170" s="11"/>
      <x:c r="F170" s="9"/>
      <x:c r="G170" s="9"/>
      <x:c r="H170" s="9"/>
      <x:c r="I170" s="11"/>
      <x:c r="J170" s="11"/>
      <x:c r="K170" s="9"/>
      <x:c r="L170" s="9"/>
      <x:c r="M170" s="12" t="str">
        <x:f>IF(A170="","",IF(G170="","À compléter",IF(AND(ISNUMBER(J170),J170&lt;='Tableau de bord'!$F$5),"Réalisée",IF(I170="","À compléter",IF(I170&lt;'Tableau de bord'!$F$5,"Retard","À venir")))))</x:f>
      </x:c>
      <x:c r="N170" s="12" t="str">
        <x:f>IF(OR(A170="",I170=""),"",IF(M170="Retard",'Tableau de bord'!$F$5-I170,0))</x:f>
      </x:c>
      <x:c r="O170" s="9"/>
      <x:c r="P170" s="12" t="str">
        <x:f>IF(A170="","",IF(OR(B170="",G170="",H170="",E170=""),"À compléter",IF(COUNTIFS($A$6:$A$505,A170,$B$6:$B$505,B170)&gt;1,"Doublon ID",IF(AND(ISNUMBER(J170),J170&lt;E170),"Incohérent",""))))</x:f>
      </x:c>
    </x:row>
    <x:row r="171" ht="23" customHeight="1">
      <x:c r="A171" s="9"/>
      <x:c r="B171" s="9"/>
      <x:c r="C171" s="9"/>
      <x:c r="D171" s="9"/>
      <x:c r="E171" s="11"/>
      <x:c r="F171" s="9"/>
      <x:c r="G171" s="9"/>
      <x:c r="H171" s="9"/>
      <x:c r="I171" s="11"/>
      <x:c r="J171" s="11"/>
      <x:c r="K171" s="9"/>
      <x:c r="L171" s="9"/>
      <x:c r="M171" s="12" t="str">
        <x:f>IF(A171="","",IF(G171="","À compléter",IF(AND(ISNUMBER(J171),J171&lt;='Tableau de bord'!$F$5),"Réalisée",IF(I171="","À compléter",IF(I171&lt;'Tableau de bord'!$F$5,"Retard","À venir")))))</x:f>
      </x:c>
      <x:c r="N171" s="12" t="str">
        <x:f>IF(OR(A171="",I171=""),"",IF(M171="Retard",'Tableau de bord'!$F$5-I171,0))</x:f>
      </x:c>
      <x:c r="O171" s="9"/>
      <x:c r="P171" s="12" t="str">
        <x:f>IF(A171="","",IF(OR(B171="",G171="",H171="",E171=""),"À compléter",IF(COUNTIFS($A$6:$A$505,A171,$B$6:$B$505,B171)&gt;1,"Doublon ID",IF(AND(ISNUMBER(J171),J171&lt;E171),"Incohérent",""))))</x:f>
      </x:c>
    </x:row>
    <x:row r="172" ht="23" customHeight="1">
      <x:c r="A172" s="9"/>
      <x:c r="B172" s="9"/>
      <x:c r="C172" s="9"/>
      <x:c r="D172" s="9"/>
      <x:c r="E172" s="11"/>
      <x:c r="F172" s="9"/>
      <x:c r="G172" s="9"/>
      <x:c r="H172" s="9"/>
      <x:c r="I172" s="11"/>
      <x:c r="J172" s="11"/>
      <x:c r="K172" s="9"/>
      <x:c r="L172" s="9"/>
      <x:c r="M172" s="12" t="str">
        <x:f>IF(A172="","",IF(G172="","À compléter",IF(AND(ISNUMBER(J172),J172&lt;='Tableau de bord'!$F$5),"Réalisée",IF(I172="","À compléter",IF(I172&lt;'Tableau de bord'!$F$5,"Retard","À venir")))))</x:f>
      </x:c>
      <x:c r="N172" s="12" t="str">
        <x:f>IF(OR(A172="",I172=""),"",IF(M172="Retard",'Tableau de bord'!$F$5-I172,0))</x:f>
      </x:c>
      <x:c r="O172" s="9"/>
      <x:c r="P172" s="12" t="str">
        <x:f>IF(A172="","",IF(OR(B172="",G172="",H172="",E172=""),"À compléter",IF(COUNTIFS($A$6:$A$505,A172,$B$6:$B$505,B172)&gt;1,"Doublon ID",IF(AND(ISNUMBER(J172),J172&lt;E172),"Incohérent",""))))</x:f>
      </x:c>
    </x:row>
    <x:row r="173" ht="23" customHeight="1">
      <x:c r="A173" s="9"/>
      <x:c r="B173" s="9"/>
      <x:c r="C173" s="9"/>
      <x:c r="D173" s="9"/>
      <x:c r="E173" s="11"/>
      <x:c r="F173" s="9"/>
      <x:c r="G173" s="9"/>
      <x:c r="H173" s="9"/>
      <x:c r="I173" s="11"/>
      <x:c r="J173" s="11"/>
      <x:c r="K173" s="9"/>
      <x:c r="L173" s="9"/>
      <x:c r="M173" s="12" t="str">
        <x:f>IF(A173="","",IF(G173="","À compléter",IF(AND(ISNUMBER(J173),J173&lt;='Tableau de bord'!$F$5),"Réalisée",IF(I173="","À compléter",IF(I173&lt;'Tableau de bord'!$F$5,"Retard","À venir")))))</x:f>
      </x:c>
      <x:c r="N173" s="12" t="str">
        <x:f>IF(OR(A173="",I173=""),"",IF(M173="Retard",'Tableau de bord'!$F$5-I173,0))</x:f>
      </x:c>
      <x:c r="O173" s="9"/>
      <x:c r="P173" s="12" t="str">
        <x:f>IF(A173="","",IF(OR(B173="",G173="",H173="",E173=""),"À compléter",IF(COUNTIFS($A$6:$A$505,A173,$B$6:$B$505,B173)&gt;1,"Doublon ID",IF(AND(ISNUMBER(J173),J173&lt;E173),"Incohérent",""))))</x:f>
      </x:c>
    </x:row>
    <x:row r="174" ht="23" customHeight="1">
      <x:c r="A174" s="9"/>
      <x:c r="B174" s="9"/>
      <x:c r="C174" s="9"/>
      <x:c r="D174" s="9"/>
      <x:c r="E174" s="11"/>
      <x:c r="F174" s="9"/>
      <x:c r="G174" s="9"/>
      <x:c r="H174" s="9"/>
      <x:c r="I174" s="11"/>
      <x:c r="J174" s="11"/>
      <x:c r="K174" s="9"/>
      <x:c r="L174" s="9"/>
      <x:c r="M174" s="12" t="str">
        <x:f>IF(A174="","",IF(G174="","À compléter",IF(AND(ISNUMBER(J174),J174&lt;='Tableau de bord'!$F$5),"Réalisée",IF(I174="","À compléter",IF(I174&lt;'Tableau de bord'!$F$5,"Retard","À venir")))))</x:f>
      </x:c>
      <x:c r="N174" s="12" t="str">
        <x:f>IF(OR(A174="",I174=""),"",IF(M174="Retard",'Tableau de bord'!$F$5-I174,0))</x:f>
      </x:c>
      <x:c r="O174" s="9"/>
      <x:c r="P174" s="12" t="str">
        <x:f>IF(A174="","",IF(OR(B174="",G174="",H174="",E174=""),"À compléter",IF(COUNTIFS($A$6:$A$505,A174,$B$6:$B$505,B174)&gt;1,"Doublon ID",IF(AND(ISNUMBER(J174),J174&lt;E174),"Incohérent",""))))</x:f>
      </x:c>
    </x:row>
    <x:row r="175" ht="23" customHeight="1">
      <x:c r="A175" s="9"/>
      <x:c r="B175" s="9"/>
      <x:c r="C175" s="9"/>
      <x:c r="D175" s="9"/>
      <x:c r="E175" s="11"/>
      <x:c r="F175" s="9"/>
      <x:c r="G175" s="9"/>
      <x:c r="H175" s="9"/>
      <x:c r="I175" s="11"/>
      <x:c r="J175" s="11"/>
      <x:c r="K175" s="9"/>
      <x:c r="L175" s="9"/>
      <x:c r="M175" s="12" t="str">
        <x:f>IF(A175="","",IF(G175="","À compléter",IF(AND(ISNUMBER(J175),J175&lt;='Tableau de bord'!$F$5),"Réalisée",IF(I175="","À compléter",IF(I175&lt;'Tableau de bord'!$F$5,"Retard","À venir")))))</x:f>
      </x:c>
      <x:c r="N175" s="12" t="str">
        <x:f>IF(OR(A175="",I175=""),"",IF(M175="Retard",'Tableau de bord'!$F$5-I175,0))</x:f>
      </x:c>
      <x:c r="O175" s="9"/>
      <x:c r="P175" s="12" t="str">
        <x:f>IF(A175="","",IF(OR(B175="",G175="",H175="",E175=""),"À compléter",IF(COUNTIFS($A$6:$A$505,A175,$B$6:$B$505,B175)&gt;1,"Doublon ID",IF(AND(ISNUMBER(J175),J175&lt;E175),"Incohérent",""))))</x:f>
      </x:c>
    </x:row>
    <x:row r="176" ht="23" customHeight="1">
      <x:c r="A176" s="9"/>
      <x:c r="B176" s="9"/>
      <x:c r="C176" s="9"/>
      <x:c r="D176" s="9"/>
      <x:c r="E176" s="11"/>
      <x:c r="F176" s="9"/>
      <x:c r="G176" s="9"/>
      <x:c r="H176" s="9"/>
      <x:c r="I176" s="11"/>
      <x:c r="J176" s="11"/>
      <x:c r="K176" s="9"/>
      <x:c r="L176" s="9"/>
      <x:c r="M176" s="12" t="str">
        <x:f>IF(A176="","",IF(G176="","À compléter",IF(AND(ISNUMBER(J176),J176&lt;='Tableau de bord'!$F$5),"Réalisée",IF(I176="","À compléter",IF(I176&lt;'Tableau de bord'!$F$5,"Retard","À venir")))))</x:f>
      </x:c>
      <x:c r="N176" s="12" t="str">
        <x:f>IF(OR(A176="",I176=""),"",IF(M176="Retard",'Tableau de bord'!$F$5-I176,0))</x:f>
      </x:c>
      <x:c r="O176" s="9"/>
      <x:c r="P176" s="12" t="str">
        <x:f>IF(A176="","",IF(OR(B176="",G176="",H176="",E176=""),"À compléter",IF(COUNTIFS($A$6:$A$505,A176,$B$6:$B$505,B176)&gt;1,"Doublon ID",IF(AND(ISNUMBER(J176),J176&lt;E176),"Incohérent",""))))</x:f>
      </x:c>
    </x:row>
    <x:row r="177" ht="23" customHeight="1">
      <x:c r="A177" s="9"/>
      <x:c r="B177" s="9"/>
      <x:c r="C177" s="9"/>
      <x:c r="D177" s="9"/>
      <x:c r="E177" s="11"/>
      <x:c r="F177" s="9"/>
      <x:c r="G177" s="9"/>
      <x:c r="H177" s="9"/>
      <x:c r="I177" s="11"/>
      <x:c r="J177" s="11"/>
      <x:c r="K177" s="9"/>
      <x:c r="L177" s="9"/>
      <x:c r="M177" s="12" t="str">
        <x:f>IF(A177="","",IF(G177="","À compléter",IF(AND(ISNUMBER(J177),J177&lt;='Tableau de bord'!$F$5),"Réalisée",IF(I177="","À compléter",IF(I177&lt;'Tableau de bord'!$F$5,"Retard","À venir")))))</x:f>
      </x:c>
      <x:c r="N177" s="12" t="str">
        <x:f>IF(OR(A177="",I177=""),"",IF(M177="Retard",'Tableau de bord'!$F$5-I177,0))</x:f>
      </x:c>
      <x:c r="O177" s="9"/>
      <x:c r="P177" s="12" t="str">
        <x:f>IF(A177="","",IF(OR(B177="",G177="",H177="",E177=""),"À compléter",IF(COUNTIFS($A$6:$A$505,A177,$B$6:$B$505,B177)&gt;1,"Doublon ID",IF(AND(ISNUMBER(J177),J177&lt;E177),"Incohérent",""))))</x:f>
      </x:c>
    </x:row>
    <x:row r="178" ht="23" customHeight="1">
      <x:c r="A178" s="9"/>
      <x:c r="B178" s="9"/>
      <x:c r="C178" s="9"/>
      <x:c r="D178" s="9"/>
      <x:c r="E178" s="11"/>
      <x:c r="F178" s="9"/>
      <x:c r="G178" s="9"/>
      <x:c r="H178" s="9"/>
      <x:c r="I178" s="11"/>
      <x:c r="J178" s="11"/>
      <x:c r="K178" s="9"/>
      <x:c r="L178" s="9"/>
      <x:c r="M178" s="12" t="str">
        <x:f>IF(A178="","",IF(G178="","À compléter",IF(AND(ISNUMBER(J178),J178&lt;='Tableau de bord'!$F$5),"Réalisée",IF(I178="","À compléter",IF(I178&lt;'Tableau de bord'!$F$5,"Retard","À venir")))))</x:f>
      </x:c>
      <x:c r="N178" s="12" t="str">
        <x:f>IF(OR(A178="",I178=""),"",IF(M178="Retard",'Tableau de bord'!$F$5-I178,0))</x:f>
      </x:c>
      <x:c r="O178" s="9"/>
      <x:c r="P178" s="12" t="str">
        <x:f>IF(A178="","",IF(OR(B178="",G178="",H178="",E178=""),"À compléter",IF(COUNTIFS($A$6:$A$505,A178,$B$6:$B$505,B178)&gt;1,"Doublon ID",IF(AND(ISNUMBER(J178),J178&lt;E178),"Incohérent",""))))</x:f>
      </x:c>
    </x:row>
    <x:row r="179" ht="23" customHeight="1">
      <x:c r="A179" s="9"/>
      <x:c r="B179" s="9"/>
      <x:c r="C179" s="9"/>
      <x:c r="D179" s="9"/>
      <x:c r="E179" s="11"/>
      <x:c r="F179" s="9"/>
      <x:c r="G179" s="9"/>
      <x:c r="H179" s="9"/>
      <x:c r="I179" s="11"/>
      <x:c r="J179" s="11"/>
      <x:c r="K179" s="9"/>
      <x:c r="L179" s="9"/>
      <x:c r="M179" s="12" t="str">
        <x:f>IF(A179="","",IF(G179="","À compléter",IF(AND(ISNUMBER(J179),J179&lt;='Tableau de bord'!$F$5),"Réalisée",IF(I179="","À compléter",IF(I179&lt;'Tableau de bord'!$F$5,"Retard","À venir")))))</x:f>
      </x:c>
      <x:c r="N179" s="12" t="str">
        <x:f>IF(OR(A179="",I179=""),"",IF(M179="Retard",'Tableau de bord'!$F$5-I179,0))</x:f>
      </x:c>
      <x:c r="O179" s="9"/>
      <x:c r="P179" s="12" t="str">
        <x:f>IF(A179="","",IF(OR(B179="",G179="",H179="",E179=""),"À compléter",IF(COUNTIFS($A$6:$A$505,A179,$B$6:$B$505,B179)&gt;1,"Doublon ID",IF(AND(ISNUMBER(J179),J179&lt;E179),"Incohérent",""))))</x:f>
      </x:c>
    </x:row>
    <x:row r="180" ht="23" customHeight="1">
      <x:c r="A180" s="9"/>
      <x:c r="B180" s="9"/>
      <x:c r="C180" s="9"/>
      <x:c r="D180" s="9"/>
      <x:c r="E180" s="11"/>
      <x:c r="F180" s="9"/>
      <x:c r="G180" s="9"/>
      <x:c r="H180" s="9"/>
      <x:c r="I180" s="11"/>
      <x:c r="J180" s="11"/>
      <x:c r="K180" s="9"/>
      <x:c r="L180" s="9"/>
      <x:c r="M180" s="12" t="str">
        <x:f>IF(A180="","",IF(G180="","À compléter",IF(AND(ISNUMBER(J180),J180&lt;='Tableau de bord'!$F$5),"Réalisée",IF(I180="","À compléter",IF(I180&lt;'Tableau de bord'!$F$5,"Retard","À venir")))))</x:f>
      </x:c>
      <x:c r="N180" s="12" t="str">
        <x:f>IF(OR(A180="",I180=""),"",IF(M180="Retard",'Tableau de bord'!$F$5-I180,0))</x:f>
      </x:c>
      <x:c r="O180" s="9"/>
      <x:c r="P180" s="12" t="str">
        <x:f>IF(A180="","",IF(OR(B180="",G180="",H180="",E180=""),"À compléter",IF(COUNTIFS($A$6:$A$505,A180,$B$6:$B$505,B180)&gt;1,"Doublon ID",IF(AND(ISNUMBER(J180),J180&lt;E180),"Incohérent",""))))</x:f>
      </x:c>
    </x:row>
    <x:row r="181" ht="23" customHeight="1">
      <x:c r="A181" s="9"/>
      <x:c r="B181" s="9"/>
      <x:c r="C181" s="9"/>
      <x:c r="D181" s="9"/>
      <x:c r="E181" s="11"/>
      <x:c r="F181" s="9"/>
      <x:c r="G181" s="9"/>
      <x:c r="H181" s="9"/>
      <x:c r="I181" s="11"/>
      <x:c r="J181" s="11"/>
      <x:c r="K181" s="9"/>
      <x:c r="L181" s="9"/>
      <x:c r="M181" s="12" t="str">
        <x:f>IF(A181="","",IF(G181="","À compléter",IF(AND(ISNUMBER(J181),J181&lt;='Tableau de bord'!$F$5),"Réalisée",IF(I181="","À compléter",IF(I181&lt;'Tableau de bord'!$F$5,"Retard","À venir")))))</x:f>
      </x:c>
      <x:c r="N181" s="12" t="str">
        <x:f>IF(OR(A181="",I181=""),"",IF(M181="Retard",'Tableau de bord'!$F$5-I181,0))</x:f>
      </x:c>
      <x:c r="O181" s="9"/>
      <x:c r="P181" s="12" t="str">
        <x:f>IF(A181="","",IF(OR(B181="",G181="",H181="",E181=""),"À compléter",IF(COUNTIFS($A$6:$A$505,A181,$B$6:$B$505,B181)&gt;1,"Doublon ID",IF(AND(ISNUMBER(J181),J181&lt;E181),"Incohérent",""))))</x:f>
      </x:c>
    </x:row>
    <x:row r="182" ht="23" customHeight="1">
      <x:c r="A182" s="9"/>
      <x:c r="B182" s="9"/>
      <x:c r="C182" s="9"/>
      <x:c r="D182" s="9"/>
      <x:c r="E182" s="11"/>
      <x:c r="F182" s="9"/>
      <x:c r="G182" s="9"/>
      <x:c r="H182" s="9"/>
      <x:c r="I182" s="11"/>
      <x:c r="J182" s="11"/>
      <x:c r="K182" s="9"/>
      <x:c r="L182" s="9"/>
      <x:c r="M182" s="12" t="str">
        <x:f>IF(A182="","",IF(G182="","À compléter",IF(AND(ISNUMBER(J182),J182&lt;='Tableau de bord'!$F$5),"Réalisée",IF(I182="","À compléter",IF(I182&lt;'Tableau de bord'!$F$5,"Retard","À venir")))))</x:f>
      </x:c>
      <x:c r="N182" s="12" t="str">
        <x:f>IF(OR(A182="",I182=""),"",IF(M182="Retard",'Tableau de bord'!$F$5-I182,0))</x:f>
      </x:c>
      <x:c r="O182" s="9"/>
      <x:c r="P182" s="12" t="str">
        <x:f>IF(A182="","",IF(OR(B182="",G182="",H182="",E182=""),"À compléter",IF(COUNTIFS($A$6:$A$505,A182,$B$6:$B$505,B182)&gt;1,"Doublon ID",IF(AND(ISNUMBER(J182),J182&lt;E182),"Incohérent",""))))</x:f>
      </x:c>
    </x:row>
    <x:row r="183" ht="23" customHeight="1">
      <x:c r="A183" s="9"/>
      <x:c r="B183" s="9"/>
      <x:c r="C183" s="9"/>
      <x:c r="D183" s="9"/>
      <x:c r="E183" s="11"/>
      <x:c r="F183" s="9"/>
      <x:c r="G183" s="9"/>
      <x:c r="H183" s="9"/>
      <x:c r="I183" s="11"/>
      <x:c r="J183" s="11"/>
      <x:c r="K183" s="9"/>
      <x:c r="L183" s="9"/>
      <x:c r="M183" s="12" t="str">
        <x:f>IF(A183="","",IF(G183="","À compléter",IF(AND(ISNUMBER(J183),J183&lt;='Tableau de bord'!$F$5),"Réalisée",IF(I183="","À compléter",IF(I183&lt;'Tableau de bord'!$F$5,"Retard","À venir")))))</x:f>
      </x:c>
      <x:c r="N183" s="12" t="str">
        <x:f>IF(OR(A183="",I183=""),"",IF(M183="Retard",'Tableau de bord'!$F$5-I183,0))</x:f>
      </x:c>
      <x:c r="O183" s="9"/>
      <x:c r="P183" s="12" t="str">
        <x:f>IF(A183="","",IF(OR(B183="",G183="",H183="",E183=""),"À compléter",IF(COUNTIFS($A$6:$A$505,A183,$B$6:$B$505,B183)&gt;1,"Doublon ID",IF(AND(ISNUMBER(J183),J183&lt;E183),"Incohérent",""))))</x:f>
      </x:c>
    </x:row>
    <x:row r="184" ht="23" customHeight="1">
      <x:c r="A184" s="9"/>
      <x:c r="B184" s="9"/>
      <x:c r="C184" s="9"/>
      <x:c r="D184" s="9"/>
      <x:c r="E184" s="11"/>
      <x:c r="F184" s="9"/>
      <x:c r="G184" s="9"/>
      <x:c r="H184" s="9"/>
      <x:c r="I184" s="11"/>
      <x:c r="J184" s="11"/>
      <x:c r="K184" s="9"/>
      <x:c r="L184" s="9"/>
      <x:c r="M184" s="12" t="str">
        <x:f>IF(A184="","",IF(G184="","À compléter",IF(AND(ISNUMBER(J184),J184&lt;='Tableau de bord'!$F$5),"Réalisée",IF(I184="","À compléter",IF(I184&lt;'Tableau de bord'!$F$5,"Retard","À venir")))))</x:f>
      </x:c>
      <x:c r="N184" s="12" t="str">
        <x:f>IF(OR(A184="",I184=""),"",IF(M184="Retard",'Tableau de bord'!$F$5-I184,0))</x:f>
      </x:c>
      <x:c r="O184" s="9"/>
      <x:c r="P184" s="12" t="str">
        <x:f>IF(A184="","",IF(OR(B184="",G184="",H184="",E184=""),"À compléter",IF(COUNTIFS($A$6:$A$505,A184,$B$6:$B$505,B184)&gt;1,"Doublon ID",IF(AND(ISNUMBER(J184),J184&lt;E184),"Incohérent",""))))</x:f>
      </x:c>
    </x:row>
    <x:row r="185" ht="23" customHeight="1">
      <x:c r="A185" s="9"/>
      <x:c r="B185" s="9"/>
      <x:c r="C185" s="9"/>
      <x:c r="D185" s="9"/>
      <x:c r="E185" s="11"/>
      <x:c r="F185" s="9"/>
      <x:c r="G185" s="9"/>
      <x:c r="H185" s="9"/>
      <x:c r="I185" s="11"/>
      <x:c r="J185" s="11"/>
      <x:c r="K185" s="9"/>
      <x:c r="L185" s="9"/>
      <x:c r="M185" s="12" t="str">
        <x:f>IF(A185="","",IF(G185="","À compléter",IF(AND(ISNUMBER(J185),J185&lt;='Tableau de bord'!$F$5),"Réalisée",IF(I185="","À compléter",IF(I185&lt;'Tableau de bord'!$F$5,"Retard","À venir")))))</x:f>
      </x:c>
      <x:c r="N185" s="12" t="str">
        <x:f>IF(OR(A185="",I185=""),"",IF(M185="Retard",'Tableau de bord'!$F$5-I185,0))</x:f>
      </x:c>
      <x:c r="O185" s="9"/>
      <x:c r="P185" s="12" t="str">
        <x:f>IF(A185="","",IF(OR(B185="",G185="",H185="",E185=""),"À compléter",IF(COUNTIFS($A$6:$A$505,A185,$B$6:$B$505,B185)&gt;1,"Doublon ID",IF(AND(ISNUMBER(J185),J185&lt;E185),"Incohérent",""))))</x:f>
      </x:c>
    </x:row>
    <x:row r="186" ht="23" customHeight="1">
      <x:c r="A186" s="9"/>
      <x:c r="B186" s="9"/>
      <x:c r="C186" s="9"/>
      <x:c r="D186" s="9"/>
      <x:c r="E186" s="11"/>
      <x:c r="F186" s="9"/>
      <x:c r="G186" s="9"/>
      <x:c r="H186" s="9"/>
      <x:c r="I186" s="11"/>
      <x:c r="J186" s="11"/>
      <x:c r="K186" s="9"/>
      <x:c r="L186" s="9"/>
      <x:c r="M186" s="12" t="str">
        <x:f>IF(A186="","",IF(G186="","À compléter",IF(AND(ISNUMBER(J186),J186&lt;='Tableau de bord'!$F$5),"Réalisée",IF(I186="","À compléter",IF(I186&lt;'Tableau de bord'!$F$5,"Retard","À venir")))))</x:f>
      </x:c>
      <x:c r="N186" s="12" t="str">
        <x:f>IF(OR(A186="",I186=""),"",IF(M186="Retard",'Tableau de bord'!$F$5-I186,0))</x:f>
      </x:c>
      <x:c r="O186" s="9"/>
      <x:c r="P186" s="12" t="str">
        <x:f>IF(A186="","",IF(OR(B186="",G186="",H186="",E186=""),"À compléter",IF(COUNTIFS($A$6:$A$505,A186,$B$6:$B$505,B186)&gt;1,"Doublon ID",IF(AND(ISNUMBER(J186),J186&lt;E186),"Incohérent",""))))</x:f>
      </x:c>
    </x:row>
    <x:row r="187" ht="23" customHeight="1">
      <x:c r="A187" s="9"/>
      <x:c r="B187" s="9"/>
      <x:c r="C187" s="9"/>
      <x:c r="D187" s="9"/>
      <x:c r="E187" s="11"/>
      <x:c r="F187" s="9"/>
      <x:c r="G187" s="9"/>
      <x:c r="H187" s="9"/>
      <x:c r="I187" s="11"/>
      <x:c r="J187" s="11"/>
      <x:c r="K187" s="9"/>
      <x:c r="L187" s="9"/>
      <x:c r="M187" s="12" t="str">
        <x:f>IF(A187="","",IF(G187="","À compléter",IF(AND(ISNUMBER(J187),J187&lt;='Tableau de bord'!$F$5),"Réalisée",IF(I187="","À compléter",IF(I187&lt;'Tableau de bord'!$F$5,"Retard","À venir")))))</x:f>
      </x:c>
      <x:c r="N187" s="12" t="str">
        <x:f>IF(OR(A187="",I187=""),"",IF(M187="Retard",'Tableau de bord'!$F$5-I187,0))</x:f>
      </x:c>
      <x:c r="O187" s="9"/>
      <x:c r="P187" s="12" t="str">
        <x:f>IF(A187="","",IF(OR(B187="",G187="",H187="",E187=""),"À compléter",IF(COUNTIFS($A$6:$A$505,A187,$B$6:$B$505,B187)&gt;1,"Doublon ID",IF(AND(ISNUMBER(J187),J187&lt;E187),"Incohérent",""))))</x:f>
      </x:c>
    </x:row>
    <x:row r="188" ht="23" customHeight="1">
      <x:c r="A188" s="9"/>
      <x:c r="B188" s="9"/>
      <x:c r="C188" s="9"/>
      <x:c r="D188" s="9"/>
      <x:c r="E188" s="11"/>
      <x:c r="F188" s="9"/>
      <x:c r="G188" s="9"/>
      <x:c r="H188" s="9"/>
      <x:c r="I188" s="11"/>
      <x:c r="J188" s="11"/>
      <x:c r="K188" s="9"/>
      <x:c r="L188" s="9"/>
      <x:c r="M188" s="12" t="str">
        <x:f>IF(A188="","",IF(G188="","À compléter",IF(AND(ISNUMBER(J188),J188&lt;='Tableau de bord'!$F$5),"Réalisée",IF(I188="","À compléter",IF(I188&lt;'Tableau de bord'!$F$5,"Retard","À venir")))))</x:f>
      </x:c>
      <x:c r="N188" s="12" t="str">
        <x:f>IF(OR(A188="",I188=""),"",IF(M188="Retard",'Tableau de bord'!$F$5-I188,0))</x:f>
      </x:c>
      <x:c r="O188" s="9"/>
      <x:c r="P188" s="12" t="str">
        <x:f>IF(A188="","",IF(OR(B188="",G188="",H188="",E188=""),"À compléter",IF(COUNTIFS($A$6:$A$505,A188,$B$6:$B$505,B188)&gt;1,"Doublon ID",IF(AND(ISNUMBER(J188),J188&lt;E188),"Incohérent",""))))</x:f>
      </x:c>
    </x:row>
    <x:row r="189" ht="23" customHeight="1">
      <x:c r="A189" s="9"/>
      <x:c r="B189" s="9"/>
      <x:c r="C189" s="9"/>
      <x:c r="D189" s="9"/>
      <x:c r="E189" s="11"/>
      <x:c r="F189" s="9"/>
      <x:c r="G189" s="9"/>
      <x:c r="H189" s="9"/>
      <x:c r="I189" s="11"/>
      <x:c r="J189" s="11"/>
      <x:c r="K189" s="9"/>
      <x:c r="L189" s="9"/>
      <x:c r="M189" s="12" t="str">
        <x:f>IF(A189="","",IF(G189="","À compléter",IF(AND(ISNUMBER(J189),J189&lt;='Tableau de bord'!$F$5),"Réalisée",IF(I189="","À compléter",IF(I189&lt;'Tableau de bord'!$F$5,"Retard","À venir")))))</x:f>
      </x:c>
      <x:c r="N189" s="12" t="str">
        <x:f>IF(OR(A189="",I189=""),"",IF(M189="Retard",'Tableau de bord'!$F$5-I189,0))</x:f>
      </x:c>
      <x:c r="O189" s="9"/>
      <x:c r="P189" s="12" t="str">
        <x:f>IF(A189="","",IF(OR(B189="",G189="",H189="",E189=""),"À compléter",IF(COUNTIFS($A$6:$A$505,A189,$B$6:$B$505,B189)&gt;1,"Doublon ID",IF(AND(ISNUMBER(J189),J189&lt;E189),"Incohérent",""))))</x:f>
      </x:c>
    </x:row>
    <x:row r="190" ht="23" customHeight="1">
      <x:c r="A190" s="9"/>
      <x:c r="B190" s="9"/>
      <x:c r="C190" s="9"/>
      <x:c r="D190" s="9"/>
      <x:c r="E190" s="11"/>
      <x:c r="F190" s="9"/>
      <x:c r="G190" s="9"/>
      <x:c r="H190" s="9"/>
      <x:c r="I190" s="11"/>
      <x:c r="J190" s="11"/>
      <x:c r="K190" s="9"/>
      <x:c r="L190" s="9"/>
      <x:c r="M190" s="12" t="str">
        <x:f>IF(A190="","",IF(G190="","À compléter",IF(AND(ISNUMBER(J190),J190&lt;='Tableau de bord'!$F$5),"Réalisée",IF(I190="","À compléter",IF(I190&lt;'Tableau de bord'!$F$5,"Retard","À venir")))))</x:f>
      </x:c>
      <x:c r="N190" s="12" t="str">
        <x:f>IF(OR(A190="",I190=""),"",IF(M190="Retard",'Tableau de bord'!$F$5-I190,0))</x:f>
      </x:c>
      <x:c r="O190" s="9"/>
      <x:c r="P190" s="12" t="str">
        <x:f>IF(A190="","",IF(OR(B190="",G190="",H190="",E190=""),"À compléter",IF(COUNTIFS($A$6:$A$505,A190,$B$6:$B$505,B190)&gt;1,"Doublon ID",IF(AND(ISNUMBER(J190),J190&lt;E190),"Incohérent",""))))</x:f>
      </x:c>
    </x:row>
    <x:row r="191" ht="23" customHeight="1">
      <x:c r="A191" s="9"/>
      <x:c r="B191" s="9"/>
      <x:c r="C191" s="9"/>
      <x:c r="D191" s="9"/>
      <x:c r="E191" s="11"/>
      <x:c r="F191" s="9"/>
      <x:c r="G191" s="9"/>
      <x:c r="H191" s="9"/>
      <x:c r="I191" s="11"/>
      <x:c r="J191" s="11"/>
      <x:c r="K191" s="9"/>
      <x:c r="L191" s="9"/>
      <x:c r="M191" s="12" t="str">
        <x:f>IF(A191="","",IF(G191="","À compléter",IF(AND(ISNUMBER(J191),J191&lt;='Tableau de bord'!$F$5),"Réalisée",IF(I191="","À compléter",IF(I191&lt;'Tableau de bord'!$F$5,"Retard","À venir")))))</x:f>
      </x:c>
      <x:c r="N191" s="12" t="str">
        <x:f>IF(OR(A191="",I191=""),"",IF(M191="Retard",'Tableau de bord'!$F$5-I191,0))</x:f>
      </x:c>
      <x:c r="O191" s="9"/>
      <x:c r="P191" s="12" t="str">
        <x:f>IF(A191="","",IF(OR(B191="",G191="",H191="",E191=""),"À compléter",IF(COUNTIFS($A$6:$A$505,A191,$B$6:$B$505,B191)&gt;1,"Doublon ID",IF(AND(ISNUMBER(J191),J191&lt;E191),"Incohérent",""))))</x:f>
      </x:c>
    </x:row>
    <x:row r="192" ht="23" customHeight="1">
      <x:c r="A192" s="9"/>
      <x:c r="B192" s="9"/>
      <x:c r="C192" s="9"/>
      <x:c r="D192" s="9"/>
      <x:c r="E192" s="11"/>
      <x:c r="F192" s="9"/>
      <x:c r="G192" s="9"/>
      <x:c r="H192" s="9"/>
      <x:c r="I192" s="11"/>
      <x:c r="J192" s="11"/>
      <x:c r="K192" s="9"/>
      <x:c r="L192" s="9"/>
      <x:c r="M192" s="12" t="str">
        <x:f>IF(A192="","",IF(G192="","À compléter",IF(AND(ISNUMBER(J192),J192&lt;='Tableau de bord'!$F$5),"Réalisée",IF(I192="","À compléter",IF(I192&lt;'Tableau de bord'!$F$5,"Retard","À venir")))))</x:f>
      </x:c>
      <x:c r="N192" s="12" t="str">
        <x:f>IF(OR(A192="",I192=""),"",IF(M192="Retard",'Tableau de bord'!$F$5-I192,0))</x:f>
      </x:c>
      <x:c r="O192" s="9"/>
      <x:c r="P192" s="12" t="str">
        <x:f>IF(A192="","",IF(OR(B192="",G192="",H192="",E192=""),"À compléter",IF(COUNTIFS($A$6:$A$505,A192,$B$6:$B$505,B192)&gt;1,"Doublon ID",IF(AND(ISNUMBER(J192),J192&lt;E192),"Incohérent",""))))</x:f>
      </x:c>
    </x:row>
    <x:row r="193" ht="23" customHeight="1">
      <x:c r="A193" s="9"/>
      <x:c r="B193" s="9"/>
      <x:c r="C193" s="9"/>
      <x:c r="D193" s="9"/>
      <x:c r="E193" s="11"/>
      <x:c r="F193" s="9"/>
      <x:c r="G193" s="9"/>
      <x:c r="H193" s="9"/>
      <x:c r="I193" s="11"/>
      <x:c r="J193" s="11"/>
      <x:c r="K193" s="9"/>
      <x:c r="L193" s="9"/>
      <x:c r="M193" s="12" t="str">
        <x:f>IF(A193="","",IF(G193="","À compléter",IF(AND(ISNUMBER(J193),J193&lt;='Tableau de bord'!$F$5),"Réalisée",IF(I193="","À compléter",IF(I193&lt;'Tableau de bord'!$F$5,"Retard","À venir")))))</x:f>
      </x:c>
      <x:c r="N193" s="12" t="str">
        <x:f>IF(OR(A193="",I193=""),"",IF(M193="Retard",'Tableau de bord'!$F$5-I193,0))</x:f>
      </x:c>
      <x:c r="O193" s="9"/>
      <x:c r="P193" s="12" t="str">
        <x:f>IF(A193="","",IF(OR(B193="",G193="",H193="",E193=""),"À compléter",IF(COUNTIFS($A$6:$A$505,A193,$B$6:$B$505,B193)&gt;1,"Doublon ID",IF(AND(ISNUMBER(J193),J193&lt;E193),"Incohérent",""))))</x:f>
      </x:c>
    </x:row>
    <x:row r="194" ht="23" customHeight="1">
      <x:c r="A194" s="9"/>
      <x:c r="B194" s="9"/>
      <x:c r="C194" s="9"/>
      <x:c r="D194" s="9"/>
      <x:c r="E194" s="11"/>
      <x:c r="F194" s="9"/>
      <x:c r="G194" s="9"/>
      <x:c r="H194" s="9"/>
      <x:c r="I194" s="11"/>
      <x:c r="J194" s="11"/>
      <x:c r="K194" s="9"/>
      <x:c r="L194" s="9"/>
      <x:c r="M194" s="12" t="str">
        <x:f>IF(A194="","",IF(G194="","À compléter",IF(AND(ISNUMBER(J194),J194&lt;='Tableau de bord'!$F$5),"Réalisée",IF(I194="","À compléter",IF(I194&lt;'Tableau de bord'!$F$5,"Retard","À venir")))))</x:f>
      </x:c>
      <x:c r="N194" s="12" t="str">
        <x:f>IF(OR(A194="",I194=""),"",IF(M194="Retard",'Tableau de bord'!$F$5-I194,0))</x:f>
      </x:c>
      <x:c r="O194" s="9"/>
      <x:c r="P194" s="12" t="str">
        <x:f>IF(A194="","",IF(OR(B194="",G194="",H194="",E194=""),"À compléter",IF(COUNTIFS($A$6:$A$505,A194,$B$6:$B$505,B194)&gt;1,"Doublon ID",IF(AND(ISNUMBER(J194),J194&lt;E194),"Incohérent",""))))</x:f>
      </x:c>
    </x:row>
    <x:row r="195" ht="23" customHeight="1">
      <x:c r="A195" s="9"/>
      <x:c r="B195" s="9"/>
      <x:c r="C195" s="9"/>
      <x:c r="D195" s="9"/>
      <x:c r="E195" s="11"/>
      <x:c r="F195" s="9"/>
      <x:c r="G195" s="9"/>
      <x:c r="H195" s="9"/>
      <x:c r="I195" s="11"/>
      <x:c r="J195" s="11"/>
      <x:c r="K195" s="9"/>
      <x:c r="L195" s="9"/>
      <x:c r="M195" s="12" t="str">
        <x:f>IF(A195="","",IF(G195="","À compléter",IF(AND(ISNUMBER(J195),J195&lt;='Tableau de bord'!$F$5),"Réalisée",IF(I195="","À compléter",IF(I195&lt;'Tableau de bord'!$F$5,"Retard","À venir")))))</x:f>
      </x:c>
      <x:c r="N195" s="12" t="str">
        <x:f>IF(OR(A195="",I195=""),"",IF(M195="Retard",'Tableau de bord'!$F$5-I195,0))</x:f>
      </x:c>
      <x:c r="O195" s="9"/>
      <x:c r="P195" s="12" t="str">
        <x:f>IF(A195="","",IF(OR(B195="",G195="",H195="",E195=""),"À compléter",IF(COUNTIFS($A$6:$A$505,A195,$B$6:$B$505,B195)&gt;1,"Doublon ID",IF(AND(ISNUMBER(J195),J195&lt;E195),"Incohérent",""))))</x:f>
      </x:c>
    </x:row>
    <x:row r="196" ht="23" customHeight="1">
      <x:c r="A196" s="9"/>
      <x:c r="B196" s="9"/>
      <x:c r="C196" s="9"/>
      <x:c r="D196" s="9"/>
      <x:c r="E196" s="11"/>
      <x:c r="F196" s="9"/>
      <x:c r="G196" s="9"/>
      <x:c r="H196" s="9"/>
      <x:c r="I196" s="11"/>
      <x:c r="J196" s="11"/>
      <x:c r="K196" s="9"/>
      <x:c r="L196" s="9"/>
      <x:c r="M196" s="12" t="str">
        <x:f>IF(A196="","",IF(G196="","À compléter",IF(AND(ISNUMBER(J196),J196&lt;='Tableau de bord'!$F$5),"Réalisée",IF(I196="","À compléter",IF(I196&lt;'Tableau de bord'!$F$5,"Retard","À venir")))))</x:f>
      </x:c>
      <x:c r="N196" s="12" t="str">
        <x:f>IF(OR(A196="",I196=""),"",IF(M196="Retard",'Tableau de bord'!$F$5-I196,0))</x:f>
      </x:c>
      <x:c r="O196" s="9"/>
      <x:c r="P196" s="12" t="str">
        <x:f>IF(A196="","",IF(OR(B196="",G196="",H196="",E196=""),"À compléter",IF(COUNTIFS($A$6:$A$505,A196,$B$6:$B$505,B196)&gt;1,"Doublon ID",IF(AND(ISNUMBER(J196),J196&lt;E196),"Incohérent",""))))</x:f>
      </x:c>
    </x:row>
    <x:row r="197" ht="23" customHeight="1">
      <x:c r="A197" s="9"/>
      <x:c r="B197" s="9"/>
      <x:c r="C197" s="9"/>
      <x:c r="D197" s="9"/>
      <x:c r="E197" s="11"/>
      <x:c r="F197" s="9"/>
      <x:c r="G197" s="9"/>
      <x:c r="H197" s="9"/>
      <x:c r="I197" s="11"/>
      <x:c r="J197" s="11"/>
      <x:c r="K197" s="9"/>
      <x:c r="L197" s="9"/>
      <x:c r="M197" s="12" t="str">
        <x:f>IF(A197="","",IF(G197="","À compléter",IF(AND(ISNUMBER(J197),J197&lt;='Tableau de bord'!$F$5),"Réalisée",IF(I197="","À compléter",IF(I197&lt;'Tableau de bord'!$F$5,"Retard","À venir")))))</x:f>
      </x:c>
      <x:c r="N197" s="12" t="str">
        <x:f>IF(OR(A197="",I197=""),"",IF(M197="Retard",'Tableau de bord'!$F$5-I197,0))</x:f>
      </x:c>
      <x:c r="O197" s="9"/>
      <x:c r="P197" s="12" t="str">
        <x:f>IF(A197="","",IF(OR(B197="",G197="",H197="",E197=""),"À compléter",IF(COUNTIFS($A$6:$A$505,A197,$B$6:$B$505,B197)&gt;1,"Doublon ID",IF(AND(ISNUMBER(J197),J197&lt;E197),"Incohérent",""))))</x:f>
      </x:c>
    </x:row>
    <x:row r="198" ht="23" customHeight="1">
      <x:c r="A198" s="9"/>
      <x:c r="B198" s="9"/>
      <x:c r="C198" s="9"/>
      <x:c r="D198" s="9"/>
      <x:c r="E198" s="11"/>
      <x:c r="F198" s="9"/>
      <x:c r="G198" s="9"/>
      <x:c r="H198" s="9"/>
      <x:c r="I198" s="11"/>
      <x:c r="J198" s="11"/>
      <x:c r="K198" s="9"/>
      <x:c r="L198" s="9"/>
      <x:c r="M198" s="12" t="str">
        <x:f>IF(A198="","",IF(G198="","À compléter",IF(AND(ISNUMBER(J198),J198&lt;='Tableau de bord'!$F$5),"Réalisée",IF(I198="","À compléter",IF(I198&lt;'Tableau de bord'!$F$5,"Retard","À venir")))))</x:f>
      </x:c>
      <x:c r="N198" s="12" t="str">
        <x:f>IF(OR(A198="",I198=""),"",IF(M198="Retard",'Tableau de bord'!$F$5-I198,0))</x:f>
      </x:c>
      <x:c r="O198" s="9"/>
      <x:c r="P198" s="12" t="str">
        <x:f>IF(A198="","",IF(OR(B198="",G198="",H198="",E198=""),"À compléter",IF(COUNTIFS($A$6:$A$505,A198,$B$6:$B$505,B198)&gt;1,"Doublon ID",IF(AND(ISNUMBER(J198),J198&lt;E198),"Incohérent",""))))</x:f>
      </x:c>
    </x:row>
    <x:row r="199" ht="23" customHeight="1">
      <x:c r="A199" s="9"/>
      <x:c r="B199" s="9"/>
      <x:c r="C199" s="9"/>
      <x:c r="D199" s="9"/>
      <x:c r="E199" s="11"/>
      <x:c r="F199" s="9"/>
      <x:c r="G199" s="9"/>
      <x:c r="H199" s="9"/>
      <x:c r="I199" s="11"/>
      <x:c r="J199" s="11"/>
      <x:c r="K199" s="9"/>
      <x:c r="L199" s="9"/>
      <x:c r="M199" s="12" t="str">
        <x:f>IF(A199="","",IF(G199="","À compléter",IF(AND(ISNUMBER(J199),J199&lt;='Tableau de bord'!$F$5),"Réalisée",IF(I199="","À compléter",IF(I199&lt;'Tableau de bord'!$F$5,"Retard","À venir")))))</x:f>
      </x:c>
      <x:c r="N199" s="12" t="str">
        <x:f>IF(OR(A199="",I199=""),"",IF(M199="Retard",'Tableau de bord'!$F$5-I199,0))</x:f>
      </x:c>
      <x:c r="O199" s="9"/>
      <x:c r="P199" s="12" t="str">
        <x:f>IF(A199="","",IF(OR(B199="",G199="",H199="",E199=""),"À compléter",IF(COUNTIFS($A$6:$A$505,A199,$B$6:$B$505,B199)&gt;1,"Doublon ID",IF(AND(ISNUMBER(J199),J199&lt;E199),"Incohérent",""))))</x:f>
      </x:c>
    </x:row>
    <x:row r="200" ht="23" customHeight="1">
      <x:c r="A200" s="9"/>
      <x:c r="B200" s="9"/>
      <x:c r="C200" s="9"/>
      <x:c r="D200" s="9"/>
      <x:c r="E200" s="11"/>
      <x:c r="F200" s="9"/>
      <x:c r="G200" s="9"/>
      <x:c r="H200" s="9"/>
      <x:c r="I200" s="11"/>
      <x:c r="J200" s="11"/>
      <x:c r="K200" s="9"/>
      <x:c r="L200" s="9"/>
      <x:c r="M200" s="12" t="str">
        <x:f>IF(A200="","",IF(G200="","À compléter",IF(AND(ISNUMBER(J200),J200&lt;='Tableau de bord'!$F$5),"Réalisée",IF(I200="","À compléter",IF(I200&lt;'Tableau de bord'!$F$5,"Retard","À venir")))))</x:f>
      </x:c>
      <x:c r="N200" s="12" t="str">
        <x:f>IF(OR(A200="",I200=""),"",IF(M200="Retard",'Tableau de bord'!$F$5-I200,0))</x:f>
      </x:c>
      <x:c r="O200" s="9"/>
      <x:c r="P200" s="12" t="str">
        <x:f>IF(A200="","",IF(OR(B200="",G200="",H200="",E200=""),"À compléter",IF(COUNTIFS($A$6:$A$505,A200,$B$6:$B$505,B200)&gt;1,"Doublon ID",IF(AND(ISNUMBER(J200),J200&lt;E200),"Incohérent",""))))</x:f>
      </x:c>
    </x:row>
    <x:row r="201" ht="23" customHeight="1">
      <x:c r="A201" s="9"/>
      <x:c r="B201" s="9"/>
      <x:c r="C201" s="9"/>
      <x:c r="D201" s="9"/>
      <x:c r="E201" s="11"/>
      <x:c r="F201" s="9"/>
      <x:c r="G201" s="9"/>
      <x:c r="H201" s="9"/>
      <x:c r="I201" s="11"/>
      <x:c r="J201" s="11"/>
      <x:c r="K201" s="9"/>
      <x:c r="L201" s="9"/>
      <x:c r="M201" s="12" t="str">
        <x:f>IF(A201="","",IF(G201="","À compléter",IF(AND(ISNUMBER(J201),J201&lt;='Tableau de bord'!$F$5),"Réalisée",IF(I201="","À compléter",IF(I201&lt;'Tableau de bord'!$F$5,"Retard","À venir")))))</x:f>
      </x:c>
      <x:c r="N201" s="12" t="str">
        <x:f>IF(OR(A201="",I201=""),"",IF(M201="Retard",'Tableau de bord'!$F$5-I201,0))</x:f>
      </x:c>
      <x:c r="O201" s="9"/>
      <x:c r="P201" s="12" t="str">
        <x:f>IF(A201="","",IF(OR(B201="",G201="",H201="",E201=""),"À compléter",IF(COUNTIFS($A$6:$A$505,A201,$B$6:$B$505,B201)&gt;1,"Doublon ID",IF(AND(ISNUMBER(J201),J201&lt;E201),"Incohérent",""))))</x:f>
      </x:c>
    </x:row>
    <x:row r="202" ht="23" customHeight="1">
      <x:c r="A202" s="9"/>
      <x:c r="B202" s="9"/>
      <x:c r="C202" s="9"/>
      <x:c r="D202" s="9"/>
      <x:c r="E202" s="11"/>
      <x:c r="F202" s="9"/>
      <x:c r="G202" s="9"/>
      <x:c r="H202" s="9"/>
      <x:c r="I202" s="11"/>
      <x:c r="J202" s="11"/>
      <x:c r="K202" s="9"/>
      <x:c r="L202" s="9"/>
      <x:c r="M202" s="12" t="str">
        <x:f>IF(A202="","",IF(G202="","À compléter",IF(AND(ISNUMBER(J202),J202&lt;='Tableau de bord'!$F$5),"Réalisée",IF(I202="","À compléter",IF(I202&lt;'Tableau de bord'!$F$5,"Retard","À venir")))))</x:f>
      </x:c>
      <x:c r="N202" s="12" t="str">
        <x:f>IF(OR(A202="",I202=""),"",IF(M202="Retard",'Tableau de bord'!$F$5-I202,0))</x:f>
      </x:c>
      <x:c r="O202" s="9"/>
      <x:c r="P202" s="12" t="str">
        <x:f>IF(A202="","",IF(OR(B202="",G202="",H202="",E202=""),"À compléter",IF(COUNTIFS($A$6:$A$505,A202,$B$6:$B$505,B202)&gt;1,"Doublon ID",IF(AND(ISNUMBER(J202),J202&lt;E202),"Incohérent",""))))</x:f>
      </x:c>
    </x:row>
    <x:row r="203" ht="23" customHeight="1">
      <x:c r="A203" s="9"/>
      <x:c r="B203" s="9"/>
      <x:c r="C203" s="9"/>
      <x:c r="D203" s="9"/>
      <x:c r="E203" s="11"/>
      <x:c r="F203" s="9"/>
      <x:c r="G203" s="9"/>
      <x:c r="H203" s="9"/>
      <x:c r="I203" s="11"/>
      <x:c r="J203" s="11"/>
      <x:c r="K203" s="9"/>
      <x:c r="L203" s="9"/>
      <x:c r="M203" s="12" t="str">
        <x:f>IF(A203="","",IF(G203="","À compléter",IF(AND(ISNUMBER(J203),J203&lt;='Tableau de bord'!$F$5),"Réalisée",IF(I203="","À compléter",IF(I203&lt;'Tableau de bord'!$F$5,"Retard","À venir")))))</x:f>
      </x:c>
      <x:c r="N203" s="12" t="str">
        <x:f>IF(OR(A203="",I203=""),"",IF(M203="Retard",'Tableau de bord'!$F$5-I203,0))</x:f>
      </x:c>
      <x:c r="O203" s="9"/>
      <x:c r="P203" s="12" t="str">
        <x:f>IF(A203="","",IF(OR(B203="",G203="",H203="",E203=""),"À compléter",IF(COUNTIFS($A$6:$A$505,A203,$B$6:$B$505,B203)&gt;1,"Doublon ID",IF(AND(ISNUMBER(J203),J203&lt;E203),"Incohérent",""))))</x:f>
      </x:c>
    </x:row>
    <x:row r="204" ht="23" customHeight="1">
      <x:c r="A204" s="9"/>
      <x:c r="B204" s="9"/>
      <x:c r="C204" s="9"/>
      <x:c r="D204" s="9"/>
      <x:c r="E204" s="11"/>
      <x:c r="F204" s="9"/>
      <x:c r="G204" s="9"/>
      <x:c r="H204" s="9"/>
      <x:c r="I204" s="11"/>
      <x:c r="J204" s="11"/>
      <x:c r="K204" s="9"/>
      <x:c r="L204" s="9"/>
      <x:c r="M204" s="12" t="str">
        <x:f>IF(A204="","",IF(G204="","À compléter",IF(AND(ISNUMBER(J204),J204&lt;='Tableau de bord'!$F$5),"Réalisée",IF(I204="","À compléter",IF(I204&lt;'Tableau de bord'!$F$5,"Retard","À venir")))))</x:f>
      </x:c>
      <x:c r="N204" s="12" t="str">
        <x:f>IF(OR(A204="",I204=""),"",IF(M204="Retard",'Tableau de bord'!$F$5-I204,0))</x:f>
      </x:c>
      <x:c r="O204" s="9"/>
      <x:c r="P204" s="12" t="str">
        <x:f>IF(A204="","",IF(OR(B204="",G204="",H204="",E204=""),"À compléter",IF(COUNTIFS($A$6:$A$505,A204,$B$6:$B$505,B204)&gt;1,"Doublon ID",IF(AND(ISNUMBER(J204),J204&lt;E204),"Incohérent",""))))</x:f>
      </x:c>
    </x:row>
    <x:row r="205" ht="23" customHeight="1">
      <x:c r="A205" s="9"/>
      <x:c r="B205" s="9"/>
      <x:c r="C205" s="9"/>
      <x:c r="D205" s="9"/>
      <x:c r="E205" s="11"/>
      <x:c r="F205" s="9"/>
      <x:c r="G205" s="9"/>
      <x:c r="H205" s="9"/>
      <x:c r="I205" s="11"/>
      <x:c r="J205" s="11"/>
      <x:c r="K205" s="9"/>
      <x:c r="L205" s="9"/>
      <x:c r="M205" s="12" t="str">
        <x:f>IF(A205="","",IF(G205="","À compléter",IF(AND(ISNUMBER(J205),J205&lt;='Tableau de bord'!$F$5),"Réalisée",IF(I205="","À compléter",IF(I205&lt;'Tableau de bord'!$F$5,"Retard","À venir")))))</x:f>
      </x:c>
      <x:c r="N205" s="12" t="str">
        <x:f>IF(OR(A205="",I205=""),"",IF(M205="Retard",'Tableau de bord'!$F$5-I205,0))</x:f>
      </x:c>
      <x:c r="O205" s="9"/>
      <x:c r="P205" s="12" t="str">
        <x:f>IF(A205="","",IF(OR(B205="",G205="",H205="",E205=""),"À compléter",IF(COUNTIFS($A$6:$A$505,A205,$B$6:$B$505,B205)&gt;1,"Doublon ID",IF(AND(ISNUMBER(J205),J205&lt;E205),"Incohérent",""))))</x:f>
      </x:c>
    </x:row>
    <x:row r="206" ht="23" customHeight="1">
      <x:c r="A206" s="9"/>
      <x:c r="B206" s="9"/>
      <x:c r="C206" s="9"/>
      <x:c r="D206" s="9"/>
      <x:c r="E206" s="11"/>
      <x:c r="F206" s="9"/>
      <x:c r="G206" s="9"/>
      <x:c r="H206" s="9"/>
      <x:c r="I206" s="11"/>
      <x:c r="J206" s="11"/>
      <x:c r="K206" s="9"/>
      <x:c r="L206" s="9"/>
      <x:c r="M206" s="12" t="str">
        <x:f>IF(A206="","",IF(G206="","À compléter",IF(AND(ISNUMBER(J206),J206&lt;='Tableau de bord'!$F$5),"Réalisée",IF(I206="","À compléter",IF(I206&lt;'Tableau de bord'!$F$5,"Retard","À venir")))))</x:f>
      </x:c>
      <x:c r="N206" s="12" t="str">
        <x:f>IF(OR(A206="",I206=""),"",IF(M206="Retard",'Tableau de bord'!$F$5-I206,0))</x:f>
      </x:c>
      <x:c r="O206" s="9"/>
      <x:c r="P206" s="12" t="str">
        <x:f>IF(A206="","",IF(OR(B206="",G206="",H206="",E206=""),"À compléter",IF(COUNTIFS($A$6:$A$505,A206,$B$6:$B$505,B206)&gt;1,"Doublon ID",IF(AND(ISNUMBER(J206),J206&lt;E206),"Incohérent",""))))</x:f>
      </x:c>
    </x:row>
    <x:row r="207" ht="23" customHeight="1">
      <x:c r="A207" s="9"/>
      <x:c r="B207" s="9"/>
      <x:c r="C207" s="9"/>
      <x:c r="D207" s="9"/>
      <x:c r="E207" s="11"/>
      <x:c r="F207" s="9"/>
      <x:c r="G207" s="9"/>
      <x:c r="H207" s="9"/>
      <x:c r="I207" s="11"/>
      <x:c r="J207" s="11"/>
      <x:c r="K207" s="9"/>
      <x:c r="L207" s="9"/>
      <x:c r="M207" s="12" t="str">
        <x:f>IF(A207="","",IF(G207="","À compléter",IF(AND(ISNUMBER(J207),J207&lt;='Tableau de bord'!$F$5),"Réalisée",IF(I207="","À compléter",IF(I207&lt;'Tableau de bord'!$F$5,"Retard","À venir")))))</x:f>
      </x:c>
      <x:c r="N207" s="12" t="str">
        <x:f>IF(OR(A207="",I207=""),"",IF(M207="Retard",'Tableau de bord'!$F$5-I207,0))</x:f>
      </x:c>
      <x:c r="O207" s="9"/>
      <x:c r="P207" s="12" t="str">
        <x:f>IF(A207="","",IF(OR(B207="",G207="",H207="",E207=""),"À compléter",IF(COUNTIFS($A$6:$A$505,A207,$B$6:$B$505,B207)&gt;1,"Doublon ID",IF(AND(ISNUMBER(J207),J207&lt;E207),"Incohérent",""))))</x:f>
      </x:c>
    </x:row>
    <x:row r="208" ht="23" customHeight="1">
      <x:c r="A208" s="9"/>
      <x:c r="B208" s="9"/>
      <x:c r="C208" s="9"/>
      <x:c r="D208" s="9"/>
      <x:c r="E208" s="11"/>
      <x:c r="F208" s="9"/>
      <x:c r="G208" s="9"/>
      <x:c r="H208" s="9"/>
      <x:c r="I208" s="11"/>
      <x:c r="J208" s="11"/>
      <x:c r="K208" s="9"/>
      <x:c r="L208" s="9"/>
      <x:c r="M208" s="12" t="str">
        <x:f>IF(A208="","",IF(G208="","À compléter",IF(AND(ISNUMBER(J208),J208&lt;='Tableau de bord'!$F$5),"Réalisée",IF(I208="","À compléter",IF(I208&lt;'Tableau de bord'!$F$5,"Retard","À venir")))))</x:f>
      </x:c>
      <x:c r="N208" s="12" t="str">
        <x:f>IF(OR(A208="",I208=""),"",IF(M208="Retard",'Tableau de bord'!$F$5-I208,0))</x:f>
      </x:c>
      <x:c r="O208" s="9"/>
      <x:c r="P208" s="12" t="str">
        <x:f>IF(A208="","",IF(OR(B208="",G208="",H208="",E208=""),"À compléter",IF(COUNTIFS($A$6:$A$505,A208,$B$6:$B$505,B208)&gt;1,"Doublon ID",IF(AND(ISNUMBER(J208),J208&lt;E208),"Incohérent",""))))</x:f>
      </x:c>
    </x:row>
    <x:row r="209" ht="23" customHeight="1">
      <x:c r="A209" s="9"/>
      <x:c r="B209" s="9"/>
      <x:c r="C209" s="9"/>
      <x:c r="D209" s="9"/>
      <x:c r="E209" s="11"/>
      <x:c r="F209" s="9"/>
      <x:c r="G209" s="9"/>
      <x:c r="H209" s="9"/>
      <x:c r="I209" s="11"/>
      <x:c r="J209" s="11"/>
      <x:c r="K209" s="9"/>
      <x:c r="L209" s="9"/>
      <x:c r="M209" s="12" t="str">
        <x:f>IF(A209="","",IF(G209="","À compléter",IF(AND(ISNUMBER(J209),J209&lt;='Tableau de bord'!$F$5),"Réalisée",IF(I209="","À compléter",IF(I209&lt;'Tableau de bord'!$F$5,"Retard","À venir")))))</x:f>
      </x:c>
      <x:c r="N209" s="12" t="str">
        <x:f>IF(OR(A209="",I209=""),"",IF(M209="Retard",'Tableau de bord'!$F$5-I209,0))</x:f>
      </x:c>
      <x:c r="O209" s="9"/>
      <x:c r="P209" s="12" t="str">
        <x:f>IF(A209="","",IF(OR(B209="",G209="",H209="",E209=""),"À compléter",IF(COUNTIFS($A$6:$A$505,A209,$B$6:$B$505,B209)&gt;1,"Doublon ID",IF(AND(ISNUMBER(J209),J209&lt;E209),"Incohérent",""))))</x:f>
      </x:c>
    </x:row>
    <x:row r="210" ht="23" customHeight="1">
      <x:c r="A210" s="9"/>
      <x:c r="B210" s="9"/>
      <x:c r="C210" s="9"/>
      <x:c r="D210" s="9"/>
      <x:c r="E210" s="11"/>
      <x:c r="F210" s="9"/>
      <x:c r="G210" s="9"/>
      <x:c r="H210" s="9"/>
      <x:c r="I210" s="11"/>
      <x:c r="J210" s="11"/>
      <x:c r="K210" s="9"/>
      <x:c r="L210" s="9"/>
      <x:c r="M210" s="12" t="str">
        <x:f>IF(A210="","",IF(G210="","À compléter",IF(AND(ISNUMBER(J210),J210&lt;='Tableau de bord'!$F$5),"Réalisée",IF(I210="","À compléter",IF(I210&lt;'Tableau de bord'!$F$5,"Retard","À venir")))))</x:f>
      </x:c>
      <x:c r="N210" s="12" t="str">
        <x:f>IF(OR(A210="",I210=""),"",IF(M210="Retard",'Tableau de bord'!$F$5-I210,0))</x:f>
      </x:c>
      <x:c r="O210" s="9"/>
      <x:c r="P210" s="12" t="str">
        <x:f>IF(A210="","",IF(OR(B210="",G210="",H210="",E210=""),"À compléter",IF(COUNTIFS($A$6:$A$505,A210,$B$6:$B$505,B210)&gt;1,"Doublon ID",IF(AND(ISNUMBER(J210),J210&lt;E210),"Incohérent",""))))</x:f>
      </x:c>
    </x:row>
    <x:row r="211" ht="23" customHeight="1">
      <x:c r="A211" s="9"/>
      <x:c r="B211" s="9"/>
      <x:c r="C211" s="9"/>
      <x:c r="D211" s="9"/>
      <x:c r="E211" s="11"/>
      <x:c r="F211" s="9"/>
      <x:c r="G211" s="9"/>
      <x:c r="H211" s="9"/>
      <x:c r="I211" s="11"/>
      <x:c r="J211" s="11"/>
      <x:c r="K211" s="9"/>
      <x:c r="L211" s="9"/>
      <x:c r="M211" s="12" t="str">
        <x:f>IF(A211="","",IF(G211="","À compléter",IF(AND(ISNUMBER(J211),J211&lt;='Tableau de bord'!$F$5),"Réalisée",IF(I211="","À compléter",IF(I211&lt;'Tableau de bord'!$F$5,"Retard","À venir")))))</x:f>
      </x:c>
      <x:c r="N211" s="12" t="str">
        <x:f>IF(OR(A211="",I211=""),"",IF(M211="Retard",'Tableau de bord'!$F$5-I211,0))</x:f>
      </x:c>
      <x:c r="O211" s="9"/>
      <x:c r="P211" s="12" t="str">
        <x:f>IF(A211="","",IF(OR(B211="",G211="",H211="",E211=""),"À compléter",IF(COUNTIFS($A$6:$A$505,A211,$B$6:$B$505,B211)&gt;1,"Doublon ID",IF(AND(ISNUMBER(J211),J211&lt;E211),"Incohérent",""))))</x:f>
      </x:c>
    </x:row>
    <x:row r="212" ht="23" customHeight="1">
      <x:c r="A212" s="9"/>
      <x:c r="B212" s="9"/>
      <x:c r="C212" s="9"/>
      <x:c r="D212" s="9"/>
      <x:c r="E212" s="11"/>
      <x:c r="F212" s="9"/>
      <x:c r="G212" s="9"/>
      <x:c r="H212" s="9"/>
      <x:c r="I212" s="11"/>
      <x:c r="J212" s="11"/>
      <x:c r="K212" s="9"/>
      <x:c r="L212" s="9"/>
      <x:c r="M212" s="12" t="str">
        <x:f>IF(A212="","",IF(G212="","À compléter",IF(AND(ISNUMBER(J212),J212&lt;='Tableau de bord'!$F$5),"Réalisée",IF(I212="","À compléter",IF(I212&lt;'Tableau de bord'!$F$5,"Retard","À venir")))))</x:f>
      </x:c>
      <x:c r="N212" s="12" t="str">
        <x:f>IF(OR(A212="",I212=""),"",IF(M212="Retard",'Tableau de bord'!$F$5-I212,0))</x:f>
      </x:c>
      <x:c r="O212" s="9"/>
      <x:c r="P212" s="12" t="str">
        <x:f>IF(A212="","",IF(OR(B212="",G212="",H212="",E212=""),"À compléter",IF(COUNTIFS($A$6:$A$505,A212,$B$6:$B$505,B212)&gt;1,"Doublon ID",IF(AND(ISNUMBER(J212),J212&lt;E212),"Incohérent",""))))</x:f>
      </x:c>
    </x:row>
    <x:row r="213" ht="23" customHeight="1">
      <x:c r="A213" s="9"/>
      <x:c r="B213" s="9"/>
      <x:c r="C213" s="9"/>
      <x:c r="D213" s="9"/>
      <x:c r="E213" s="11"/>
      <x:c r="F213" s="9"/>
      <x:c r="G213" s="9"/>
      <x:c r="H213" s="9"/>
      <x:c r="I213" s="11"/>
      <x:c r="J213" s="11"/>
      <x:c r="K213" s="9"/>
      <x:c r="L213" s="9"/>
      <x:c r="M213" s="12" t="str">
        <x:f>IF(A213="","",IF(G213="","À compléter",IF(AND(ISNUMBER(J213),J213&lt;='Tableau de bord'!$F$5),"Réalisée",IF(I213="","À compléter",IF(I213&lt;'Tableau de bord'!$F$5,"Retard","À venir")))))</x:f>
      </x:c>
      <x:c r="N213" s="12" t="str">
        <x:f>IF(OR(A213="",I213=""),"",IF(M213="Retard",'Tableau de bord'!$F$5-I213,0))</x:f>
      </x:c>
      <x:c r="O213" s="9"/>
      <x:c r="P213" s="12" t="str">
        <x:f>IF(A213="","",IF(OR(B213="",G213="",H213="",E213=""),"À compléter",IF(COUNTIFS($A$6:$A$505,A213,$B$6:$B$505,B213)&gt;1,"Doublon ID",IF(AND(ISNUMBER(J213),J213&lt;E213),"Incohérent",""))))</x:f>
      </x:c>
    </x:row>
    <x:row r="214" ht="23" customHeight="1">
      <x:c r="A214" s="9"/>
      <x:c r="B214" s="9"/>
      <x:c r="C214" s="9"/>
      <x:c r="D214" s="9"/>
      <x:c r="E214" s="11"/>
      <x:c r="F214" s="9"/>
      <x:c r="G214" s="9"/>
      <x:c r="H214" s="9"/>
      <x:c r="I214" s="11"/>
      <x:c r="J214" s="11"/>
      <x:c r="K214" s="9"/>
      <x:c r="L214" s="9"/>
      <x:c r="M214" s="12" t="str">
        <x:f>IF(A214="","",IF(G214="","À compléter",IF(AND(ISNUMBER(J214),J214&lt;='Tableau de bord'!$F$5),"Réalisée",IF(I214="","À compléter",IF(I214&lt;'Tableau de bord'!$F$5,"Retard","À venir")))))</x:f>
      </x:c>
      <x:c r="N214" s="12" t="str">
        <x:f>IF(OR(A214="",I214=""),"",IF(M214="Retard",'Tableau de bord'!$F$5-I214,0))</x:f>
      </x:c>
      <x:c r="O214" s="9"/>
      <x:c r="P214" s="12" t="str">
        <x:f>IF(A214="","",IF(OR(B214="",G214="",H214="",E214=""),"À compléter",IF(COUNTIFS($A$6:$A$505,A214,$B$6:$B$505,B214)&gt;1,"Doublon ID",IF(AND(ISNUMBER(J214),J214&lt;E214),"Incohérent",""))))</x:f>
      </x:c>
    </x:row>
    <x:row r="215" ht="23" customHeight="1">
      <x:c r="A215" s="9"/>
      <x:c r="B215" s="9"/>
      <x:c r="C215" s="9"/>
      <x:c r="D215" s="9"/>
      <x:c r="E215" s="11"/>
      <x:c r="F215" s="9"/>
      <x:c r="G215" s="9"/>
      <x:c r="H215" s="9"/>
      <x:c r="I215" s="11"/>
      <x:c r="J215" s="11"/>
      <x:c r="K215" s="9"/>
      <x:c r="L215" s="9"/>
      <x:c r="M215" s="12" t="str">
        <x:f>IF(A215="","",IF(G215="","À compléter",IF(AND(ISNUMBER(J215),J215&lt;='Tableau de bord'!$F$5),"Réalisée",IF(I215="","À compléter",IF(I215&lt;'Tableau de bord'!$F$5,"Retard","À venir")))))</x:f>
      </x:c>
      <x:c r="N215" s="12" t="str">
        <x:f>IF(OR(A215="",I215=""),"",IF(M215="Retard",'Tableau de bord'!$F$5-I215,0))</x:f>
      </x:c>
      <x:c r="O215" s="9"/>
      <x:c r="P215" s="12" t="str">
        <x:f>IF(A215="","",IF(OR(B215="",G215="",H215="",E215=""),"À compléter",IF(COUNTIFS($A$6:$A$505,A215,$B$6:$B$505,B215)&gt;1,"Doublon ID",IF(AND(ISNUMBER(J215),J215&lt;E215),"Incohérent",""))))</x:f>
      </x:c>
    </x:row>
    <x:row r="216" ht="23" customHeight="1">
      <x:c r="A216" s="9"/>
      <x:c r="B216" s="9"/>
      <x:c r="C216" s="9"/>
      <x:c r="D216" s="9"/>
      <x:c r="E216" s="11"/>
      <x:c r="F216" s="9"/>
      <x:c r="G216" s="9"/>
      <x:c r="H216" s="9"/>
      <x:c r="I216" s="11"/>
      <x:c r="J216" s="11"/>
      <x:c r="K216" s="9"/>
      <x:c r="L216" s="9"/>
      <x:c r="M216" s="12" t="str">
        <x:f>IF(A216="","",IF(G216="","À compléter",IF(AND(ISNUMBER(J216),J216&lt;='Tableau de bord'!$F$5),"Réalisée",IF(I216="","À compléter",IF(I216&lt;'Tableau de bord'!$F$5,"Retard","À venir")))))</x:f>
      </x:c>
      <x:c r="N216" s="12" t="str">
        <x:f>IF(OR(A216="",I216=""),"",IF(M216="Retard",'Tableau de bord'!$F$5-I216,0))</x:f>
      </x:c>
      <x:c r="O216" s="9"/>
      <x:c r="P216" s="12" t="str">
        <x:f>IF(A216="","",IF(OR(B216="",G216="",H216="",E216=""),"À compléter",IF(COUNTIFS($A$6:$A$505,A216,$B$6:$B$505,B216)&gt;1,"Doublon ID",IF(AND(ISNUMBER(J216),J216&lt;E216),"Incohérent",""))))</x:f>
      </x:c>
    </x:row>
    <x:row r="217" ht="23" customHeight="1">
      <x:c r="A217" s="9"/>
      <x:c r="B217" s="9"/>
      <x:c r="C217" s="9"/>
      <x:c r="D217" s="9"/>
      <x:c r="E217" s="11"/>
      <x:c r="F217" s="9"/>
      <x:c r="G217" s="9"/>
      <x:c r="H217" s="9"/>
      <x:c r="I217" s="11"/>
      <x:c r="J217" s="11"/>
      <x:c r="K217" s="9"/>
      <x:c r="L217" s="9"/>
      <x:c r="M217" s="12" t="str">
        <x:f>IF(A217="","",IF(G217="","À compléter",IF(AND(ISNUMBER(J217),J217&lt;='Tableau de bord'!$F$5),"Réalisée",IF(I217="","À compléter",IF(I217&lt;'Tableau de bord'!$F$5,"Retard","À venir")))))</x:f>
      </x:c>
      <x:c r="N217" s="12" t="str">
        <x:f>IF(OR(A217="",I217=""),"",IF(M217="Retard",'Tableau de bord'!$F$5-I217,0))</x:f>
      </x:c>
      <x:c r="O217" s="9"/>
      <x:c r="P217" s="12" t="str">
        <x:f>IF(A217="","",IF(OR(B217="",G217="",H217="",E217=""),"À compléter",IF(COUNTIFS($A$6:$A$505,A217,$B$6:$B$505,B217)&gt;1,"Doublon ID",IF(AND(ISNUMBER(J217),J217&lt;E217),"Incohérent",""))))</x:f>
      </x:c>
    </x:row>
    <x:row r="218" ht="23" customHeight="1">
      <x:c r="A218" s="9"/>
      <x:c r="B218" s="9"/>
      <x:c r="C218" s="9"/>
      <x:c r="D218" s="9"/>
      <x:c r="E218" s="11"/>
      <x:c r="F218" s="9"/>
      <x:c r="G218" s="9"/>
      <x:c r="H218" s="9"/>
      <x:c r="I218" s="11"/>
      <x:c r="J218" s="11"/>
      <x:c r="K218" s="9"/>
      <x:c r="L218" s="9"/>
      <x:c r="M218" s="12" t="str">
        <x:f>IF(A218="","",IF(G218="","À compléter",IF(AND(ISNUMBER(J218),J218&lt;='Tableau de bord'!$F$5),"Réalisée",IF(I218="","À compléter",IF(I218&lt;'Tableau de bord'!$F$5,"Retard","À venir")))))</x:f>
      </x:c>
      <x:c r="N218" s="12" t="str">
        <x:f>IF(OR(A218="",I218=""),"",IF(M218="Retard",'Tableau de bord'!$F$5-I218,0))</x:f>
      </x:c>
      <x:c r="O218" s="9"/>
      <x:c r="P218" s="12" t="str">
        <x:f>IF(A218="","",IF(OR(B218="",G218="",H218="",E218=""),"À compléter",IF(COUNTIFS($A$6:$A$505,A218,$B$6:$B$505,B218)&gt;1,"Doublon ID",IF(AND(ISNUMBER(J218),J218&lt;E218),"Incohérent",""))))</x:f>
      </x:c>
    </x:row>
    <x:row r="219" ht="23" customHeight="1">
      <x:c r="A219" s="9"/>
      <x:c r="B219" s="9"/>
      <x:c r="C219" s="9"/>
      <x:c r="D219" s="9"/>
      <x:c r="E219" s="11"/>
      <x:c r="F219" s="9"/>
      <x:c r="G219" s="9"/>
      <x:c r="H219" s="9"/>
      <x:c r="I219" s="11"/>
      <x:c r="J219" s="11"/>
      <x:c r="K219" s="9"/>
      <x:c r="L219" s="9"/>
      <x:c r="M219" s="12" t="str">
        <x:f>IF(A219="","",IF(G219="","À compléter",IF(AND(ISNUMBER(J219),J219&lt;='Tableau de bord'!$F$5),"Réalisée",IF(I219="","À compléter",IF(I219&lt;'Tableau de bord'!$F$5,"Retard","À venir")))))</x:f>
      </x:c>
      <x:c r="N219" s="12" t="str">
        <x:f>IF(OR(A219="",I219=""),"",IF(M219="Retard",'Tableau de bord'!$F$5-I219,0))</x:f>
      </x:c>
      <x:c r="O219" s="9"/>
      <x:c r="P219" s="12" t="str">
        <x:f>IF(A219="","",IF(OR(B219="",G219="",H219="",E219=""),"À compléter",IF(COUNTIFS($A$6:$A$505,A219,$B$6:$B$505,B219)&gt;1,"Doublon ID",IF(AND(ISNUMBER(J219),J219&lt;E219),"Incohérent",""))))</x:f>
      </x:c>
    </x:row>
    <x:row r="220" ht="23" customHeight="1">
      <x:c r="A220" s="9"/>
      <x:c r="B220" s="9"/>
      <x:c r="C220" s="9"/>
      <x:c r="D220" s="9"/>
      <x:c r="E220" s="11"/>
      <x:c r="F220" s="9"/>
      <x:c r="G220" s="9"/>
      <x:c r="H220" s="9"/>
      <x:c r="I220" s="11"/>
      <x:c r="J220" s="11"/>
      <x:c r="K220" s="9"/>
      <x:c r="L220" s="9"/>
      <x:c r="M220" s="12" t="str">
        <x:f>IF(A220="","",IF(G220="","À compléter",IF(AND(ISNUMBER(J220),J220&lt;='Tableau de bord'!$F$5),"Réalisée",IF(I220="","À compléter",IF(I220&lt;'Tableau de bord'!$F$5,"Retard","À venir")))))</x:f>
      </x:c>
      <x:c r="N220" s="12" t="str">
        <x:f>IF(OR(A220="",I220=""),"",IF(M220="Retard",'Tableau de bord'!$F$5-I220,0))</x:f>
      </x:c>
      <x:c r="O220" s="9"/>
      <x:c r="P220" s="12" t="str">
        <x:f>IF(A220="","",IF(OR(B220="",G220="",H220="",E220=""),"À compléter",IF(COUNTIFS($A$6:$A$505,A220,$B$6:$B$505,B220)&gt;1,"Doublon ID",IF(AND(ISNUMBER(J220),J220&lt;E220),"Incohérent",""))))</x:f>
      </x:c>
    </x:row>
    <x:row r="221" ht="23" customHeight="1">
      <x:c r="A221" s="9"/>
      <x:c r="B221" s="9"/>
      <x:c r="C221" s="9"/>
      <x:c r="D221" s="9"/>
      <x:c r="E221" s="11"/>
      <x:c r="F221" s="9"/>
      <x:c r="G221" s="9"/>
      <x:c r="H221" s="9"/>
      <x:c r="I221" s="11"/>
      <x:c r="J221" s="11"/>
      <x:c r="K221" s="9"/>
      <x:c r="L221" s="9"/>
      <x:c r="M221" s="12" t="str">
        <x:f>IF(A221="","",IF(G221="","À compléter",IF(AND(ISNUMBER(J221),J221&lt;='Tableau de bord'!$F$5),"Réalisée",IF(I221="","À compléter",IF(I221&lt;'Tableau de bord'!$F$5,"Retard","À venir")))))</x:f>
      </x:c>
      <x:c r="N221" s="12" t="str">
        <x:f>IF(OR(A221="",I221=""),"",IF(M221="Retard",'Tableau de bord'!$F$5-I221,0))</x:f>
      </x:c>
      <x:c r="O221" s="9"/>
      <x:c r="P221" s="12" t="str">
        <x:f>IF(A221="","",IF(OR(B221="",G221="",H221="",E221=""),"À compléter",IF(COUNTIFS($A$6:$A$505,A221,$B$6:$B$505,B221)&gt;1,"Doublon ID",IF(AND(ISNUMBER(J221),J221&lt;E221),"Incohérent",""))))</x:f>
      </x:c>
    </x:row>
    <x:row r="222" ht="23" customHeight="1">
      <x:c r="A222" s="9"/>
      <x:c r="B222" s="9"/>
      <x:c r="C222" s="9"/>
      <x:c r="D222" s="9"/>
      <x:c r="E222" s="11"/>
      <x:c r="F222" s="9"/>
      <x:c r="G222" s="9"/>
      <x:c r="H222" s="9"/>
      <x:c r="I222" s="11"/>
      <x:c r="J222" s="11"/>
      <x:c r="K222" s="9"/>
      <x:c r="L222" s="9"/>
      <x:c r="M222" s="12" t="str">
        <x:f>IF(A222="","",IF(G222="","À compléter",IF(AND(ISNUMBER(J222),J222&lt;='Tableau de bord'!$F$5),"Réalisée",IF(I222="","À compléter",IF(I222&lt;'Tableau de bord'!$F$5,"Retard","À venir")))))</x:f>
      </x:c>
      <x:c r="N222" s="12" t="str">
        <x:f>IF(OR(A222="",I222=""),"",IF(M222="Retard",'Tableau de bord'!$F$5-I222,0))</x:f>
      </x:c>
      <x:c r="O222" s="9"/>
      <x:c r="P222" s="12" t="str">
        <x:f>IF(A222="","",IF(OR(B222="",G222="",H222="",E222=""),"À compléter",IF(COUNTIFS($A$6:$A$505,A222,$B$6:$B$505,B222)&gt;1,"Doublon ID",IF(AND(ISNUMBER(J222),J222&lt;E222),"Incohérent",""))))</x:f>
      </x:c>
    </x:row>
    <x:row r="223" ht="23" customHeight="1">
      <x:c r="A223" s="9"/>
      <x:c r="B223" s="9"/>
      <x:c r="C223" s="9"/>
      <x:c r="D223" s="9"/>
      <x:c r="E223" s="11"/>
      <x:c r="F223" s="9"/>
      <x:c r="G223" s="9"/>
      <x:c r="H223" s="9"/>
      <x:c r="I223" s="11"/>
      <x:c r="J223" s="11"/>
      <x:c r="K223" s="9"/>
      <x:c r="L223" s="9"/>
      <x:c r="M223" s="12" t="str">
        <x:f>IF(A223="","",IF(G223="","À compléter",IF(AND(ISNUMBER(J223),J223&lt;='Tableau de bord'!$F$5),"Réalisée",IF(I223="","À compléter",IF(I223&lt;'Tableau de bord'!$F$5,"Retard","À venir")))))</x:f>
      </x:c>
      <x:c r="N223" s="12" t="str">
        <x:f>IF(OR(A223="",I223=""),"",IF(M223="Retard",'Tableau de bord'!$F$5-I223,0))</x:f>
      </x:c>
      <x:c r="O223" s="9"/>
      <x:c r="P223" s="12" t="str">
        <x:f>IF(A223="","",IF(OR(B223="",G223="",H223="",E223=""),"À compléter",IF(COUNTIFS($A$6:$A$505,A223,$B$6:$B$505,B223)&gt;1,"Doublon ID",IF(AND(ISNUMBER(J223),J223&lt;E223),"Incohérent",""))))</x:f>
      </x:c>
    </x:row>
    <x:row r="224" ht="23" customHeight="1">
      <x:c r="A224" s="9"/>
      <x:c r="B224" s="9"/>
      <x:c r="C224" s="9"/>
      <x:c r="D224" s="9"/>
      <x:c r="E224" s="11"/>
      <x:c r="F224" s="9"/>
      <x:c r="G224" s="9"/>
      <x:c r="H224" s="9"/>
      <x:c r="I224" s="11"/>
      <x:c r="J224" s="11"/>
      <x:c r="K224" s="9"/>
      <x:c r="L224" s="9"/>
      <x:c r="M224" s="12" t="str">
        <x:f>IF(A224="","",IF(G224="","À compléter",IF(AND(ISNUMBER(J224),J224&lt;='Tableau de bord'!$F$5),"Réalisée",IF(I224="","À compléter",IF(I224&lt;'Tableau de bord'!$F$5,"Retard","À venir")))))</x:f>
      </x:c>
      <x:c r="N224" s="12" t="str">
        <x:f>IF(OR(A224="",I224=""),"",IF(M224="Retard",'Tableau de bord'!$F$5-I224,0))</x:f>
      </x:c>
      <x:c r="O224" s="9"/>
      <x:c r="P224" s="12" t="str">
        <x:f>IF(A224="","",IF(OR(B224="",G224="",H224="",E224=""),"À compléter",IF(COUNTIFS($A$6:$A$505,A224,$B$6:$B$505,B224)&gt;1,"Doublon ID",IF(AND(ISNUMBER(J224),J224&lt;E224),"Incohérent",""))))</x:f>
      </x:c>
    </x:row>
    <x:row r="225" ht="23" customHeight="1">
      <x:c r="A225" s="9"/>
      <x:c r="B225" s="9"/>
      <x:c r="C225" s="9"/>
      <x:c r="D225" s="9"/>
      <x:c r="E225" s="11"/>
      <x:c r="F225" s="9"/>
      <x:c r="G225" s="9"/>
      <x:c r="H225" s="9"/>
      <x:c r="I225" s="11"/>
      <x:c r="J225" s="11"/>
      <x:c r="K225" s="9"/>
      <x:c r="L225" s="9"/>
      <x:c r="M225" s="12" t="str">
        <x:f>IF(A225="","",IF(G225="","À compléter",IF(AND(ISNUMBER(J225),J225&lt;='Tableau de bord'!$F$5),"Réalisée",IF(I225="","À compléter",IF(I225&lt;'Tableau de bord'!$F$5,"Retard","À venir")))))</x:f>
      </x:c>
      <x:c r="N225" s="12" t="str">
        <x:f>IF(OR(A225="",I225=""),"",IF(M225="Retard",'Tableau de bord'!$F$5-I225,0))</x:f>
      </x:c>
      <x:c r="O225" s="9"/>
      <x:c r="P225" s="12" t="str">
        <x:f>IF(A225="","",IF(OR(B225="",G225="",H225="",E225=""),"À compléter",IF(COUNTIFS($A$6:$A$505,A225,$B$6:$B$505,B225)&gt;1,"Doublon ID",IF(AND(ISNUMBER(J225),J225&lt;E225),"Incohérent",""))))</x:f>
      </x:c>
    </x:row>
    <x:row r="226" ht="23" customHeight="1">
      <x:c r="A226" s="9"/>
      <x:c r="B226" s="9"/>
      <x:c r="C226" s="9"/>
      <x:c r="D226" s="9"/>
      <x:c r="E226" s="11"/>
      <x:c r="F226" s="9"/>
      <x:c r="G226" s="9"/>
      <x:c r="H226" s="9"/>
      <x:c r="I226" s="11"/>
      <x:c r="J226" s="11"/>
      <x:c r="K226" s="9"/>
      <x:c r="L226" s="9"/>
      <x:c r="M226" s="12" t="str">
        <x:f>IF(A226="","",IF(G226="","À compléter",IF(AND(ISNUMBER(J226),J226&lt;='Tableau de bord'!$F$5),"Réalisée",IF(I226="","À compléter",IF(I226&lt;'Tableau de bord'!$F$5,"Retard","À venir")))))</x:f>
      </x:c>
      <x:c r="N226" s="12" t="str">
        <x:f>IF(OR(A226="",I226=""),"",IF(M226="Retard",'Tableau de bord'!$F$5-I226,0))</x:f>
      </x:c>
      <x:c r="O226" s="9"/>
      <x:c r="P226" s="12" t="str">
        <x:f>IF(A226="","",IF(OR(B226="",G226="",H226="",E226=""),"À compléter",IF(COUNTIFS($A$6:$A$505,A226,$B$6:$B$505,B226)&gt;1,"Doublon ID",IF(AND(ISNUMBER(J226),J226&lt;E226),"Incohérent",""))))</x:f>
      </x:c>
    </x:row>
    <x:row r="227" ht="23" customHeight="1">
      <x:c r="A227" s="9"/>
      <x:c r="B227" s="9"/>
      <x:c r="C227" s="9"/>
      <x:c r="D227" s="9"/>
      <x:c r="E227" s="11"/>
      <x:c r="F227" s="9"/>
      <x:c r="G227" s="9"/>
      <x:c r="H227" s="9"/>
      <x:c r="I227" s="11"/>
      <x:c r="J227" s="11"/>
      <x:c r="K227" s="9"/>
      <x:c r="L227" s="9"/>
      <x:c r="M227" s="12" t="str">
        <x:f>IF(A227="","",IF(G227="","À compléter",IF(AND(ISNUMBER(J227),J227&lt;='Tableau de bord'!$F$5),"Réalisée",IF(I227="","À compléter",IF(I227&lt;'Tableau de bord'!$F$5,"Retard","À venir")))))</x:f>
      </x:c>
      <x:c r="N227" s="12" t="str">
        <x:f>IF(OR(A227="",I227=""),"",IF(M227="Retard",'Tableau de bord'!$F$5-I227,0))</x:f>
      </x:c>
      <x:c r="O227" s="9"/>
      <x:c r="P227" s="12" t="str">
        <x:f>IF(A227="","",IF(OR(B227="",G227="",H227="",E227=""),"À compléter",IF(COUNTIFS($A$6:$A$505,A227,$B$6:$B$505,B227)&gt;1,"Doublon ID",IF(AND(ISNUMBER(J227),J227&lt;E227),"Incohérent",""))))</x:f>
      </x:c>
    </x:row>
    <x:row r="228" ht="23" customHeight="1">
      <x:c r="A228" s="9"/>
      <x:c r="B228" s="9"/>
      <x:c r="C228" s="9"/>
      <x:c r="D228" s="9"/>
      <x:c r="E228" s="11"/>
      <x:c r="F228" s="9"/>
      <x:c r="G228" s="9"/>
      <x:c r="H228" s="9"/>
      <x:c r="I228" s="11"/>
      <x:c r="J228" s="11"/>
      <x:c r="K228" s="9"/>
      <x:c r="L228" s="9"/>
      <x:c r="M228" s="12" t="str">
        <x:f>IF(A228="","",IF(G228="","À compléter",IF(AND(ISNUMBER(J228),J228&lt;='Tableau de bord'!$F$5),"Réalisée",IF(I228="","À compléter",IF(I228&lt;'Tableau de bord'!$F$5,"Retard","À venir")))))</x:f>
      </x:c>
      <x:c r="N228" s="12" t="str">
        <x:f>IF(OR(A228="",I228=""),"",IF(M228="Retard",'Tableau de bord'!$F$5-I228,0))</x:f>
      </x:c>
      <x:c r="O228" s="9"/>
      <x:c r="P228" s="12" t="str">
        <x:f>IF(A228="","",IF(OR(B228="",G228="",H228="",E228=""),"À compléter",IF(COUNTIFS($A$6:$A$505,A228,$B$6:$B$505,B228)&gt;1,"Doublon ID",IF(AND(ISNUMBER(J228),J228&lt;E228),"Incohérent",""))))</x:f>
      </x:c>
    </x:row>
    <x:row r="229" ht="23" customHeight="1">
      <x:c r="A229" s="9"/>
      <x:c r="B229" s="9"/>
      <x:c r="C229" s="9"/>
      <x:c r="D229" s="9"/>
      <x:c r="E229" s="11"/>
      <x:c r="F229" s="9"/>
      <x:c r="G229" s="9"/>
      <x:c r="H229" s="9"/>
      <x:c r="I229" s="11"/>
      <x:c r="J229" s="11"/>
      <x:c r="K229" s="9"/>
      <x:c r="L229" s="9"/>
      <x:c r="M229" s="12" t="str">
        <x:f>IF(A229="","",IF(G229="","À compléter",IF(AND(ISNUMBER(J229),J229&lt;='Tableau de bord'!$F$5),"Réalisée",IF(I229="","À compléter",IF(I229&lt;'Tableau de bord'!$F$5,"Retard","À venir")))))</x:f>
      </x:c>
      <x:c r="N229" s="12" t="str">
        <x:f>IF(OR(A229="",I229=""),"",IF(M229="Retard",'Tableau de bord'!$F$5-I229,0))</x:f>
      </x:c>
      <x:c r="O229" s="9"/>
      <x:c r="P229" s="12" t="str">
        <x:f>IF(A229="","",IF(OR(B229="",G229="",H229="",E229=""),"À compléter",IF(COUNTIFS($A$6:$A$505,A229,$B$6:$B$505,B229)&gt;1,"Doublon ID",IF(AND(ISNUMBER(J229),J229&lt;E229),"Incohérent",""))))</x:f>
      </x:c>
    </x:row>
    <x:row r="230" ht="23" customHeight="1">
      <x:c r="A230" s="9"/>
      <x:c r="B230" s="9"/>
      <x:c r="C230" s="9"/>
      <x:c r="D230" s="9"/>
      <x:c r="E230" s="11"/>
      <x:c r="F230" s="9"/>
      <x:c r="G230" s="9"/>
      <x:c r="H230" s="9"/>
      <x:c r="I230" s="11"/>
      <x:c r="J230" s="11"/>
      <x:c r="K230" s="9"/>
      <x:c r="L230" s="9"/>
      <x:c r="M230" s="12" t="str">
        <x:f>IF(A230="","",IF(G230="","À compléter",IF(AND(ISNUMBER(J230),J230&lt;='Tableau de bord'!$F$5),"Réalisée",IF(I230="","À compléter",IF(I230&lt;'Tableau de bord'!$F$5,"Retard","À venir")))))</x:f>
      </x:c>
      <x:c r="N230" s="12" t="str">
        <x:f>IF(OR(A230="",I230=""),"",IF(M230="Retard",'Tableau de bord'!$F$5-I230,0))</x:f>
      </x:c>
      <x:c r="O230" s="9"/>
      <x:c r="P230" s="12" t="str">
        <x:f>IF(A230="","",IF(OR(B230="",G230="",H230="",E230=""),"À compléter",IF(COUNTIFS($A$6:$A$505,A230,$B$6:$B$505,B230)&gt;1,"Doublon ID",IF(AND(ISNUMBER(J230),J230&lt;E230),"Incohérent",""))))</x:f>
      </x:c>
    </x:row>
    <x:row r="231" ht="23" customHeight="1">
      <x:c r="A231" s="9"/>
      <x:c r="B231" s="9"/>
      <x:c r="C231" s="9"/>
      <x:c r="D231" s="9"/>
      <x:c r="E231" s="11"/>
      <x:c r="F231" s="9"/>
      <x:c r="G231" s="9"/>
      <x:c r="H231" s="9"/>
      <x:c r="I231" s="11"/>
      <x:c r="J231" s="11"/>
      <x:c r="K231" s="9"/>
      <x:c r="L231" s="9"/>
      <x:c r="M231" s="12" t="str">
        <x:f>IF(A231="","",IF(G231="","À compléter",IF(AND(ISNUMBER(J231),J231&lt;='Tableau de bord'!$F$5),"Réalisée",IF(I231="","À compléter",IF(I231&lt;'Tableau de bord'!$F$5,"Retard","À venir")))))</x:f>
      </x:c>
      <x:c r="N231" s="12" t="str">
        <x:f>IF(OR(A231="",I231=""),"",IF(M231="Retard",'Tableau de bord'!$F$5-I231,0))</x:f>
      </x:c>
      <x:c r="O231" s="9"/>
      <x:c r="P231" s="12" t="str">
        <x:f>IF(A231="","",IF(OR(B231="",G231="",H231="",E231=""),"À compléter",IF(COUNTIFS($A$6:$A$505,A231,$B$6:$B$505,B231)&gt;1,"Doublon ID",IF(AND(ISNUMBER(J231),J231&lt;E231),"Incohérent",""))))</x:f>
      </x:c>
    </x:row>
    <x:row r="232" ht="23" customHeight="1">
      <x:c r="A232" s="9"/>
      <x:c r="B232" s="9"/>
      <x:c r="C232" s="9"/>
      <x:c r="D232" s="9"/>
      <x:c r="E232" s="11"/>
      <x:c r="F232" s="9"/>
      <x:c r="G232" s="9"/>
      <x:c r="H232" s="9"/>
      <x:c r="I232" s="11"/>
      <x:c r="J232" s="11"/>
      <x:c r="K232" s="9"/>
      <x:c r="L232" s="9"/>
      <x:c r="M232" s="12" t="str">
        <x:f>IF(A232="","",IF(G232="","À compléter",IF(AND(ISNUMBER(J232),J232&lt;='Tableau de bord'!$F$5),"Réalisée",IF(I232="","À compléter",IF(I232&lt;'Tableau de bord'!$F$5,"Retard","À venir")))))</x:f>
      </x:c>
      <x:c r="N232" s="12" t="str">
        <x:f>IF(OR(A232="",I232=""),"",IF(M232="Retard",'Tableau de bord'!$F$5-I232,0))</x:f>
      </x:c>
      <x:c r="O232" s="9"/>
      <x:c r="P232" s="12" t="str">
        <x:f>IF(A232="","",IF(OR(B232="",G232="",H232="",E232=""),"À compléter",IF(COUNTIFS($A$6:$A$505,A232,$B$6:$B$505,B232)&gt;1,"Doublon ID",IF(AND(ISNUMBER(J232),J232&lt;E232),"Incohérent",""))))</x:f>
      </x:c>
    </x:row>
    <x:row r="233" ht="23" customHeight="1">
      <x:c r="A233" s="9"/>
      <x:c r="B233" s="9"/>
      <x:c r="C233" s="9"/>
      <x:c r="D233" s="9"/>
      <x:c r="E233" s="11"/>
      <x:c r="F233" s="9"/>
      <x:c r="G233" s="9"/>
      <x:c r="H233" s="9"/>
      <x:c r="I233" s="11"/>
      <x:c r="J233" s="11"/>
      <x:c r="K233" s="9"/>
      <x:c r="L233" s="9"/>
      <x:c r="M233" s="12" t="str">
        <x:f>IF(A233="","",IF(G233="","À compléter",IF(AND(ISNUMBER(J233),J233&lt;='Tableau de bord'!$F$5),"Réalisée",IF(I233="","À compléter",IF(I233&lt;'Tableau de bord'!$F$5,"Retard","À venir")))))</x:f>
      </x:c>
      <x:c r="N233" s="12" t="str">
        <x:f>IF(OR(A233="",I233=""),"",IF(M233="Retard",'Tableau de bord'!$F$5-I233,0))</x:f>
      </x:c>
      <x:c r="O233" s="9"/>
      <x:c r="P233" s="12" t="str">
        <x:f>IF(A233="","",IF(OR(B233="",G233="",H233="",E233=""),"À compléter",IF(COUNTIFS($A$6:$A$505,A233,$B$6:$B$505,B233)&gt;1,"Doublon ID",IF(AND(ISNUMBER(J233),J233&lt;E233),"Incohérent",""))))</x:f>
      </x:c>
    </x:row>
    <x:row r="234" ht="23" customHeight="1">
      <x:c r="A234" s="9"/>
      <x:c r="B234" s="9"/>
      <x:c r="C234" s="9"/>
      <x:c r="D234" s="9"/>
      <x:c r="E234" s="11"/>
      <x:c r="F234" s="9"/>
      <x:c r="G234" s="9"/>
      <x:c r="H234" s="9"/>
      <x:c r="I234" s="11"/>
      <x:c r="J234" s="11"/>
      <x:c r="K234" s="9"/>
      <x:c r="L234" s="9"/>
      <x:c r="M234" s="12" t="str">
        <x:f>IF(A234="","",IF(G234="","À compléter",IF(AND(ISNUMBER(J234),J234&lt;='Tableau de bord'!$F$5),"Réalisée",IF(I234="","À compléter",IF(I234&lt;'Tableau de bord'!$F$5,"Retard","À venir")))))</x:f>
      </x:c>
      <x:c r="N234" s="12" t="str">
        <x:f>IF(OR(A234="",I234=""),"",IF(M234="Retard",'Tableau de bord'!$F$5-I234,0))</x:f>
      </x:c>
      <x:c r="O234" s="9"/>
      <x:c r="P234" s="12" t="str">
        <x:f>IF(A234="","",IF(OR(B234="",G234="",H234="",E234=""),"À compléter",IF(COUNTIFS($A$6:$A$505,A234,$B$6:$B$505,B234)&gt;1,"Doublon ID",IF(AND(ISNUMBER(J234),J234&lt;E234),"Incohérent",""))))</x:f>
      </x:c>
    </x:row>
    <x:row r="235" ht="23" customHeight="1">
      <x:c r="A235" s="9"/>
      <x:c r="B235" s="9"/>
      <x:c r="C235" s="9"/>
      <x:c r="D235" s="9"/>
      <x:c r="E235" s="11"/>
      <x:c r="F235" s="9"/>
      <x:c r="G235" s="9"/>
      <x:c r="H235" s="9"/>
      <x:c r="I235" s="11"/>
      <x:c r="J235" s="11"/>
      <x:c r="K235" s="9"/>
      <x:c r="L235" s="9"/>
      <x:c r="M235" s="12" t="str">
        <x:f>IF(A235="","",IF(G235="","À compléter",IF(AND(ISNUMBER(J235),J235&lt;='Tableau de bord'!$F$5),"Réalisée",IF(I235="","À compléter",IF(I235&lt;'Tableau de bord'!$F$5,"Retard","À venir")))))</x:f>
      </x:c>
      <x:c r="N235" s="12" t="str">
        <x:f>IF(OR(A235="",I235=""),"",IF(M235="Retard",'Tableau de bord'!$F$5-I235,0))</x:f>
      </x:c>
      <x:c r="O235" s="9"/>
      <x:c r="P235" s="12" t="str">
        <x:f>IF(A235="","",IF(OR(B235="",G235="",H235="",E235=""),"À compléter",IF(COUNTIFS($A$6:$A$505,A235,$B$6:$B$505,B235)&gt;1,"Doublon ID",IF(AND(ISNUMBER(J235),J235&lt;E235),"Incohérent",""))))</x:f>
      </x:c>
    </x:row>
    <x:row r="236" ht="23" customHeight="1">
      <x:c r="A236" s="9"/>
      <x:c r="B236" s="9"/>
      <x:c r="C236" s="9"/>
      <x:c r="D236" s="9"/>
      <x:c r="E236" s="11"/>
      <x:c r="F236" s="9"/>
      <x:c r="G236" s="9"/>
      <x:c r="H236" s="9"/>
      <x:c r="I236" s="11"/>
      <x:c r="J236" s="11"/>
      <x:c r="K236" s="9"/>
      <x:c r="L236" s="9"/>
      <x:c r="M236" s="12" t="str">
        <x:f>IF(A236="","",IF(G236="","À compléter",IF(AND(ISNUMBER(J236),J236&lt;='Tableau de bord'!$F$5),"Réalisée",IF(I236="","À compléter",IF(I236&lt;'Tableau de bord'!$F$5,"Retard","À venir")))))</x:f>
      </x:c>
      <x:c r="N236" s="12" t="str">
        <x:f>IF(OR(A236="",I236=""),"",IF(M236="Retard",'Tableau de bord'!$F$5-I236,0))</x:f>
      </x:c>
      <x:c r="O236" s="9"/>
      <x:c r="P236" s="12" t="str">
        <x:f>IF(A236="","",IF(OR(B236="",G236="",H236="",E236=""),"À compléter",IF(COUNTIFS($A$6:$A$505,A236,$B$6:$B$505,B236)&gt;1,"Doublon ID",IF(AND(ISNUMBER(J236),J236&lt;E236),"Incohérent",""))))</x:f>
      </x:c>
    </x:row>
    <x:row r="237" ht="23" customHeight="1">
      <x:c r="A237" s="9"/>
      <x:c r="B237" s="9"/>
      <x:c r="C237" s="9"/>
      <x:c r="D237" s="9"/>
      <x:c r="E237" s="11"/>
      <x:c r="F237" s="9"/>
      <x:c r="G237" s="9"/>
      <x:c r="H237" s="9"/>
      <x:c r="I237" s="11"/>
      <x:c r="J237" s="11"/>
      <x:c r="K237" s="9"/>
      <x:c r="L237" s="9"/>
      <x:c r="M237" s="12" t="str">
        <x:f>IF(A237="","",IF(G237="","À compléter",IF(AND(ISNUMBER(J237),J237&lt;='Tableau de bord'!$F$5),"Réalisée",IF(I237="","À compléter",IF(I237&lt;'Tableau de bord'!$F$5,"Retard","À venir")))))</x:f>
      </x:c>
      <x:c r="N237" s="12" t="str">
        <x:f>IF(OR(A237="",I237=""),"",IF(M237="Retard",'Tableau de bord'!$F$5-I237,0))</x:f>
      </x:c>
      <x:c r="O237" s="9"/>
      <x:c r="P237" s="12" t="str">
        <x:f>IF(A237="","",IF(OR(B237="",G237="",H237="",E237=""),"À compléter",IF(COUNTIFS($A$6:$A$505,A237,$B$6:$B$505,B237)&gt;1,"Doublon ID",IF(AND(ISNUMBER(J237),J237&lt;E237),"Incohérent",""))))</x:f>
      </x:c>
    </x:row>
    <x:row r="238" ht="23" customHeight="1">
      <x:c r="A238" s="9"/>
      <x:c r="B238" s="9"/>
      <x:c r="C238" s="9"/>
      <x:c r="D238" s="9"/>
      <x:c r="E238" s="11"/>
      <x:c r="F238" s="9"/>
      <x:c r="G238" s="9"/>
      <x:c r="H238" s="9"/>
      <x:c r="I238" s="11"/>
      <x:c r="J238" s="11"/>
      <x:c r="K238" s="9"/>
      <x:c r="L238" s="9"/>
      <x:c r="M238" s="12" t="str">
        <x:f>IF(A238="","",IF(G238="","À compléter",IF(AND(ISNUMBER(J238),J238&lt;='Tableau de bord'!$F$5),"Réalisée",IF(I238="","À compléter",IF(I238&lt;'Tableau de bord'!$F$5,"Retard","À venir")))))</x:f>
      </x:c>
      <x:c r="N238" s="12" t="str">
        <x:f>IF(OR(A238="",I238=""),"",IF(M238="Retard",'Tableau de bord'!$F$5-I238,0))</x:f>
      </x:c>
      <x:c r="O238" s="9"/>
      <x:c r="P238" s="12" t="str">
        <x:f>IF(A238="","",IF(OR(B238="",G238="",H238="",E238=""),"À compléter",IF(COUNTIFS($A$6:$A$505,A238,$B$6:$B$505,B238)&gt;1,"Doublon ID",IF(AND(ISNUMBER(J238),J238&lt;E238),"Incohérent",""))))</x:f>
      </x:c>
    </x:row>
    <x:row r="239" ht="23" customHeight="1">
      <x:c r="A239" s="9"/>
      <x:c r="B239" s="9"/>
      <x:c r="C239" s="9"/>
      <x:c r="D239" s="9"/>
      <x:c r="E239" s="11"/>
      <x:c r="F239" s="9"/>
      <x:c r="G239" s="9"/>
      <x:c r="H239" s="9"/>
      <x:c r="I239" s="11"/>
      <x:c r="J239" s="11"/>
      <x:c r="K239" s="9"/>
      <x:c r="L239" s="9"/>
      <x:c r="M239" s="12" t="str">
        <x:f>IF(A239="","",IF(G239="","À compléter",IF(AND(ISNUMBER(J239),J239&lt;='Tableau de bord'!$F$5),"Réalisée",IF(I239="","À compléter",IF(I239&lt;'Tableau de bord'!$F$5,"Retard","À venir")))))</x:f>
      </x:c>
      <x:c r="N239" s="12" t="str">
        <x:f>IF(OR(A239="",I239=""),"",IF(M239="Retard",'Tableau de bord'!$F$5-I239,0))</x:f>
      </x:c>
      <x:c r="O239" s="9"/>
      <x:c r="P239" s="12" t="str">
        <x:f>IF(A239="","",IF(OR(B239="",G239="",H239="",E239=""),"À compléter",IF(COUNTIFS($A$6:$A$505,A239,$B$6:$B$505,B239)&gt;1,"Doublon ID",IF(AND(ISNUMBER(J239),J239&lt;E239),"Incohérent",""))))</x:f>
      </x:c>
    </x:row>
    <x:row r="240" ht="23" customHeight="1">
      <x:c r="A240" s="9"/>
      <x:c r="B240" s="9"/>
      <x:c r="C240" s="9"/>
      <x:c r="D240" s="9"/>
      <x:c r="E240" s="11"/>
      <x:c r="F240" s="9"/>
      <x:c r="G240" s="9"/>
      <x:c r="H240" s="9"/>
      <x:c r="I240" s="11"/>
      <x:c r="J240" s="11"/>
      <x:c r="K240" s="9"/>
      <x:c r="L240" s="9"/>
      <x:c r="M240" s="12" t="str">
        <x:f>IF(A240="","",IF(G240="","À compléter",IF(AND(ISNUMBER(J240),J240&lt;='Tableau de bord'!$F$5),"Réalisée",IF(I240="","À compléter",IF(I240&lt;'Tableau de bord'!$F$5,"Retard","À venir")))))</x:f>
      </x:c>
      <x:c r="N240" s="12" t="str">
        <x:f>IF(OR(A240="",I240=""),"",IF(M240="Retard",'Tableau de bord'!$F$5-I240,0))</x:f>
      </x:c>
      <x:c r="O240" s="9"/>
      <x:c r="P240" s="12" t="str">
        <x:f>IF(A240="","",IF(OR(B240="",G240="",H240="",E240=""),"À compléter",IF(COUNTIFS($A$6:$A$505,A240,$B$6:$B$505,B240)&gt;1,"Doublon ID",IF(AND(ISNUMBER(J240),J240&lt;E240),"Incohérent",""))))</x:f>
      </x:c>
    </x:row>
    <x:row r="241" ht="23" customHeight="1">
      <x:c r="A241" s="9"/>
      <x:c r="B241" s="9"/>
      <x:c r="C241" s="9"/>
      <x:c r="D241" s="9"/>
      <x:c r="E241" s="11"/>
      <x:c r="F241" s="9"/>
      <x:c r="G241" s="9"/>
      <x:c r="H241" s="9"/>
      <x:c r="I241" s="11"/>
      <x:c r="J241" s="11"/>
      <x:c r="K241" s="9"/>
      <x:c r="L241" s="9"/>
      <x:c r="M241" s="12" t="str">
        <x:f>IF(A241="","",IF(G241="","À compléter",IF(AND(ISNUMBER(J241),J241&lt;='Tableau de bord'!$F$5),"Réalisée",IF(I241="","À compléter",IF(I241&lt;'Tableau de bord'!$F$5,"Retard","À venir")))))</x:f>
      </x:c>
      <x:c r="N241" s="12" t="str">
        <x:f>IF(OR(A241="",I241=""),"",IF(M241="Retard",'Tableau de bord'!$F$5-I241,0))</x:f>
      </x:c>
      <x:c r="O241" s="9"/>
      <x:c r="P241" s="12" t="str">
        <x:f>IF(A241="","",IF(OR(B241="",G241="",H241="",E241=""),"À compléter",IF(COUNTIFS($A$6:$A$505,A241,$B$6:$B$505,B241)&gt;1,"Doublon ID",IF(AND(ISNUMBER(J241),J241&lt;E241),"Incohérent",""))))</x:f>
      </x:c>
    </x:row>
    <x:row r="242" ht="23" customHeight="1">
      <x:c r="A242" s="9"/>
      <x:c r="B242" s="9"/>
      <x:c r="C242" s="9"/>
      <x:c r="D242" s="9"/>
      <x:c r="E242" s="11"/>
      <x:c r="F242" s="9"/>
      <x:c r="G242" s="9"/>
      <x:c r="H242" s="9"/>
      <x:c r="I242" s="11"/>
      <x:c r="J242" s="11"/>
      <x:c r="K242" s="9"/>
      <x:c r="L242" s="9"/>
      <x:c r="M242" s="12" t="str">
        <x:f>IF(A242="","",IF(G242="","À compléter",IF(AND(ISNUMBER(J242),J242&lt;='Tableau de bord'!$F$5),"Réalisée",IF(I242="","À compléter",IF(I242&lt;'Tableau de bord'!$F$5,"Retard","À venir")))))</x:f>
      </x:c>
      <x:c r="N242" s="12" t="str">
        <x:f>IF(OR(A242="",I242=""),"",IF(M242="Retard",'Tableau de bord'!$F$5-I242,0))</x:f>
      </x:c>
      <x:c r="O242" s="9"/>
      <x:c r="P242" s="12" t="str">
        <x:f>IF(A242="","",IF(OR(B242="",G242="",H242="",E242=""),"À compléter",IF(COUNTIFS($A$6:$A$505,A242,$B$6:$B$505,B242)&gt;1,"Doublon ID",IF(AND(ISNUMBER(J242),J242&lt;E242),"Incohérent",""))))</x:f>
      </x:c>
    </x:row>
    <x:row r="243" ht="23" customHeight="1">
      <x:c r="A243" s="9"/>
      <x:c r="B243" s="9"/>
      <x:c r="C243" s="9"/>
      <x:c r="D243" s="9"/>
      <x:c r="E243" s="11"/>
      <x:c r="F243" s="9"/>
      <x:c r="G243" s="9"/>
      <x:c r="H243" s="9"/>
      <x:c r="I243" s="11"/>
      <x:c r="J243" s="11"/>
      <x:c r="K243" s="9"/>
      <x:c r="L243" s="9"/>
      <x:c r="M243" s="12" t="str">
        <x:f>IF(A243="","",IF(G243="","À compléter",IF(AND(ISNUMBER(J243),J243&lt;='Tableau de bord'!$F$5),"Réalisée",IF(I243="","À compléter",IF(I243&lt;'Tableau de bord'!$F$5,"Retard","À venir")))))</x:f>
      </x:c>
      <x:c r="N243" s="12" t="str">
        <x:f>IF(OR(A243="",I243=""),"",IF(M243="Retard",'Tableau de bord'!$F$5-I243,0))</x:f>
      </x:c>
      <x:c r="O243" s="9"/>
      <x:c r="P243" s="12" t="str">
        <x:f>IF(A243="","",IF(OR(B243="",G243="",H243="",E243=""),"À compléter",IF(COUNTIFS($A$6:$A$505,A243,$B$6:$B$505,B243)&gt;1,"Doublon ID",IF(AND(ISNUMBER(J243),J243&lt;E243),"Incohérent",""))))</x:f>
      </x:c>
    </x:row>
    <x:row r="244" ht="23" customHeight="1">
      <x:c r="A244" s="9"/>
      <x:c r="B244" s="9"/>
      <x:c r="C244" s="9"/>
      <x:c r="D244" s="9"/>
      <x:c r="E244" s="11"/>
      <x:c r="F244" s="9"/>
      <x:c r="G244" s="9"/>
      <x:c r="H244" s="9"/>
      <x:c r="I244" s="11"/>
      <x:c r="J244" s="11"/>
      <x:c r="K244" s="9"/>
      <x:c r="L244" s="9"/>
      <x:c r="M244" s="12" t="str">
        <x:f>IF(A244="","",IF(G244="","À compléter",IF(AND(ISNUMBER(J244),J244&lt;='Tableau de bord'!$F$5),"Réalisée",IF(I244="","À compléter",IF(I244&lt;'Tableau de bord'!$F$5,"Retard","À venir")))))</x:f>
      </x:c>
      <x:c r="N244" s="12" t="str">
        <x:f>IF(OR(A244="",I244=""),"",IF(M244="Retard",'Tableau de bord'!$F$5-I244,0))</x:f>
      </x:c>
      <x:c r="O244" s="9"/>
      <x:c r="P244" s="12" t="str">
        <x:f>IF(A244="","",IF(OR(B244="",G244="",H244="",E244=""),"À compléter",IF(COUNTIFS($A$6:$A$505,A244,$B$6:$B$505,B244)&gt;1,"Doublon ID",IF(AND(ISNUMBER(J244),J244&lt;E244),"Incohérent",""))))</x:f>
      </x:c>
    </x:row>
    <x:row r="245" ht="23" customHeight="1">
      <x:c r="A245" s="9"/>
      <x:c r="B245" s="9"/>
      <x:c r="C245" s="9"/>
      <x:c r="D245" s="9"/>
      <x:c r="E245" s="11"/>
      <x:c r="F245" s="9"/>
      <x:c r="G245" s="9"/>
      <x:c r="H245" s="9"/>
      <x:c r="I245" s="11"/>
      <x:c r="J245" s="11"/>
      <x:c r="K245" s="9"/>
      <x:c r="L245" s="9"/>
      <x:c r="M245" s="12" t="str">
        <x:f>IF(A245="","",IF(G245="","À compléter",IF(AND(ISNUMBER(J245),J245&lt;='Tableau de bord'!$F$5),"Réalisée",IF(I245="","À compléter",IF(I245&lt;'Tableau de bord'!$F$5,"Retard","À venir")))))</x:f>
      </x:c>
      <x:c r="N245" s="12" t="str">
        <x:f>IF(OR(A245="",I245=""),"",IF(M245="Retard",'Tableau de bord'!$F$5-I245,0))</x:f>
      </x:c>
      <x:c r="O245" s="9"/>
      <x:c r="P245" s="12" t="str">
        <x:f>IF(A245="","",IF(OR(B245="",G245="",H245="",E245=""),"À compléter",IF(COUNTIFS($A$6:$A$505,A245,$B$6:$B$505,B245)&gt;1,"Doublon ID",IF(AND(ISNUMBER(J245),J245&lt;E245),"Incohérent",""))))</x:f>
      </x:c>
    </x:row>
    <x:row r="246" ht="23" customHeight="1">
      <x:c r="A246" s="9"/>
      <x:c r="B246" s="9"/>
      <x:c r="C246" s="9"/>
      <x:c r="D246" s="9"/>
      <x:c r="E246" s="11"/>
      <x:c r="F246" s="9"/>
      <x:c r="G246" s="9"/>
      <x:c r="H246" s="9"/>
      <x:c r="I246" s="11"/>
      <x:c r="J246" s="11"/>
      <x:c r="K246" s="9"/>
      <x:c r="L246" s="9"/>
      <x:c r="M246" s="12" t="str">
        <x:f>IF(A246="","",IF(G246="","À compléter",IF(AND(ISNUMBER(J246),J246&lt;='Tableau de bord'!$F$5),"Réalisée",IF(I246="","À compléter",IF(I246&lt;'Tableau de bord'!$F$5,"Retard","À venir")))))</x:f>
      </x:c>
      <x:c r="N246" s="12" t="str">
        <x:f>IF(OR(A246="",I246=""),"",IF(M246="Retard",'Tableau de bord'!$F$5-I246,0))</x:f>
      </x:c>
      <x:c r="O246" s="9"/>
      <x:c r="P246" s="12" t="str">
        <x:f>IF(A246="","",IF(OR(B246="",G246="",H246="",E246=""),"À compléter",IF(COUNTIFS($A$6:$A$505,A246,$B$6:$B$505,B246)&gt;1,"Doublon ID",IF(AND(ISNUMBER(J246),J246&lt;E246),"Incohérent",""))))</x:f>
      </x:c>
    </x:row>
    <x:row r="247" ht="23" customHeight="1">
      <x:c r="A247" s="9"/>
      <x:c r="B247" s="9"/>
      <x:c r="C247" s="9"/>
      <x:c r="D247" s="9"/>
      <x:c r="E247" s="11"/>
      <x:c r="F247" s="9"/>
      <x:c r="G247" s="9"/>
      <x:c r="H247" s="9"/>
      <x:c r="I247" s="11"/>
      <x:c r="J247" s="11"/>
      <x:c r="K247" s="9"/>
      <x:c r="L247" s="9"/>
      <x:c r="M247" s="12" t="str">
        <x:f>IF(A247="","",IF(G247="","À compléter",IF(AND(ISNUMBER(J247),J247&lt;='Tableau de bord'!$F$5),"Réalisée",IF(I247="","À compléter",IF(I247&lt;'Tableau de bord'!$F$5,"Retard","À venir")))))</x:f>
      </x:c>
      <x:c r="N247" s="12" t="str">
        <x:f>IF(OR(A247="",I247=""),"",IF(M247="Retard",'Tableau de bord'!$F$5-I247,0))</x:f>
      </x:c>
      <x:c r="O247" s="9"/>
      <x:c r="P247" s="12" t="str">
        <x:f>IF(A247="","",IF(OR(B247="",G247="",H247="",E247=""),"À compléter",IF(COUNTIFS($A$6:$A$505,A247,$B$6:$B$505,B247)&gt;1,"Doublon ID",IF(AND(ISNUMBER(J247),J247&lt;E247),"Incohérent",""))))</x:f>
      </x:c>
    </x:row>
    <x:row r="248" ht="23" customHeight="1">
      <x:c r="A248" s="9"/>
      <x:c r="B248" s="9"/>
      <x:c r="C248" s="9"/>
      <x:c r="D248" s="9"/>
      <x:c r="E248" s="11"/>
      <x:c r="F248" s="9"/>
      <x:c r="G248" s="9"/>
      <x:c r="H248" s="9"/>
      <x:c r="I248" s="11"/>
      <x:c r="J248" s="11"/>
      <x:c r="K248" s="9"/>
      <x:c r="L248" s="9"/>
      <x:c r="M248" s="12" t="str">
        <x:f>IF(A248="","",IF(G248="","À compléter",IF(AND(ISNUMBER(J248),J248&lt;='Tableau de bord'!$F$5),"Réalisée",IF(I248="","À compléter",IF(I248&lt;'Tableau de bord'!$F$5,"Retard","À venir")))))</x:f>
      </x:c>
      <x:c r="N248" s="12" t="str">
        <x:f>IF(OR(A248="",I248=""),"",IF(M248="Retard",'Tableau de bord'!$F$5-I248,0))</x:f>
      </x:c>
      <x:c r="O248" s="9"/>
      <x:c r="P248" s="12" t="str">
        <x:f>IF(A248="","",IF(OR(B248="",G248="",H248="",E248=""),"À compléter",IF(COUNTIFS($A$6:$A$505,A248,$B$6:$B$505,B248)&gt;1,"Doublon ID",IF(AND(ISNUMBER(J248),J248&lt;E248),"Incohérent",""))))</x:f>
      </x:c>
    </x:row>
    <x:row r="249" ht="23" customHeight="1">
      <x:c r="A249" s="9"/>
      <x:c r="B249" s="9"/>
      <x:c r="C249" s="9"/>
      <x:c r="D249" s="9"/>
      <x:c r="E249" s="11"/>
      <x:c r="F249" s="9"/>
      <x:c r="G249" s="9"/>
      <x:c r="H249" s="9"/>
      <x:c r="I249" s="11"/>
      <x:c r="J249" s="11"/>
      <x:c r="K249" s="9"/>
      <x:c r="L249" s="9"/>
      <x:c r="M249" s="12" t="str">
        <x:f>IF(A249="","",IF(G249="","À compléter",IF(AND(ISNUMBER(J249),J249&lt;='Tableau de bord'!$F$5),"Réalisée",IF(I249="","À compléter",IF(I249&lt;'Tableau de bord'!$F$5,"Retard","À venir")))))</x:f>
      </x:c>
      <x:c r="N249" s="12" t="str">
        <x:f>IF(OR(A249="",I249=""),"",IF(M249="Retard",'Tableau de bord'!$F$5-I249,0))</x:f>
      </x:c>
      <x:c r="O249" s="9"/>
      <x:c r="P249" s="12" t="str">
        <x:f>IF(A249="","",IF(OR(B249="",G249="",H249="",E249=""),"À compléter",IF(COUNTIFS($A$6:$A$505,A249,$B$6:$B$505,B249)&gt;1,"Doublon ID",IF(AND(ISNUMBER(J249),J249&lt;E249),"Incohérent",""))))</x:f>
      </x:c>
    </x:row>
    <x:row r="250" ht="23" customHeight="1">
      <x:c r="A250" s="9"/>
      <x:c r="B250" s="9"/>
      <x:c r="C250" s="9"/>
      <x:c r="D250" s="9"/>
      <x:c r="E250" s="11"/>
      <x:c r="F250" s="9"/>
      <x:c r="G250" s="9"/>
      <x:c r="H250" s="9"/>
      <x:c r="I250" s="11"/>
      <x:c r="J250" s="11"/>
      <x:c r="K250" s="9"/>
      <x:c r="L250" s="9"/>
      <x:c r="M250" s="12" t="str">
        <x:f>IF(A250="","",IF(G250="","À compléter",IF(AND(ISNUMBER(J250),J250&lt;='Tableau de bord'!$F$5),"Réalisée",IF(I250="","À compléter",IF(I250&lt;'Tableau de bord'!$F$5,"Retard","À venir")))))</x:f>
      </x:c>
      <x:c r="N250" s="12" t="str">
        <x:f>IF(OR(A250="",I250=""),"",IF(M250="Retard",'Tableau de bord'!$F$5-I250,0))</x:f>
      </x:c>
      <x:c r="O250" s="9"/>
      <x:c r="P250" s="12" t="str">
        <x:f>IF(A250="","",IF(OR(B250="",G250="",H250="",E250=""),"À compléter",IF(COUNTIFS($A$6:$A$505,A250,$B$6:$B$505,B250)&gt;1,"Doublon ID",IF(AND(ISNUMBER(J250),J250&lt;E250),"Incohérent",""))))</x:f>
      </x:c>
    </x:row>
    <x:row r="251" ht="23" customHeight="1">
      <x:c r="A251" s="9"/>
      <x:c r="B251" s="9"/>
      <x:c r="C251" s="9"/>
      <x:c r="D251" s="9"/>
      <x:c r="E251" s="11"/>
      <x:c r="F251" s="9"/>
      <x:c r="G251" s="9"/>
      <x:c r="H251" s="9"/>
      <x:c r="I251" s="11"/>
      <x:c r="J251" s="11"/>
      <x:c r="K251" s="9"/>
      <x:c r="L251" s="9"/>
      <x:c r="M251" s="12" t="str">
        <x:f>IF(A251="","",IF(G251="","À compléter",IF(AND(ISNUMBER(J251),J251&lt;='Tableau de bord'!$F$5),"Réalisée",IF(I251="","À compléter",IF(I251&lt;'Tableau de bord'!$F$5,"Retard","À venir")))))</x:f>
      </x:c>
      <x:c r="N251" s="12" t="str">
        <x:f>IF(OR(A251="",I251=""),"",IF(M251="Retard",'Tableau de bord'!$F$5-I251,0))</x:f>
      </x:c>
      <x:c r="O251" s="9"/>
      <x:c r="P251" s="12" t="str">
        <x:f>IF(A251="","",IF(OR(B251="",G251="",H251="",E251=""),"À compléter",IF(COUNTIFS($A$6:$A$505,A251,$B$6:$B$505,B251)&gt;1,"Doublon ID",IF(AND(ISNUMBER(J251),J251&lt;E251),"Incohérent",""))))</x:f>
      </x:c>
    </x:row>
    <x:row r="252" ht="23" customHeight="1">
      <x:c r="A252" s="9"/>
      <x:c r="B252" s="9"/>
      <x:c r="C252" s="9"/>
      <x:c r="D252" s="9"/>
      <x:c r="E252" s="11"/>
      <x:c r="F252" s="9"/>
      <x:c r="G252" s="9"/>
      <x:c r="H252" s="9"/>
      <x:c r="I252" s="11"/>
      <x:c r="J252" s="11"/>
      <x:c r="K252" s="9"/>
      <x:c r="L252" s="9"/>
      <x:c r="M252" s="12" t="str">
        <x:f>IF(A252="","",IF(G252="","À compléter",IF(AND(ISNUMBER(J252),J252&lt;='Tableau de bord'!$F$5),"Réalisée",IF(I252="","À compléter",IF(I252&lt;'Tableau de bord'!$F$5,"Retard","À venir")))))</x:f>
      </x:c>
      <x:c r="N252" s="12" t="str">
        <x:f>IF(OR(A252="",I252=""),"",IF(M252="Retard",'Tableau de bord'!$F$5-I252,0))</x:f>
      </x:c>
      <x:c r="O252" s="9"/>
      <x:c r="P252" s="12" t="str">
        <x:f>IF(A252="","",IF(OR(B252="",G252="",H252="",E252=""),"À compléter",IF(COUNTIFS($A$6:$A$505,A252,$B$6:$B$505,B252)&gt;1,"Doublon ID",IF(AND(ISNUMBER(J252),J252&lt;E252),"Incohérent",""))))</x:f>
      </x:c>
    </x:row>
    <x:row r="253" ht="23" customHeight="1">
      <x:c r="A253" s="9"/>
      <x:c r="B253" s="9"/>
      <x:c r="C253" s="9"/>
      <x:c r="D253" s="9"/>
      <x:c r="E253" s="11"/>
      <x:c r="F253" s="9"/>
      <x:c r="G253" s="9"/>
      <x:c r="H253" s="9"/>
      <x:c r="I253" s="11"/>
      <x:c r="J253" s="11"/>
      <x:c r="K253" s="9"/>
      <x:c r="L253" s="9"/>
      <x:c r="M253" s="12" t="str">
        <x:f>IF(A253="","",IF(G253="","À compléter",IF(AND(ISNUMBER(J253),J253&lt;='Tableau de bord'!$F$5),"Réalisée",IF(I253="","À compléter",IF(I253&lt;'Tableau de bord'!$F$5,"Retard","À venir")))))</x:f>
      </x:c>
      <x:c r="N253" s="12" t="str">
        <x:f>IF(OR(A253="",I253=""),"",IF(M253="Retard",'Tableau de bord'!$F$5-I253,0))</x:f>
      </x:c>
      <x:c r="O253" s="9"/>
      <x:c r="P253" s="12" t="str">
        <x:f>IF(A253="","",IF(OR(B253="",G253="",H253="",E253=""),"À compléter",IF(COUNTIFS($A$6:$A$505,A253,$B$6:$B$505,B253)&gt;1,"Doublon ID",IF(AND(ISNUMBER(J253),J253&lt;E253),"Incohérent",""))))</x:f>
      </x:c>
    </x:row>
    <x:row r="254" ht="23" customHeight="1">
      <x:c r="A254" s="9"/>
      <x:c r="B254" s="9"/>
      <x:c r="C254" s="9"/>
      <x:c r="D254" s="9"/>
      <x:c r="E254" s="11"/>
      <x:c r="F254" s="9"/>
      <x:c r="G254" s="9"/>
      <x:c r="H254" s="9"/>
      <x:c r="I254" s="11"/>
      <x:c r="J254" s="11"/>
      <x:c r="K254" s="9"/>
      <x:c r="L254" s="9"/>
      <x:c r="M254" s="12" t="str">
        <x:f>IF(A254="","",IF(G254="","À compléter",IF(AND(ISNUMBER(J254),J254&lt;='Tableau de bord'!$F$5),"Réalisée",IF(I254="","À compléter",IF(I254&lt;'Tableau de bord'!$F$5,"Retard","À venir")))))</x:f>
      </x:c>
      <x:c r="N254" s="12" t="str">
        <x:f>IF(OR(A254="",I254=""),"",IF(M254="Retard",'Tableau de bord'!$F$5-I254,0))</x:f>
      </x:c>
      <x:c r="O254" s="9"/>
      <x:c r="P254" s="12" t="str">
        <x:f>IF(A254="","",IF(OR(B254="",G254="",H254="",E254=""),"À compléter",IF(COUNTIFS($A$6:$A$505,A254,$B$6:$B$505,B254)&gt;1,"Doublon ID",IF(AND(ISNUMBER(J254),J254&lt;E254),"Incohérent",""))))</x:f>
      </x:c>
    </x:row>
    <x:row r="255" ht="23" customHeight="1">
      <x:c r="A255" s="9"/>
      <x:c r="B255" s="9"/>
      <x:c r="C255" s="9"/>
      <x:c r="D255" s="9"/>
      <x:c r="E255" s="11"/>
      <x:c r="F255" s="9"/>
      <x:c r="G255" s="9"/>
      <x:c r="H255" s="9"/>
      <x:c r="I255" s="11"/>
      <x:c r="J255" s="11"/>
      <x:c r="K255" s="9"/>
      <x:c r="L255" s="9"/>
      <x:c r="M255" s="12" t="str">
        <x:f>IF(A255="","",IF(G255="","À compléter",IF(AND(ISNUMBER(J255),J255&lt;='Tableau de bord'!$F$5),"Réalisée",IF(I255="","À compléter",IF(I255&lt;'Tableau de bord'!$F$5,"Retard","À venir")))))</x:f>
      </x:c>
      <x:c r="N255" s="12" t="str">
        <x:f>IF(OR(A255="",I255=""),"",IF(M255="Retard",'Tableau de bord'!$F$5-I255,0))</x:f>
      </x:c>
      <x:c r="O255" s="9"/>
      <x:c r="P255" s="12" t="str">
        <x:f>IF(A255="","",IF(OR(B255="",G255="",H255="",E255=""),"À compléter",IF(COUNTIFS($A$6:$A$505,A255,$B$6:$B$505,B255)&gt;1,"Doublon ID",IF(AND(ISNUMBER(J255),J255&lt;E255),"Incohérent",""))))</x:f>
      </x:c>
    </x:row>
    <x:row r="256" ht="23" customHeight="1">
      <x:c r="A256" s="9"/>
      <x:c r="B256" s="9"/>
      <x:c r="C256" s="9"/>
      <x:c r="D256" s="9"/>
      <x:c r="E256" s="11"/>
      <x:c r="F256" s="9"/>
      <x:c r="G256" s="9"/>
      <x:c r="H256" s="9"/>
      <x:c r="I256" s="11"/>
      <x:c r="J256" s="11"/>
      <x:c r="K256" s="9"/>
      <x:c r="L256" s="9"/>
      <x:c r="M256" s="12" t="str">
        <x:f>IF(A256="","",IF(G256="","À compléter",IF(AND(ISNUMBER(J256),J256&lt;='Tableau de bord'!$F$5),"Réalisée",IF(I256="","À compléter",IF(I256&lt;'Tableau de bord'!$F$5,"Retard","À venir")))))</x:f>
      </x:c>
      <x:c r="N256" s="12" t="str">
        <x:f>IF(OR(A256="",I256=""),"",IF(M256="Retard",'Tableau de bord'!$F$5-I256,0))</x:f>
      </x:c>
      <x:c r="O256" s="9"/>
      <x:c r="P256" s="12" t="str">
        <x:f>IF(A256="","",IF(OR(B256="",G256="",H256="",E256=""),"À compléter",IF(COUNTIFS($A$6:$A$505,A256,$B$6:$B$505,B256)&gt;1,"Doublon ID",IF(AND(ISNUMBER(J256),J256&lt;E256),"Incohérent",""))))</x:f>
      </x:c>
    </x:row>
    <x:row r="257" ht="23" customHeight="1">
      <x:c r="A257" s="9"/>
      <x:c r="B257" s="9"/>
      <x:c r="C257" s="9"/>
      <x:c r="D257" s="9"/>
      <x:c r="E257" s="11"/>
      <x:c r="F257" s="9"/>
      <x:c r="G257" s="9"/>
      <x:c r="H257" s="9"/>
      <x:c r="I257" s="11"/>
      <x:c r="J257" s="11"/>
      <x:c r="K257" s="9"/>
      <x:c r="L257" s="9"/>
      <x:c r="M257" s="12" t="str">
        <x:f>IF(A257="","",IF(G257="","À compléter",IF(AND(ISNUMBER(J257),J257&lt;='Tableau de bord'!$F$5),"Réalisée",IF(I257="","À compléter",IF(I257&lt;'Tableau de bord'!$F$5,"Retard","À venir")))))</x:f>
      </x:c>
      <x:c r="N257" s="12" t="str">
        <x:f>IF(OR(A257="",I257=""),"",IF(M257="Retard",'Tableau de bord'!$F$5-I257,0))</x:f>
      </x:c>
      <x:c r="O257" s="9"/>
      <x:c r="P257" s="12" t="str">
        <x:f>IF(A257="","",IF(OR(B257="",G257="",H257="",E257=""),"À compléter",IF(COUNTIFS($A$6:$A$505,A257,$B$6:$B$505,B257)&gt;1,"Doublon ID",IF(AND(ISNUMBER(J257),J257&lt;E257),"Incohérent",""))))</x:f>
      </x:c>
    </x:row>
    <x:row r="258" ht="23" customHeight="1">
      <x:c r="A258" s="9"/>
      <x:c r="B258" s="9"/>
      <x:c r="C258" s="9"/>
      <x:c r="D258" s="9"/>
      <x:c r="E258" s="11"/>
      <x:c r="F258" s="9"/>
      <x:c r="G258" s="9"/>
      <x:c r="H258" s="9"/>
      <x:c r="I258" s="11"/>
      <x:c r="J258" s="11"/>
      <x:c r="K258" s="9"/>
      <x:c r="L258" s="9"/>
      <x:c r="M258" s="12" t="str">
        <x:f>IF(A258="","",IF(G258="","À compléter",IF(AND(ISNUMBER(J258),J258&lt;='Tableau de bord'!$F$5),"Réalisée",IF(I258="","À compléter",IF(I258&lt;'Tableau de bord'!$F$5,"Retard","À venir")))))</x:f>
      </x:c>
      <x:c r="N258" s="12" t="str">
        <x:f>IF(OR(A258="",I258=""),"",IF(M258="Retard",'Tableau de bord'!$F$5-I258,0))</x:f>
      </x:c>
      <x:c r="O258" s="9"/>
      <x:c r="P258" s="12" t="str">
        <x:f>IF(A258="","",IF(OR(B258="",G258="",H258="",E258=""),"À compléter",IF(COUNTIFS($A$6:$A$505,A258,$B$6:$B$505,B258)&gt;1,"Doublon ID",IF(AND(ISNUMBER(J258),J258&lt;E258),"Incohérent",""))))</x:f>
      </x:c>
    </x:row>
    <x:row r="259" ht="23" customHeight="1">
      <x:c r="A259" s="9"/>
      <x:c r="B259" s="9"/>
      <x:c r="C259" s="9"/>
      <x:c r="D259" s="9"/>
      <x:c r="E259" s="11"/>
      <x:c r="F259" s="9"/>
      <x:c r="G259" s="9"/>
      <x:c r="H259" s="9"/>
      <x:c r="I259" s="11"/>
      <x:c r="J259" s="11"/>
      <x:c r="K259" s="9"/>
      <x:c r="L259" s="9"/>
      <x:c r="M259" s="12" t="str">
        <x:f>IF(A259="","",IF(G259="","À compléter",IF(AND(ISNUMBER(J259),J259&lt;='Tableau de bord'!$F$5),"Réalisée",IF(I259="","À compléter",IF(I259&lt;'Tableau de bord'!$F$5,"Retard","À venir")))))</x:f>
      </x:c>
      <x:c r="N259" s="12" t="str">
        <x:f>IF(OR(A259="",I259=""),"",IF(M259="Retard",'Tableau de bord'!$F$5-I259,0))</x:f>
      </x:c>
      <x:c r="O259" s="9"/>
      <x:c r="P259" s="12" t="str">
        <x:f>IF(A259="","",IF(OR(B259="",G259="",H259="",E259=""),"À compléter",IF(COUNTIFS($A$6:$A$505,A259,$B$6:$B$505,B259)&gt;1,"Doublon ID",IF(AND(ISNUMBER(J259),J259&lt;E259),"Incohérent",""))))</x:f>
      </x:c>
    </x:row>
    <x:row r="260" ht="23" customHeight="1">
      <x:c r="A260" s="9"/>
      <x:c r="B260" s="9"/>
      <x:c r="C260" s="9"/>
      <x:c r="D260" s="9"/>
      <x:c r="E260" s="11"/>
      <x:c r="F260" s="9"/>
      <x:c r="G260" s="9"/>
      <x:c r="H260" s="9"/>
      <x:c r="I260" s="11"/>
      <x:c r="J260" s="11"/>
      <x:c r="K260" s="9"/>
      <x:c r="L260" s="9"/>
      <x:c r="M260" s="12" t="str">
        <x:f>IF(A260="","",IF(G260="","À compléter",IF(AND(ISNUMBER(J260),J260&lt;='Tableau de bord'!$F$5),"Réalisée",IF(I260="","À compléter",IF(I260&lt;'Tableau de bord'!$F$5,"Retard","À venir")))))</x:f>
      </x:c>
      <x:c r="N260" s="12" t="str">
        <x:f>IF(OR(A260="",I260=""),"",IF(M260="Retard",'Tableau de bord'!$F$5-I260,0))</x:f>
      </x:c>
      <x:c r="O260" s="9"/>
      <x:c r="P260" s="12" t="str">
        <x:f>IF(A260="","",IF(OR(B260="",G260="",H260="",E260=""),"À compléter",IF(COUNTIFS($A$6:$A$505,A260,$B$6:$B$505,B260)&gt;1,"Doublon ID",IF(AND(ISNUMBER(J260),J260&lt;E260),"Incohérent",""))))</x:f>
      </x:c>
    </x:row>
    <x:row r="261" ht="23" customHeight="1">
      <x:c r="A261" s="9"/>
      <x:c r="B261" s="9"/>
      <x:c r="C261" s="9"/>
      <x:c r="D261" s="9"/>
      <x:c r="E261" s="11"/>
      <x:c r="F261" s="9"/>
      <x:c r="G261" s="9"/>
      <x:c r="H261" s="9"/>
      <x:c r="I261" s="11"/>
      <x:c r="J261" s="11"/>
      <x:c r="K261" s="9"/>
      <x:c r="L261" s="9"/>
      <x:c r="M261" s="12" t="str">
        <x:f>IF(A261="","",IF(G261="","À compléter",IF(AND(ISNUMBER(J261),J261&lt;='Tableau de bord'!$F$5),"Réalisée",IF(I261="","À compléter",IF(I261&lt;'Tableau de bord'!$F$5,"Retard","À venir")))))</x:f>
      </x:c>
      <x:c r="N261" s="12" t="str">
        <x:f>IF(OR(A261="",I261=""),"",IF(M261="Retard",'Tableau de bord'!$F$5-I261,0))</x:f>
      </x:c>
      <x:c r="O261" s="9"/>
      <x:c r="P261" s="12" t="str">
        <x:f>IF(A261="","",IF(OR(B261="",G261="",H261="",E261=""),"À compléter",IF(COUNTIFS($A$6:$A$505,A261,$B$6:$B$505,B261)&gt;1,"Doublon ID",IF(AND(ISNUMBER(J261),J261&lt;E261),"Incohérent",""))))</x:f>
      </x:c>
    </x:row>
    <x:row r="262" ht="23" customHeight="1">
      <x:c r="A262" s="9"/>
      <x:c r="B262" s="9"/>
      <x:c r="C262" s="9"/>
      <x:c r="D262" s="9"/>
      <x:c r="E262" s="11"/>
      <x:c r="F262" s="9"/>
      <x:c r="G262" s="9"/>
      <x:c r="H262" s="9"/>
      <x:c r="I262" s="11"/>
      <x:c r="J262" s="11"/>
      <x:c r="K262" s="9"/>
      <x:c r="L262" s="9"/>
      <x:c r="M262" s="12" t="str">
        <x:f>IF(A262="","",IF(G262="","À compléter",IF(AND(ISNUMBER(J262),J262&lt;='Tableau de bord'!$F$5),"Réalisée",IF(I262="","À compléter",IF(I262&lt;'Tableau de bord'!$F$5,"Retard","À venir")))))</x:f>
      </x:c>
      <x:c r="N262" s="12" t="str">
        <x:f>IF(OR(A262="",I262=""),"",IF(M262="Retard",'Tableau de bord'!$F$5-I262,0))</x:f>
      </x:c>
      <x:c r="O262" s="9"/>
      <x:c r="P262" s="12" t="str">
        <x:f>IF(A262="","",IF(OR(B262="",G262="",H262="",E262=""),"À compléter",IF(COUNTIFS($A$6:$A$505,A262,$B$6:$B$505,B262)&gt;1,"Doublon ID",IF(AND(ISNUMBER(J262),J262&lt;E262),"Incohérent",""))))</x:f>
      </x:c>
    </x:row>
    <x:row r="263" ht="23" customHeight="1">
      <x:c r="A263" s="9"/>
      <x:c r="B263" s="9"/>
      <x:c r="C263" s="9"/>
      <x:c r="D263" s="9"/>
      <x:c r="E263" s="11"/>
      <x:c r="F263" s="9"/>
      <x:c r="G263" s="9"/>
      <x:c r="H263" s="9"/>
      <x:c r="I263" s="11"/>
      <x:c r="J263" s="11"/>
      <x:c r="K263" s="9"/>
      <x:c r="L263" s="9"/>
      <x:c r="M263" s="12" t="str">
        <x:f>IF(A263="","",IF(G263="","À compléter",IF(AND(ISNUMBER(J263),J263&lt;='Tableau de bord'!$F$5),"Réalisée",IF(I263="","À compléter",IF(I263&lt;'Tableau de bord'!$F$5,"Retard","À venir")))))</x:f>
      </x:c>
      <x:c r="N263" s="12" t="str">
        <x:f>IF(OR(A263="",I263=""),"",IF(M263="Retard",'Tableau de bord'!$F$5-I263,0))</x:f>
      </x:c>
      <x:c r="O263" s="9"/>
      <x:c r="P263" s="12" t="str">
        <x:f>IF(A263="","",IF(OR(B263="",G263="",H263="",E263=""),"À compléter",IF(COUNTIFS($A$6:$A$505,A263,$B$6:$B$505,B263)&gt;1,"Doublon ID",IF(AND(ISNUMBER(J263),J263&lt;E263),"Incohérent",""))))</x:f>
      </x:c>
    </x:row>
    <x:row r="264" ht="23" customHeight="1">
      <x:c r="A264" s="9"/>
      <x:c r="B264" s="9"/>
      <x:c r="C264" s="9"/>
      <x:c r="D264" s="9"/>
      <x:c r="E264" s="11"/>
      <x:c r="F264" s="9"/>
      <x:c r="G264" s="9"/>
      <x:c r="H264" s="9"/>
      <x:c r="I264" s="11"/>
      <x:c r="J264" s="11"/>
      <x:c r="K264" s="9"/>
      <x:c r="L264" s="9"/>
      <x:c r="M264" s="12" t="str">
        <x:f>IF(A264="","",IF(G264="","À compléter",IF(AND(ISNUMBER(J264),J264&lt;='Tableau de bord'!$F$5),"Réalisée",IF(I264="","À compléter",IF(I264&lt;'Tableau de bord'!$F$5,"Retard","À venir")))))</x:f>
      </x:c>
      <x:c r="N264" s="12" t="str">
        <x:f>IF(OR(A264="",I264=""),"",IF(M264="Retard",'Tableau de bord'!$F$5-I264,0))</x:f>
      </x:c>
      <x:c r="O264" s="9"/>
      <x:c r="P264" s="12" t="str">
        <x:f>IF(A264="","",IF(OR(B264="",G264="",H264="",E264=""),"À compléter",IF(COUNTIFS($A$6:$A$505,A264,$B$6:$B$505,B264)&gt;1,"Doublon ID",IF(AND(ISNUMBER(J264),J264&lt;E264),"Incohérent",""))))</x:f>
      </x:c>
    </x:row>
    <x:row r="265" ht="23" customHeight="1">
      <x:c r="A265" s="9"/>
      <x:c r="B265" s="9"/>
      <x:c r="C265" s="9"/>
      <x:c r="D265" s="9"/>
      <x:c r="E265" s="11"/>
      <x:c r="F265" s="9"/>
      <x:c r="G265" s="9"/>
      <x:c r="H265" s="9"/>
      <x:c r="I265" s="11"/>
      <x:c r="J265" s="11"/>
      <x:c r="K265" s="9"/>
      <x:c r="L265" s="9"/>
      <x:c r="M265" s="12" t="str">
        <x:f>IF(A265="","",IF(G265="","À compléter",IF(AND(ISNUMBER(J265),J265&lt;='Tableau de bord'!$F$5),"Réalisée",IF(I265="","À compléter",IF(I265&lt;'Tableau de bord'!$F$5,"Retard","À venir")))))</x:f>
      </x:c>
      <x:c r="N265" s="12" t="str">
        <x:f>IF(OR(A265="",I265=""),"",IF(M265="Retard",'Tableau de bord'!$F$5-I265,0))</x:f>
      </x:c>
      <x:c r="O265" s="9"/>
      <x:c r="P265" s="12" t="str">
        <x:f>IF(A265="","",IF(OR(B265="",G265="",H265="",E265=""),"À compléter",IF(COUNTIFS($A$6:$A$505,A265,$B$6:$B$505,B265)&gt;1,"Doublon ID",IF(AND(ISNUMBER(J265),J265&lt;E265),"Incohérent",""))))</x:f>
      </x:c>
    </x:row>
    <x:row r="266" ht="23" customHeight="1">
      <x:c r="A266" s="9"/>
      <x:c r="B266" s="9"/>
      <x:c r="C266" s="9"/>
      <x:c r="D266" s="9"/>
      <x:c r="E266" s="11"/>
      <x:c r="F266" s="9"/>
      <x:c r="G266" s="9"/>
      <x:c r="H266" s="9"/>
      <x:c r="I266" s="11"/>
      <x:c r="J266" s="11"/>
      <x:c r="K266" s="9"/>
      <x:c r="L266" s="9"/>
      <x:c r="M266" s="12" t="str">
        <x:f>IF(A266="","",IF(G266="","À compléter",IF(AND(ISNUMBER(J266),J266&lt;='Tableau de bord'!$F$5),"Réalisée",IF(I266="","À compléter",IF(I266&lt;'Tableau de bord'!$F$5,"Retard","À venir")))))</x:f>
      </x:c>
      <x:c r="N266" s="12" t="str">
        <x:f>IF(OR(A266="",I266=""),"",IF(M266="Retard",'Tableau de bord'!$F$5-I266,0))</x:f>
      </x:c>
      <x:c r="O266" s="9"/>
      <x:c r="P266" s="12" t="str">
        <x:f>IF(A266="","",IF(OR(B266="",G266="",H266="",E266=""),"À compléter",IF(COUNTIFS($A$6:$A$505,A266,$B$6:$B$505,B266)&gt;1,"Doublon ID",IF(AND(ISNUMBER(J266),J266&lt;E266),"Incohérent",""))))</x:f>
      </x:c>
    </x:row>
    <x:row r="267" ht="23" customHeight="1">
      <x:c r="A267" s="9"/>
      <x:c r="B267" s="9"/>
      <x:c r="C267" s="9"/>
      <x:c r="D267" s="9"/>
      <x:c r="E267" s="11"/>
      <x:c r="F267" s="9"/>
      <x:c r="G267" s="9"/>
      <x:c r="H267" s="9"/>
      <x:c r="I267" s="11"/>
      <x:c r="J267" s="11"/>
      <x:c r="K267" s="9"/>
      <x:c r="L267" s="9"/>
      <x:c r="M267" s="12" t="str">
        <x:f>IF(A267="","",IF(G267="","À compléter",IF(AND(ISNUMBER(J267),J267&lt;='Tableau de bord'!$F$5),"Réalisée",IF(I267="","À compléter",IF(I267&lt;'Tableau de bord'!$F$5,"Retard","À venir")))))</x:f>
      </x:c>
      <x:c r="N267" s="12" t="str">
        <x:f>IF(OR(A267="",I267=""),"",IF(M267="Retard",'Tableau de bord'!$F$5-I267,0))</x:f>
      </x:c>
      <x:c r="O267" s="9"/>
      <x:c r="P267" s="12" t="str">
        <x:f>IF(A267="","",IF(OR(B267="",G267="",H267="",E267=""),"À compléter",IF(COUNTIFS($A$6:$A$505,A267,$B$6:$B$505,B267)&gt;1,"Doublon ID",IF(AND(ISNUMBER(J267),J267&lt;E267),"Incohérent",""))))</x:f>
      </x:c>
    </x:row>
    <x:row r="268" ht="23" customHeight="1">
      <x:c r="A268" s="9"/>
      <x:c r="B268" s="9"/>
      <x:c r="C268" s="9"/>
      <x:c r="D268" s="9"/>
      <x:c r="E268" s="11"/>
      <x:c r="F268" s="9"/>
      <x:c r="G268" s="9"/>
      <x:c r="H268" s="9"/>
      <x:c r="I268" s="11"/>
      <x:c r="J268" s="11"/>
      <x:c r="K268" s="9"/>
      <x:c r="L268" s="9"/>
      <x:c r="M268" s="12" t="str">
        <x:f>IF(A268="","",IF(G268="","À compléter",IF(AND(ISNUMBER(J268),J268&lt;='Tableau de bord'!$F$5),"Réalisée",IF(I268="","À compléter",IF(I268&lt;'Tableau de bord'!$F$5,"Retard","À venir")))))</x:f>
      </x:c>
      <x:c r="N268" s="12" t="str">
        <x:f>IF(OR(A268="",I268=""),"",IF(M268="Retard",'Tableau de bord'!$F$5-I268,0))</x:f>
      </x:c>
      <x:c r="O268" s="9"/>
      <x:c r="P268" s="12" t="str">
        <x:f>IF(A268="","",IF(OR(B268="",G268="",H268="",E268=""),"À compléter",IF(COUNTIFS($A$6:$A$505,A268,$B$6:$B$505,B268)&gt;1,"Doublon ID",IF(AND(ISNUMBER(J268),J268&lt;E268),"Incohérent",""))))</x:f>
      </x:c>
    </x:row>
    <x:row r="269" ht="23" customHeight="1">
      <x:c r="A269" s="9"/>
      <x:c r="B269" s="9"/>
      <x:c r="C269" s="9"/>
      <x:c r="D269" s="9"/>
      <x:c r="E269" s="11"/>
      <x:c r="F269" s="9"/>
      <x:c r="G269" s="9"/>
      <x:c r="H269" s="9"/>
      <x:c r="I269" s="11"/>
      <x:c r="J269" s="11"/>
      <x:c r="K269" s="9"/>
      <x:c r="L269" s="9"/>
      <x:c r="M269" s="12" t="str">
        <x:f>IF(A269="","",IF(G269="","À compléter",IF(AND(ISNUMBER(J269),J269&lt;='Tableau de bord'!$F$5),"Réalisée",IF(I269="","À compléter",IF(I269&lt;'Tableau de bord'!$F$5,"Retard","À venir")))))</x:f>
      </x:c>
      <x:c r="N269" s="12" t="str">
        <x:f>IF(OR(A269="",I269=""),"",IF(M269="Retard",'Tableau de bord'!$F$5-I269,0))</x:f>
      </x:c>
      <x:c r="O269" s="9"/>
      <x:c r="P269" s="12" t="str">
        <x:f>IF(A269="","",IF(OR(B269="",G269="",H269="",E269=""),"À compléter",IF(COUNTIFS($A$6:$A$505,A269,$B$6:$B$505,B269)&gt;1,"Doublon ID",IF(AND(ISNUMBER(J269),J269&lt;E269),"Incohérent",""))))</x:f>
      </x:c>
    </x:row>
    <x:row r="270" ht="23" customHeight="1">
      <x:c r="A270" s="9"/>
      <x:c r="B270" s="9"/>
      <x:c r="C270" s="9"/>
      <x:c r="D270" s="9"/>
      <x:c r="E270" s="11"/>
      <x:c r="F270" s="9"/>
      <x:c r="G270" s="9"/>
      <x:c r="H270" s="9"/>
      <x:c r="I270" s="11"/>
      <x:c r="J270" s="11"/>
      <x:c r="K270" s="9"/>
      <x:c r="L270" s="9"/>
      <x:c r="M270" s="12" t="str">
        <x:f>IF(A270="","",IF(G270="","À compléter",IF(AND(ISNUMBER(J270),J270&lt;='Tableau de bord'!$F$5),"Réalisée",IF(I270="","À compléter",IF(I270&lt;'Tableau de bord'!$F$5,"Retard","À venir")))))</x:f>
      </x:c>
      <x:c r="N270" s="12" t="str">
        <x:f>IF(OR(A270="",I270=""),"",IF(M270="Retard",'Tableau de bord'!$F$5-I270,0))</x:f>
      </x:c>
      <x:c r="O270" s="9"/>
      <x:c r="P270" s="12" t="str">
        <x:f>IF(A270="","",IF(OR(B270="",G270="",H270="",E270=""),"À compléter",IF(COUNTIFS($A$6:$A$505,A270,$B$6:$B$505,B270)&gt;1,"Doublon ID",IF(AND(ISNUMBER(J270),J270&lt;E270),"Incohérent",""))))</x:f>
      </x:c>
    </x:row>
    <x:row r="271" ht="23" customHeight="1">
      <x:c r="A271" s="9"/>
      <x:c r="B271" s="9"/>
      <x:c r="C271" s="9"/>
      <x:c r="D271" s="9"/>
      <x:c r="E271" s="11"/>
      <x:c r="F271" s="9"/>
      <x:c r="G271" s="9"/>
      <x:c r="H271" s="9"/>
      <x:c r="I271" s="11"/>
      <x:c r="J271" s="11"/>
      <x:c r="K271" s="9"/>
      <x:c r="L271" s="9"/>
      <x:c r="M271" s="12" t="str">
        <x:f>IF(A271="","",IF(G271="","À compléter",IF(AND(ISNUMBER(J271),J271&lt;='Tableau de bord'!$F$5),"Réalisée",IF(I271="","À compléter",IF(I271&lt;'Tableau de bord'!$F$5,"Retard","À venir")))))</x:f>
      </x:c>
      <x:c r="N271" s="12" t="str">
        <x:f>IF(OR(A271="",I271=""),"",IF(M271="Retard",'Tableau de bord'!$F$5-I271,0))</x:f>
      </x:c>
      <x:c r="O271" s="9"/>
      <x:c r="P271" s="12" t="str">
        <x:f>IF(A271="","",IF(OR(B271="",G271="",H271="",E271=""),"À compléter",IF(COUNTIFS($A$6:$A$505,A271,$B$6:$B$505,B271)&gt;1,"Doublon ID",IF(AND(ISNUMBER(J271),J271&lt;E271),"Incohérent",""))))</x:f>
      </x:c>
    </x:row>
    <x:row r="272" ht="23" customHeight="1">
      <x:c r="A272" s="9"/>
      <x:c r="B272" s="9"/>
      <x:c r="C272" s="9"/>
      <x:c r="D272" s="9"/>
      <x:c r="E272" s="11"/>
      <x:c r="F272" s="9"/>
      <x:c r="G272" s="9"/>
      <x:c r="H272" s="9"/>
      <x:c r="I272" s="11"/>
      <x:c r="J272" s="11"/>
      <x:c r="K272" s="9"/>
      <x:c r="L272" s="9"/>
      <x:c r="M272" s="12" t="str">
        <x:f>IF(A272="","",IF(G272="","À compléter",IF(AND(ISNUMBER(J272),J272&lt;='Tableau de bord'!$F$5),"Réalisée",IF(I272="","À compléter",IF(I272&lt;'Tableau de bord'!$F$5,"Retard","À venir")))))</x:f>
      </x:c>
      <x:c r="N272" s="12" t="str">
        <x:f>IF(OR(A272="",I272=""),"",IF(M272="Retard",'Tableau de bord'!$F$5-I272,0))</x:f>
      </x:c>
      <x:c r="O272" s="9"/>
      <x:c r="P272" s="12" t="str">
        <x:f>IF(A272="","",IF(OR(B272="",G272="",H272="",E272=""),"À compléter",IF(COUNTIFS($A$6:$A$505,A272,$B$6:$B$505,B272)&gt;1,"Doublon ID",IF(AND(ISNUMBER(J272),J272&lt;E272),"Incohérent",""))))</x:f>
      </x:c>
    </x:row>
    <x:row r="273" ht="23" customHeight="1">
      <x:c r="A273" s="9"/>
      <x:c r="B273" s="9"/>
      <x:c r="C273" s="9"/>
      <x:c r="D273" s="9"/>
      <x:c r="E273" s="11"/>
      <x:c r="F273" s="9"/>
      <x:c r="G273" s="9"/>
      <x:c r="H273" s="9"/>
      <x:c r="I273" s="11"/>
      <x:c r="J273" s="11"/>
      <x:c r="K273" s="9"/>
      <x:c r="L273" s="9"/>
      <x:c r="M273" s="12" t="str">
        <x:f>IF(A273="","",IF(G273="","À compléter",IF(AND(ISNUMBER(J273),J273&lt;='Tableau de bord'!$F$5),"Réalisée",IF(I273="","À compléter",IF(I273&lt;'Tableau de bord'!$F$5,"Retard","À venir")))))</x:f>
      </x:c>
      <x:c r="N273" s="12" t="str">
        <x:f>IF(OR(A273="",I273=""),"",IF(M273="Retard",'Tableau de bord'!$F$5-I273,0))</x:f>
      </x:c>
      <x:c r="O273" s="9"/>
      <x:c r="P273" s="12" t="str">
        <x:f>IF(A273="","",IF(OR(B273="",G273="",H273="",E273=""),"À compléter",IF(COUNTIFS($A$6:$A$505,A273,$B$6:$B$505,B273)&gt;1,"Doublon ID",IF(AND(ISNUMBER(J273),J273&lt;E273),"Incohérent",""))))</x:f>
      </x:c>
    </x:row>
    <x:row r="274" ht="23" customHeight="1">
      <x:c r="A274" s="9"/>
      <x:c r="B274" s="9"/>
      <x:c r="C274" s="9"/>
      <x:c r="D274" s="9"/>
      <x:c r="E274" s="11"/>
      <x:c r="F274" s="9"/>
      <x:c r="G274" s="9"/>
      <x:c r="H274" s="9"/>
      <x:c r="I274" s="11"/>
      <x:c r="J274" s="11"/>
      <x:c r="K274" s="9"/>
      <x:c r="L274" s="9"/>
      <x:c r="M274" s="12" t="str">
        <x:f>IF(A274="","",IF(G274="","À compléter",IF(AND(ISNUMBER(J274),J274&lt;='Tableau de bord'!$F$5),"Réalisée",IF(I274="","À compléter",IF(I274&lt;'Tableau de bord'!$F$5,"Retard","À venir")))))</x:f>
      </x:c>
      <x:c r="N274" s="12" t="str">
        <x:f>IF(OR(A274="",I274=""),"",IF(M274="Retard",'Tableau de bord'!$F$5-I274,0))</x:f>
      </x:c>
      <x:c r="O274" s="9"/>
      <x:c r="P274" s="12" t="str">
        <x:f>IF(A274="","",IF(OR(B274="",G274="",H274="",E274=""),"À compléter",IF(COUNTIFS($A$6:$A$505,A274,$B$6:$B$505,B274)&gt;1,"Doublon ID",IF(AND(ISNUMBER(J274),J274&lt;E274),"Incohérent",""))))</x:f>
      </x:c>
    </x:row>
    <x:row r="275" ht="23" customHeight="1">
      <x:c r="A275" s="9"/>
      <x:c r="B275" s="9"/>
      <x:c r="C275" s="9"/>
      <x:c r="D275" s="9"/>
      <x:c r="E275" s="11"/>
      <x:c r="F275" s="9"/>
      <x:c r="G275" s="9"/>
      <x:c r="H275" s="9"/>
      <x:c r="I275" s="11"/>
      <x:c r="J275" s="11"/>
      <x:c r="K275" s="9"/>
      <x:c r="L275" s="9"/>
      <x:c r="M275" s="12" t="str">
        <x:f>IF(A275="","",IF(G275="","À compléter",IF(AND(ISNUMBER(J275),J275&lt;='Tableau de bord'!$F$5),"Réalisée",IF(I275="","À compléter",IF(I275&lt;'Tableau de bord'!$F$5,"Retard","À venir")))))</x:f>
      </x:c>
      <x:c r="N275" s="12" t="str">
        <x:f>IF(OR(A275="",I275=""),"",IF(M275="Retard",'Tableau de bord'!$F$5-I275,0))</x:f>
      </x:c>
      <x:c r="O275" s="9"/>
      <x:c r="P275" s="12" t="str">
        <x:f>IF(A275="","",IF(OR(B275="",G275="",H275="",E275=""),"À compléter",IF(COUNTIFS($A$6:$A$505,A275,$B$6:$B$505,B275)&gt;1,"Doublon ID",IF(AND(ISNUMBER(J275),J275&lt;E275),"Incohérent",""))))</x:f>
      </x:c>
    </x:row>
    <x:row r="276" ht="23" customHeight="1">
      <x:c r="A276" s="9"/>
      <x:c r="B276" s="9"/>
      <x:c r="C276" s="9"/>
      <x:c r="D276" s="9"/>
      <x:c r="E276" s="11"/>
      <x:c r="F276" s="9"/>
      <x:c r="G276" s="9"/>
      <x:c r="H276" s="9"/>
      <x:c r="I276" s="11"/>
      <x:c r="J276" s="11"/>
      <x:c r="K276" s="9"/>
      <x:c r="L276" s="9"/>
      <x:c r="M276" s="12" t="str">
        <x:f>IF(A276="","",IF(G276="","À compléter",IF(AND(ISNUMBER(J276),J276&lt;='Tableau de bord'!$F$5),"Réalisée",IF(I276="","À compléter",IF(I276&lt;'Tableau de bord'!$F$5,"Retard","À venir")))))</x:f>
      </x:c>
      <x:c r="N276" s="12" t="str">
        <x:f>IF(OR(A276="",I276=""),"",IF(M276="Retard",'Tableau de bord'!$F$5-I276,0))</x:f>
      </x:c>
      <x:c r="O276" s="9"/>
      <x:c r="P276" s="12" t="str">
        <x:f>IF(A276="","",IF(OR(B276="",G276="",H276="",E276=""),"À compléter",IF(COUNTIFS($A$6:$A$505,A276,$B$6:$B$505,B276)&gt;1,"Doublon ID",IF(AND(ISNUMBER(J276),J276&lt;E276),"Incohérent",""))))</x:f>
      </x:c>
    </x:row>
    <x:row r="277" ht="23" customHeight="1">
      <x:c r="A277" s="9"/>
      <x:c r="B277" s="9"/>
      <x:c r="C277" s="9"/>
      <x:c r="D277" s="9"/>
      <x:c r="E277" s="11"/>
      <x:c r="F277" s="9"/>
      <x:c r="G277" s="9"/>
      <x:c r="H277" s="9"/>
      <x:c r="I277" s="11"/>
      <x:c r="J277" s="11"/>
      <x:c r="K277" s="9"/>
      <x:c r="L277" s="9"/>
      <x:c r="M277" s="12" t="str">
        <x:f>IF(A277="","",IF(G277="","À compléter",IF(AND(ISNUMBER(J277),J277&lt;='Tableau de bord'!$F$5),"Réalisée",IF(I277="","À compléter",IF(I277&lt;'Tableau de bord'!$F$5,"Retard","À venir")))))</x:f>
      </x:c>
      <x:c r="N277" s="12" t="str">
        <x:f>IF(OR(A277="",I277=""),"",IF(M277="Retard",'Tableau de bord'!$F$5-I277,0))</x:f>
      </x:c>
      <x:c r="O277" s="9"/>
      <x:c r="P277" s="12" t="str">
        <x:f>IF(A277="","",IF(OR(B277="",G277="",H277="",E277=""),"À compléter",IF(COUNTIFS($A$6:$A$505,A277,$B$6:$B$505,B277)&gt;1,"Doublon ID",IF(AND(ISNUMBER(J277),J277&lt;E277),"Incohérent",""))))</x:f>
      </x:c>
    </x:row>
    <x:row r="278" ht="23" customHeight="1">
      <x:c r="A278" s="9"/>
      <x:c r="B278" s="9"/>
      <x:c r="C278" s="9"/>
      <x:c r="D278" s="9"/>
      <x:c r="E278" s="11"/>
      <x:c r="F278" s="9"/>
      <x:c r="G278" s="9"/>
      <x:c r="H278" s="9"/>
      <x:c r="I278" s="11"/>
      <x:c r="J278" s="11"/>
      <x:c r="K278" s="9"/>
      <x:c r="L278" s="9"/>
      <x:c r="M278" s="12" t="str">
        <x:f>IF(A278="","",IF(G278="","À compléter",IF(AND(ISNUMBER(J278),J278&lt;='Tableau de bord'!$F$5),"Réalisée",IF(I278="","À compléter",IF(I278&lt;'Tableau de bord'!$F$5,"Retard","À venir")))))</x:f>
      </x:c>
      <x:c r="N278" s="12" t="str">
        <x:f>IF(OR(A278="",I278=""),"",IF(M278="Retard",'Tableau de bord'!$F$5-I278,0))</x:f>
      </x:c>
      <x:c r="O278" s="9"/>
      <x:c r="P278" s="12" t="str">
        <x:f>IF(A278="","",IF(OR(B278="",G278="",H278="",E278=""),"À compléter",IF(COUNTIFS($A$6:$A$505,A278,$B$6:$B$505,B278)&gt;1,"Doublon ID",IF(AND(ISNUMBER(J278),J278&lt;E278),"Incohérent",""))))</x:f>
      </x:c>
    </x:row>
    <x:row r="279" ht="23" customHeight="1">
      <x:c r="A279" s="9"/>
      <x:c r="B279" s="9"/>
      <x:c r="C279" s="9"/>
      <x:c r="D279" s="9"/>
      <x:c r="E279" s="11"/>
      <x:c r="F279" s="9"/>
      <x:c r="G279" s="9"/>
      <x:c r="H279" s="9"/>
      <x:c r="I279" s="11"/>
      <x:c r="J279" s="11"/>
      <x:c r="K279" s="9"/>
      <x:c r="L279" s="9"/>
      <x:c r="M279" s="12" t="str">
        <x:f>IF(A279="","",IF(G279="","À compléter",IF(AND(ISNUMBER(J279),J279&lt;='Tableau de bord'!$F$5),"Réalisée",IF(I279="","À compléter",IF(I279&lt;'Tableau de bord'!$F$5,"Retard","À venir")))))</x:f>
      </x:c>
      <x:c r="N279" s="12" t="str">
        <x:f>IF(OR(A279="",I279=""),"",IF(M279="Retard",'Tableau de bord'!$F$5-I279,0))</x:f>
      </x:c>
      <x:c r="O279" s="9"/>
      <x:c r="P279" s="12" t="str">
        <x:f>IF(A279="","",IF(OR(B279="",G279="",H279="",E279=""),"À compléter",IF(COUNTIFS($A$6:$A$505,A279,$B$6:$B$505,B279)&gt;1,"Doublon ID",IF(AND(ISNUMBER(J279),J279&lt;E279),"Incohérent",""))))</x:f>
      </x:c>
    </x:row>
    <x:row r="280" ht="23" customHeight="1">
      <x:c r="A280" s="9"/>
      <x:c r="B280" s="9"/>
      <x:c r="C280" s="9"/>
      <x:c r="D280" s="9"/>
      <x:c r="E280" s="11"/>
      <x:c r="F280" s="9"/>
      <x:c r="G280" s="9"/>
      <x:c r="H280" s="9"/>
      <x:c r="I280" s="11"/>
      <x:c r="J280" s="11"/>
      <x:c r="K280" s="9"/>
      <x:c r="L280" s="9"/>
      <x:c r="M280" s="12" t="str">
        <x:f>IF(A280="","",IF(G280="","À compléter",IF(AND(ISNUMBER(J280),J280&lt;='Tableau de bord'!$F$5),"Réalisée",IF(I280="","À compléter",IF(I280&lt;'Tableau de bord'!$F$5,"Retard","À venir")))))</x:f>
      </x:c>
      <x:c r="N280" s="12" t="str">
        <x:f>IF(OR(A280="",I280=""),"",IF(M280="Retard",'Tableau de bord'!$F$5-I280,0))</x:f>
      </x:c>
      <x:c r="O280" s="9"/>
      <x:c r="P280" s="12" t="str">
        <x:f>IF(A280="","",IF(OR(B280="",G280="",H280="",E280=""),"À compléter",IF(COUNTIFS($A$6:$A$505,A280,$B$6:$B$505,B280)&gt;1,"Doublon ID",IF(AND(ISNUMBER(J280),J280&lt;E280),"Incohérent",""))))</x:f>
      </x:c>
    </x:row>
    <x:row r="281" ht="23" customHeight="1">
      <x:c r="A281" s="9"/>
      <x:c r="B281" s="9"/>
      <x:c r="C281" s="9"/>
      <x:c r="D281" s="9"/>
      <x:c r="E281" s="11"/>
      <x:c r="F281" s="9"/>
      <x:c r="G281" s="9"/>
      <x:c r="H281" s="9"/>
      <x:c r="I281" s="11"/>
      <x:c r="J281" s="11"/>
      <x:c r="K281" s="9"/>
      <x:c r="L281" s="9"/>
      <x:c r="M281" s="12" t="str">
        <x:f>IF(A281="","",IF(G281="","À compléter",IF(AND(ISNUMBER(J281),J281&lt;='Tableau de bord'!$F$5),"Réalisée",IF(I281="","À compléter",IF(I281&lt;'Tableau de bord'!$F$5,"Retard","À venir")))))</x:f>
      </x:c>
      <x:c r="N281" s="12" t="str">
        <x:f>IF(OR(A281="",I281=""),"",IF(M281="Retard",'Tableau de bord'!$F$5-I281,0))</x:f>
      </x:c>
      <x:c r="O281" s="9"/>
      <x:c r="P281" s="12" t="str">
        <x:f>IF(A281="","",IF(OR(B281="",G281="",H281="",E281=""),"À compléter",IF(COUNTIFS($A$6:$A$505,A281,$B$6:$B$505,B281)&gt;1,"Doublon ID",IF(AND(ISNUMBER(J281),J281&lt;E281),"Incohérent",""))))</x:f>
      </x:c>
    </x:row>
    <x:row r="282" ht="23" customHeight="1">
      <x:c r="A282" s="9"/>
      <x:c r="B282" s="9"/>
      <x:c r="C282" s="9"/>
      <x:c r="D282" s="9"/>
      <x:c r="E282" s="11"/>
      <x:c r="F282" s="9"/>
      <x:c r="G282" s="9"/>
      <x:c r="H282" s="9"/>
      <x:c r="I282" s="11"/>
      <x:c r="J282" s="11"/>
      <x:c r="K282" s="9"/>
      <x:c r="L282" s="9"/>
      <x:c r="M282" s="12" t="str">
        <x:f>IF(A282="","",IF(G282="","À compléter",IF(AND(ISNUMBER(J282),J282&lt;='Tableau de bord'!$F$5),"Réalisée",IF(I282="","À compléter",IF(I282&lt;'Tableau de bord'!$F$5,"Retard","À venir")))))</x:f>
      </x:c>
      <x:c r="N282" s="12" t="str">
        <x:f>IF(OR(A282="",I282=""),"",IF(M282="Retard",'Tableau de bord'!$F$5-I282,0))</x:f>
      </x:c>
      <x:c r="O282" s="9"/>
      <x:c r="P282" s="12" t="str">
        <x:f>IF(A282="","",IF(OR(B282="",G282="",H282="",E282=""),"À compléter",IF(COUNTIFS($A$6:$A$505,A282,$B$6:$B$505,B282)&gt;1,"Doublon ID",IF(AND(ISNUMBER(J282),J282&lt;E282),"Incohérent",""))))</x:f>
      </x:c>
    </x:row>
    <x:row r="283" ht="23" customHeight="1">
      <x:c r="A283" s="9"/>
      <x:c r="B283" s="9"/>
      <x:c r="C283" s="9"/>
      <x:c r="D283" s="9"/>
      <x:c r="E283" s="11"/>
      <x:c r="F283" s="9"/>
      <x:c r="G283" s="9"/>
      <x:c r="H283" s="9"/>
      <x:c r="I283" s="11"/>
      <x:c r="J283" s="11"/>
      <x:c r="K283" s="9"/>
      <x:c r="L283" s="9"/>
      <x:c r="M283" s="12" t="str">
        <x:f>IF(A283="","",IF(G283="","À compléter",IF(AND(ISNUMBER(J283),J283&lt;='Tableau de bord'!$F$5),"Réalisée",IF(I283="","À compléter",IF(I283&lt;'Tableau de bord'!$F$5,"Retard","À venir")))))</x:f>
      </x:c>
      <x:c r="N283" s="12" t="str">
        <x:f>IF(OR(A283="",I283=""),"",IF(M283="Retard",'Tableau de bord'!$F$5-I283,0))</x:f>
      </x:c>
      <x:c r="O283" s="9"/>
      <x:c r="P283" s="12" t="str">
        <x:f>IF(A283="","",IF(OR(B283="",G283="",H283="",E283=""),"À compléter",IF(COUNTIFS($A$6:$A$505,A283,$B$6:$B$505,B283)&gt;1,"Doublon ID",IF(AND(ISNUMBER(J283),J283&lt;E283),"Incohérent",""))))</x:f>
      </x:c>
    </x:row>
    <x:row r="284" ht="23" customHeight="1">
      <x:c r="A284" s="9"/>
      <x:c r="B284" s="9"/>
      <x:c r="C284" s="9"/>
      <x:c r="D284" s="9"/>
      <x:c r="E284" s="11"/>
      <x:c r="F284" s="9"/>
      <x:c r="G284" s="9"/>
      <x:c r="H284" s="9"/>
      <x:c r="I284" s="11"/>
      <x:c r="J284" s="11"/>
      <x:c r="K284" s="9"/>
      <x:c r="L284" s="9"/>
      <x:c r="M284" s="12" t="str">
        <x:f>IF(A284="","",IF(G284="","À compléter",IF(AND(ISNUMBER(J284),J284&lt;='Tableau de bord'!$F$5),"Réalisée",IF(I284="","À compléter",IF(I284&lt;'Tableau de bord'!$F$5,"Retard","À venir")))))</x:f>
      </x:c>
      <x:c r="N284" s="12" t="str">
        <x:f>IF(OR(A284="",I284=""),"",IF(M284="Retard",'Tableau de bord'!$F$5-I284,0))</x:f>
      </x:c>
      <x:c r="O284" s="9"/>
      <x:c r="P284" s="12" t="str">
        <x:f>IF(A284="","",IF(OR(B284="",G284="",H284="",E284=""),"À compléter",IF(COUNTIFS($A$6:$A$505,A284,$B$6:$B$505,B284)&gt;1,"Doublon ID",IF(AND(ISNUMBER(J284),J284&lt;E284),"Incohérent",""))))</x:f>
      </x:c>
    </x:row>
    <x:row r="285" ht="23" customHeight="1">
      <x:c r="A285" s="9"/>
      <x:c r="B285" s="9"/>
      <x:c r="C285" s="9"/>
      <x:c r="D285" s="9"/>
      <x:c r="E285" s="11"/>
      <x:c r="F285" s="9"/>
      <x:c r="G285" s="9"/>
      <x:c r="H285" s="9"/>
      <x:c r="I285" s="11"/>
      <x:c r="J285" s="11"/>
      <x:c r="K285" s="9"/>
      <x:c r="L285" s="9"/>
      <x:c r="M285" s="12" t="str">
        <x:f>IF(A285="","",IF(G285="","À compléter",IF(AND(ISNUMBER(J285),J285&lt;='Tableau de bord'!$F$5),"Réalisée",IF(I285="","À compléter",IF(I285&lt;'Tableau de bord'!$F$5,"Retard","À venir")))))</x:f>
      </x:c>
      <x:c r="N285" s="12" t="str">
        <x:f>IF(OR(A285="",I285=""),"",IF(M285="Retard",'Tableau de bord'!$F$5-I285,0))</x:f>
      </x:c>
      <x:c r="O285" s="9"/>
      <x:c r="P285" s="12" t="str">
        <x:f>IF(A285="","",IF(OR(B285="",G285="",H285="",E285=""),"À compléter",IF(COUNTIFS($A$6:$A$505,A285,$B$6:$B$505,B285)&gt;1,"Doublon ID",IF(AND(ISNUMBER(J285),J285&lt;E285),"Incohérent",""))))</x:f>
      </x:c>
    </x:row>
    <x:row r="286" ht="23" customHeight="1">
      <x:c r="A286" s="9"/>
      <x:c r="B286" s="9"/>
      <x:c r="C286" s="9"/>
      <x:c r="D286" s="9"/>
      <x:c r="E286" s="11"/>
      <x:c r="F286" s="9"/>
      <x:c r="G286" s="9"/>
      <x:c r="H286" s="9"/>
      <x:c r="I286" s="11"/>
      <x:c r="J286" s="11"/>
      <x:c r="K286" s="9"/>
      <x:c r="L286" s="9"/>
      <x:c r="M286" s="12" t="str">
        <x:f>IF(A286="","",IF(G286="","À compléter",IF(AND(ISNUMBER(J286),J286&lt;='Tableau de bord'!$F$5),"Réalisée",IF(I286="","À compléter",IF(I286&lt;'Tableau de bord'!$F$5,"Retard","À venir")))))</x:f>
      </x:c>
      <x:c r="N286" s="12" t="str">
        <x:f>IF(OR(A286="",I286=""),"",IF(M286="Retard",'Tableau de bord'!$F$5-I286,0))</x:f>
      </x:c>
      <x:c r="O286" s="9"/>
      <x:c r="P286" s="12" t="str">
        <x:f>IF(A286="","",IF(OR(B286="",G286="",H286="",E286=""),"À compléter",IF(COUNTIFS($A$6:$A$505,A286,$B$6:$B$505,B286)&gt;1,"Doublon ID",IF(AND(ISNUMBER(J286),J286&lt;E286),"Incohérent",""))))</x:f>
      </x:c>
    </x:row>
    <x:row r="287" ht="23" customHeight="1">
      <x:c r="A287" s="9"/>
      <x:c r="B287" s="9"/>
      <x:c r="C287" s="9"/>
      <x:c r="D287" s="9"/>
      <x:c r="E287" s="11"/>
      <x:c r="F287" s="9"/>
      <x:c r="G287" s="9"/>
      <x:c r="H287" s="9"/>
      <x:c r="I287" s="11"/>
      <x:c r="J287" s="11"/>
      <x:c r="K287" s="9"/>
      <x:c r="L287" s="9"/>
      <x:c r="M287" s="12" t="str">
        <x:f>IF(A287="","",IF(G287="","À compléter",IF(AND(ISNUMBER(J287),J287&lt;='Tableau de bord'!$F$5),"Réalisée",IF(I287="","À compléter",IF(I287&lt;'Tableau de bord'!$F$5,"Retard","À venir")))))</x:f>
      </x:c>
      <x:c r="N287" s="12" t="str">
        <x:f>IF(OR(A287="",I287=""),"",IF(M287="Retard",'Tableau de bord'!$F$5-I287,0))</x:f>
      </x:c>
      <x:c r="O287" s="9"/>
      <x:c r="P287" s="12" t="str">
        <x:f>IF(A287="","",IF(OR(B287="",G287="",H287="",E287=""),"À compléter",IF(COUNTIFS($A$6:$A$505,A287,$B$6:$B$505,B287)&gt;1,"Doublon ID",IF(AND(ISNUMBER(J287),J287&lt;E287),"Incohérent",""))))</x:f>
      </x:c>
    </x:row>
    <x:row r="288" ht="23" customHeight="1">
      <x:c r="A288" s="9"/>
      <x:c r="B288" s="9"/>
      <x:c r="C288" s="9"/>
      <x:c r="D288" s="9"/>
      <x:c r="E288" s="11"/>
      <x:c r="F288" s="9"/>
      <x:c r="G288" s="9"/>
      <x:c r="H288" s="9"/>
      <x:c r="I288" s="11"/>
      <x:c r="J288" s="11"/>
      <x:c r="K288" s="9"/>
      <x:c r="L288" s="9"/>
      <x:c r="M288" s="12" t="str">
        <x:f>IF(A288="","",IF(G288="","À compléter",IF(AND(ISNUMBER(J288),J288&lt;='Tableau de bord'!$F$5),"Réalisée",IF(I288="","À compléter",IF(I288&lt;'Tableau de bord'!$F$5,"Retard","À venir")))))</x:f>
      </x:c>
      <x:c r="N288" s="12" t="str">
        <x:f>IF(OR(A288="",I288=""),"",IF(M288="Retard",'Tableau de bord'!$F$5-I288,0))</x:f>
      </x:c>
      <x:c r="O288" s="9"/>
      <x:c r="P288" s="12" t="str">
        <x:f>IF(A288="","",IF(OR(B288="",G288="",H288="",E288=""),"À compléter",IF(COUNTIFS($A$6:$A$505,A288,$B$6:$B$505,B288)&gt;1,"Doublon ID",IF(AND(ISNUMBER(J288),J288&lt;E288),"Incohérent",""))))</x:f>
      </x:c>
    </x:row>
    <x:row r="289" ht="23" customHeight="1">
      <x:c r="A289" s="9"/>
      <x:c r="B289" s="9"/>
      <x:c r="C289" s="9"/>
      <x:c r="D289" s="9"/>
      <x:c r="E289" s="11"/>
      <x:c r="F289" s="9"/>
      <x:c r="G289" s="9"/>
      <x:c r="H289" s="9"/>
      <x:c r="I289" s="11"/>
      <x:c r="J289" s="11"/>
      <x:c r="K289" s="9"/>
      <x:c r="L289" s="9"/>
      <x:c r="M289" s="12" t="str">
        <x:f>IF(A289="","",IF(G289="","À compléter",IF(AND(ISNUMBER(J289),J289&lt;='Tableau de bord'!$F$5),"Réalisée",IF(I289="","À compléter",IF(I289&lt;'Tableau de bord'!$F$5,"Retard","À venir")))))</x:f>
      </x:c>
      <x:c r="N289" s="12" t="str">
        <x:f>IF(OR(A289="",I289=""),"",IF(M289="Retard",'Tableau de bord'!$F$5-I289,0))</x:f>
      </x:c>
      <x:c r="O289" s="9"/>
      <x:c r="P289" s="12" t="str">
        <x:f>IF(A289="","",IF(OR(B289="",G289="",H289="",E289=""),"À compléter",IF(COUNTIFS($A$6:$A$505,A289,$B$6:$B$505,B289)&gt;1,"Doublon ID",IF(AND(ISNUMBER(J289),J289&lt;E289),"Incohérent",""))))</x:f>
      </x:c>
    </x:row>
    <x:row r="290" ht="23" customHeight="1">
      <x:c r="A290" s="9"/>
      <x:c r="B290" s="9"/>
      <x:c r="C290" s="9"/>
      <x:c r="D290" s="9"/>
      <x:c r="E290" s="11"/>
      <x:c r="F290" s="9"/>
      <x:c r="G290" s="9"/>
      <x:c r="H290" s="9"/>
      <x:c r="I290" s="11"/>
      <x:c r="J290" s="11"/>
      <x:c r="K290" s="9"/>
      <x:c r="L290" s="9"/>
      <x:c r="M290" s="12" t="str">
        <x:f>IF(A290="","",IF(G290="","À compléter",IF(AND(ISNUMBER(J290),J290&lt;='Tableau de bord'!$F$5),"Réalisée",IF(I290="","À compléter",IF(I290&lt;'Tableau de bord'!$F$5,"Retard","À venir")))))</x:f>
      </x:c>
      <x:c r="N290" s="12" t="str">
        <x:f>IF(OR(A290="",I290=""),"",IF(M290="Retard",'Tableau de bord'!$F$5-I290,0))</x:f>
      </x:c>
      <x:c r="O290" s="9"/>
      <x:c r="P290" s="12" t="str">
        <x:f>IF(A290="","",IF(OR(B290="",G290="",H290="",E290=""),"À compléter",IF(COUNTIFS($A$6:$A$505,A290,$B$6:$B$505,B290)&gt;1,"Doublon ID",IF(AND(ISNUMBER(J290),J290&lt;E290),"Incohérent",""))))</x:f>
      </x:c>
    </x:row>
    <x:row r="291" ht="23" customHeight="1">
      <x:c r="A291" s="9"/>
      <x:c r="B291" s="9"/>
      <x:c r="C291" s="9"/>
      <x:c r="D291" s="9"/>
      <x:c r="E291" s="11"/>
      <x:c r="F291" s="9"/>
      <x:c r="G291" s="9"/>
      <x:c r="H291" s="9"/>
      <x:c r="I291" s="11"/>
      <x:c r="J291" s="11"/>
      <x:c r="K291" s="9"/>
      <x:c r="L291" s="9"/>
      <x:c r="M291" s="12" t="str">
        <x:f>IF(A291="","",IF(G291="","À compléter",IF(AND(ISNUMBER(J291),J291&lt;='Tableau de bord'!$F$5),"Réalisée",IF(I291="","À compléter",IF(I291&lt;'Tableau de bord'!$F$5,"Retard","À venir")))))</x:f>
      </x:c>
      <x:c r="N291" s="12" t="str">
        <x:f>IF(OR(A291="",I291=""),"",IF(M291="Retard",'Tableau de bord'!$F$5-I291,0))</x:f>
      </x:c>
      <x:c r="O291" s="9"/>
      <x:c r="P291" s="12" t="str">
        <x:f>IF(A291="","",IF(OR(B291="",G291="",H291="",E291=""),"À compléter",IF(COUNTIFS($A$6:$A$505,A291,$B$6:$B$505,B291)&gt;1,"Doublon ID",IF(AND(ISNUMBER(J291),J291&lt;E291),"Incohérent",""))))</x:f>
      </x:c>
    </x:row>
    <x:row r="292" ht="23" customHeight="1">
      <x:c r="A292" s="9"/>
      <x:c r="B292" s="9"/>
      <x:c r="C292" s="9"/>
      <x:c r="D292" s="9"/>
      <x:c r="E292" s="11"/>
      <x:c r="F292" s="9"/>
      <x:c r="G292" s="9"/>
      <x:c r="H292" s="9"/>
      <x:c r="I292" s="11"/>
      <x:c r="J292" s="11"/>
      <x:c r="K292" s="9"/>
      <x:c r="L292" s="9"/>
      <x:c r="M292" s="12" t="str">
        <x:f>IF(A292="","",IF(G292="","À compléter",IF(AND(ISNUMBER(J292),J292&lt;='Tableau de bord'!$F$5),"Réalisée",IF(I292="","À compléter",IF(I292&lt;'Tableau de bord'!$F$5,"Retard","À venir")))))</x:f>
      </x:c>
      <x:c r="N292" s="12" t="str">
        <x:f>IF(OR(A292="",I292=""),"",IF(M292="Retard",'Tableau de bord'!$F$5-I292,0))</x:f>
      </x:c>
      <x:c r="O292" s="9"/>
      <x:c r="P292" s="12" t="str">
        <x:f>IF(A292="","",IF(OR(B292="",G292="",H292="",E292=""),"À compléter",IF(COUNTIFS($A$6:$A$505,A292,$B$6:$B$505,B292)&gt;1,"Doublon ID",IF(AND(ISNUMBER(J292),J292&lt;E292),"Incohérent",""))))</x:f>
      </x:c>
    </x:row>
    <x:row r="293" ht="23" customHeight="1">
      <x:c r="A293" s="9"/>
      <x:c r="B293" s="9"/>
      <x:c r="C293" s="9"/>
      <x:c r="D293" s="9"/>
      <x:c r="E293" s="11"/>
      <x:c r="F293" s="9"/>
      <x:c r="G293" s="9"/>
      <x:c r="H293" s="9"/>
      <x:c r="I293" s="11"/>
      <x:c r="J293" s="11"/>
      <x:c r="K293" s="9"/>
      <x:c r="L293" s="9"/>
      <x:c r="M293" s="12" t="str">
        <x:f>IF(A293="","",IF(G293="","À compléter",IF(AND(ISNUMBER(J293),J293&lt;='Tableau de bord'!$F$5),"Réalisée",IF(I293="","À compléter",IF(I293&lt;'Tableau de bord'!$F$5,"Retard","À venir")))))</x:f>
      </x:c>
      <x:c r="N293" s="12" t="str">
        <x:f>IF(OR(A293="",I293=""),"",IF(M293="Retard",'Tableau de bord'!$F$5-I293,0))</x:f>
      </x:c>
      <x:c r="O293" s="9"/>
      <x:c r="P293" s="12" t="str">
        <x:f>IF(A293="","",IF(OR(B293="",G293="",H293="",E293=""),"À compléter",IF(COUNTIFS($A$6:$A$505,A293,$B$6:$B$505,B293)&gt;1,"Doublon ID",IF(AND(ISNUMBER(J293),J293&lt;E293),"Incohérent",""))))</x:f>
      </x:c>
    </x:row>
    <x:row r="294" ht="23" customHeight="1">
      <x:c r="A294" s="9"/>
      <x:c r="B294" s="9"/>
      <x:c r="C294" s="9"/>
      <x:c r="D294" s="9"/>
      <x:c r="E294" s="11"/>
      <x:c r="F294" s="9"/>
      <x:c r="G294" s="9"/>
      <x:c r="H294" s="9"/>
      <x:c r="I294" s="11"/>
      <x:c r="J294" s="11"/>
      <x:c r="K294" s="9"/>
      <x:c r="L294" s="9"/>
      <x:c r="M294" s="12" t="str">
        <x:f>IF(A294="","",IF(G294="","À compléter",IF(AND(ISNUMBER(J294),J294&lt;='Tableau de bord'!$F$5),"Réalisée",IF(I294="","À compléter",IF(I294&lt;'Tableau de bord'!$F$5,"Retard","À venir")))))</x:f>
      </x:c>
      <x:c r="N294" s="12" t="str">
        <x:f>IF(OR(A294="",I294=""),"",IF(M294="Retard",'Tableau de bord'!$F$5-I294,0))</x:f>
      </x:c>
      <x:c r="O294" s="9"/>
      <x:c r="P294" s="12" t="str">
        <x:f>IF(A294="","",IF(OR(B294="",G294="",H294="",E294=""),"À compléter",IF(COUNTIFS($A$6:$A$505,A294,$B$6:$B$505,B294)&gt;1,"Doublon ID",IF(AND(ISNUMBER(J294),J294&lt;E294),"Incohérent",""))))</x:f>
      </x:c>
    </x:row>
    <x:row r="295" ht="23" customHeight="1">
      <x:c r="A295" s="9"/>
      <x:c r="B295" s="9"/>
      <x:c r="C295" s="9"/>
      <x:c r="D295" s="9"/>
      <x:c r="E295" s="11"/>
      <x:c r="F295" s="9"/>
      <x:c r="G295" s="9"/>
      <x:c r="H295" s="9"/>
      <x:c r="I295" s="11"/>
      <x:c r="J295" s="11"/>
      <x:c r="K295" s="9"/>
      <x:c r="L295" s="9"/>
      <x:c r="M295" s="12" t="str">
        <x:f>IF(A295="","",IF(G295="","À compléter",IF(AND(ISNUMBER(J295),J295&lt;='Tableau de bord'!$F$5),"Réalisée",IF(I295="","À compléter",IF(I295&lt;'Tableau de bord'!$F$5,"Retard","À venir")))))</x:f>
      </x:c>
      <x:c r="N295" s="12" t="str">
        <x:f>IF(OR(A295="",I295=""),"",IF(M295="Retard",'Tableau de bord'!$F$5-I295,0))</x:f>
      </x:c>
      <x:c r="O295" s="9"/>
      <x:c r="P295" s="12" t="str">
        <x:f>IF(A295="","",IF(OR(B295="",G295="",H295="",E295=""),"À compléter",IF(COUNTIFS($A$6:$A$505,A295,$B$6:$B$505,B295)&gt;1,"Doublon ID",IF(AND(ISNUMBER(J295),J295&lt;E295),"Incohérent",""))))</x:f>
      </x:c>
    </x:row>
    <x:row r="296" ht="23" customHeight="1">
      <x:c r="A296" s="9"/>
      <x:c r="B296" s="9"/>
      <x:c r="C296" s="9"/>
      <x:c r="D296" s="9"/>
      <x:c r="E296" s="11"/>
      <x:c r="F296" s="9"/>
      <x:c r="G296" s="9"/>
      <x:c r="H296" s="9"/>
      <x:c r="I296" s="11"/>
      <x:c r="J296" s="11"/>
      <x:c r="K296" s="9"/>
      <x:c r="L296" s="9"/>
      <x:c r="M296" s="12" t="str">
        <x:f>IF(A296="","",IF(G296="","À compléter",IF(AND(ISNUMBER(J296),J296&lt;='Tableau de bord'!$F$5),"Réalisée",IF(I296="","À compléter",IF(I296&lt;'Tableau de bord'!$F$5,"Retard","À venir")))))</x:f>
      </x:c>
      <x:c r="N296" s="12" t="str">
        <x:f>IF(OR(A296="",I296=""),"",IF(M296="Retard",'Tableau de bord'!$F$5-I296,0))</x:f>
      </x:c>
      <x:c r="O296" s="9"/>
      <x:c r="P296" s="12" t="str">
        <x:f>IF(A296="","",IF(OR(B296="",G296="",H296="",E296=""),"À compléter",IF(COUNTIFS($A$6:$A$505,A296,$B$6:$B$505,B296)&gt;1,"Doublon ID",IF(AND(ISNUMBER(J296),J296&lt;E296),"Incohérent",""))))</x:f>
      </x:c>
    </x:row>
    <x:row r="297" ht="23" customHeight="1">
      <x:c r="A297" s="9"/>
      <x:c r="B297" s="9"/>
      <x:c r="C297" s="9"/>
      <x:c r="D297" s="9"/>
      <x:c r="E297" s="11"/>
      <x:c r="F297" s="9"/>
      <x:c r="G297" s="9"/>
      <x:c r="H297" s="9"/>
      <x:c r="I297" s="11"/>
      <x:c r="J297" s="11"/>
      <x:c r="K297" s="9"/>
      <x:c r="L297" s="9"/>
      <x:c r="M297" s="12" t="str">
        <x:f>IF(A297="","",IF(G297="","À compléter",IF(AND(ISNUMBER(J297),J297&lt;='Tableau de bord'!$F$5),"Réalisée",IF(I297="","À compléter",IF(I297&lt;'Tableau de bord'!$F$5,"Retard","À venir")))))</x:f>
      </x:c>
      <x:c r="N297" s="12" t="str">
        <x:f>IF(OR(A297="",I297=""),"",IF(M297="Retard",'Tableau de bord'!$F$5-I297,0))</x:f>
      </x:c>
      <x:c r="O297" s="9"/>
      <x:c r="P297" s="12" t="str">
        <x:f>IF(A297="","",IF(OR(B297="",G297="",H297="",E297=""),"À compléter",IF(COUNTIFS($A$6:$A$505,A297,$B$6:$B$505,B297)&gt;1,"Doublon ID",IF(AND(ISNUMBER(J297),J297&lt;E297),"Incohérent",""))))</x:f>
      </x:c>
    </x:row>
    <x:row r="298" ht="23" customHeight="1">
      <x:c r="A298" s="9"/>
      <x:c r="B298" s="9"/>
      <x:c r="C298" s="9"/>
      <x:c r="D298" s="9"/>
      <x:c r="E298" s="11"/>
      <x:c r="F298" s="9"/>
      <x:c r="G298" s="9"/>
      <x:c r="H298" s="9"/>
      <x:c r="I298" s="11"/>
      <x:c r="J298" s="11"/>
      <x:c r="K298" s="9"/>
      <x:c r="L298" s="9"/>
      <x:c r="M298" s="12" t="str">
        <x:f>IF(A298="","",IF(G298="","À compléter",IF(AND(ISNUMBER(J298),J298&lt;='Tableau de bord'!$F$5),"Réalisée",IF(I298="","À compléter",IF(I298&lt;'Tableau de bord'!$F$5,"Retard","À venir")))))</x:f>
      </x:c>
      <x:c r="N298" s="12" t="str">
        <x:f>IF(OR(A298="",I298=""),"",IF(M298="Retard",'Tableau de bord'!$F$5-I298,0))</x:f>
      </x:c>
      <x:c r="O298" s="9"/>
      <x:c r="P298" s="12" t="str">
        <x:f>IF(A298="","",IF(OR(B298="",G298="",H298="",E298=""),"À compléter",IF(COUNTIFS($A$6:$A$505,A298,$B$6:$B$505,B298)&gt;1,"Doublon ID",IF(AND(ISNUMBER(J298),J298&lt;E298),"Incohérent",""))))</x:f>
      </x:c>
    </x:row>
    <x:row r="299" ht="23" customHeight="1">
      <x:c r="A299" s="9"/>
      <x:c r="B299" s="9"/>
      <x:c r="C299" s="9"/>
      <x:c r="D299" s="9"/>
      <x:c r="E299" s="11"/>
      <x:c r="F299" s="9"/>
      <x:c r="G299" s="9"/>
      <x:c r="H299" s="9"/>
      <x:c r="I299" s="11"/>
      <x:c r="J299" s="11"/>
      <x:c r="K299" s="9"/>
      <x:c r="L299" s="9"/>
      <x:c r="M299" s="12" t="str">
        <x:f>IF(A299="","",IF(G299="","À compléter",IF(AND(ISNUMBER(J299),J299&lt;='Tableau de bord'!$F$5),"Réalisée",IF(I299="","À compléter",IF(I299&lt;'Tableau de bord'!$F$5,"Retard","À venir")))))</x:f>
      </x:c>
      <x:c r="N299" s="12" t="str">
        <x:f>IF(OR(A299="",I299=""),"",IF(M299="Retard",'Tableau de bord'!$F$5-I299,0))</x:f>
      </x:c>
      <x:c r="O299" s="9"/>
      <x:c r="P299" s="12" t="str">
        <x:f>IF(A299="","",IF(OR(B299="",G299="",H299="",E299=""),"À compléter",IF(COUNTIFS($A$6:$A$505,A299,$B$6:$B$505,B299)&gt;1,"Doublon ID",IF(AND(ISNUMBER(J299),J299&lt;E299),"Incohérent",""))))</x:f>
      </x:c>
    </x:row>
    <x:row r="300" ht="23" customHeight="1">
      <x:c r="A300" s="9"/>
      <x:c r="B300" s="9"/>
      <x:c r="C300" s="9"/>
      <x:c r="D300" s="9"/>
      <x:c r="E300" s="11"/>
      <x:c r="F300" s="9"/>
      <x:c r="G300" s="9"/>
      <x:c r="H300" s="9"/>
      <x:c r="I300" s="11"/>
      <x:c r="J300" s="11"/>
      <x:c r="K300" s="9"/>
      <x:c r="L300" s="9"/>
      <x:c r="M300" s="12" t="str">
        <x:f>IF(A300="","",IF(G300="","À compléter",IF(AND(ISNUMBER(J300),J300&lt;='Tableau de bord'!$F$5),"Réalisée",IF(I300="","À compléter",IF(I300&lt;'Tableau de bord'!$F$5,"Retard","À venir")))))</x:f>
      </x:c>
      <x:c r="N300" s="12" t="str">
        <x:f>IF(OR(A300="",I300=""),"",IF(M300="Retard",'Tableau de bord'!$F$5-I300,0))</x:f>
      </x:c>
      <x:c r="O300" s="9"/>
      <x:c r="P300" s="12" t="str">
        <x:f>IF(A300="","",IF(OR(B300="",G300="",H300="",E300=""),"À compléter",IF(COUNTIFS($A$6:$A$505,A300,$B$6:$B$505,B300)&gt;1,"Doublon ID",IF(AND(ISNUMBER(J300),J300&lt;E300),"Incohérent",""))))</x:f>
      </x:c>
    </x:row>
    <x:row r="301" ht="23" customHeight="1">
      <x:c r="A301" s="9"/>
      <x:c r="B301" s="9"/>
      <x:c r="C301" s="9"/>
      <x:c r="D301" s="9"/>
      <x:c r="E301" s="11"/>
      <x:c r="F301" s="9"/>
      <x:c r="G301" s="9"/>
      <x:c r="H301" s="9"/>
      <x:c r="I301" s="11"/>
      <x:c r="J301" s="11"/>
      <x:c r="K301" s="9"/>
      <x:c r="L301" s="9"/>
      <x:c r="M301" s="12" t="str">
        <x:f>IF(A301="","",IF(G301="","À compléter",IF(AND(ISNUMBER(J301),J301&lt;='Tableau de bord'!$F$5),"Réalisée",IF(I301="","À compléter",IF(I301&lt;'Tableau de bord'!$F$5,"Retard","À venir")))))</x:f>
      </x:c>
      <x:c r="N301" s="12" t="str">
        <x:f>IF(OR(A301="",I301=""),"",IF(M301="Retard",'Tableau de bord'!$F$5-I301,0))</x:f>
      </x:c>
      <x:c r="O301" s="9"/>
      <x:c r="P301" s="12" t="str">
        <x:f>IF(A301="","",IF(OR(B301="",G301="",H301="",E301=""),"À compléter",IF(COUNTIFS($A$6:$A$505,A301,$B$6:$B$505,B301)&gt;1,"Doublon ID",IF(AND(ISNUMBER(J301),J301&lt;E301),"Incohérent",""))))</x:f>
      </x:c>
    </x:row>
    <x:row r="302" ht="23" customHeight="1">
      <x:c r="A302" s="9"/>
      <x:c r="B302" s="9"/>
      <x:c r="C302" s="9"/>
      <x:c r="D302" s="9"/>
      <x:c r="E302" s="11"/>
      <x:c r="F302" s="9"/>
      <x:c r="G302" s="9"/>
      <x:c r="H302" s="9"/>
      <x:c r="I302" s="11"/>
      <x:c r="J302" s="11"/>
      <x:c r="K302" s="9"/>
      <x:c r="L302" s="9"/>
      <x:c r="M302" s="12" t="str">
        <x:f>IF(A302="","",IF(G302="","À compléter",IF(AND(ISNUMBER(J302),J302&lt;='Tableau de bord'!$F$5),"Réalisée",IF(I302="","À compléter",IF(I302&lt;'Tableau de bord'!$F$5,"Retard","À venir")))))</x:f>
      </x:c>
      <x:c r="N302" s="12" t="str">
        <x:f>IF(OR(A302="",I302=""),"",IF(M302="Retard",'Tableau de bord'!$F$5-I302,0))</x:f>
      </x:c>
      <x:c r="O302" s="9"/>
      <x:c r="P302" s="12" t="str">
        <x:f>IF(A302="","",IF(OR(B302="",G302="",H302="",E302=""),"À compléter",IF(COUNTIFS($A$6:$A$505,A302,$B$6:$B$505,B302)&gt;1,"Doublon ID",IF(AND(ISNUMBER(J302),J302&lt;E302),"Incohérent",""))))</x:f>
      </x:c>
    </x:row>
    <x:row r="303" ht="23" customHeight="1">
      <x:c r="A303" s="9"/>
      <x:c r="B303" s="9"/>
      <x:c r="C303" s="9"/>
      <x:c r="D303" s="9"/>
      <x:c r="E303" s="11"/>
      <x:c r="F303" s="9"/>
      <x:c r="G303" s="9"/>
      <x:c r="H303" s="9"/>
      <x:c r="I303" s="11"/>
      <x:c r="J303" s="11"/>
      <x:c r="K303" s="9"/>
      <x:c r="L303" s="9"/>
      <x:c r="M303" s="12" t="str">
        <x:f>IF(A303="","",IF(G303="","À compléter",IF(AND(ISNUMBER(J303),J303&lt;='Tableau de bord'!$F$5),"Réalisée",IF(I303="","À compléter",IF(I303&lt;'Tableau de bord'!$F$5,"Retard","À venir")))))</x:f>
      </x:c>
      <x:c r="N303" s="12" t="str">
        <x:f>IF(OR(A303="",I303=""),"",IF(M303="Retard",'Tableau de bord'!$F$5-I303,0))</x:f>
      </x:c>
      <x:c r="O303" s="9"/>
      <x:c r="P303" s="12" t="str">
        <x:f>IF(A303="","",IF(OR(B303="",G303="",H303="",E303=""),"À compléter",IF(COUNTIFS($A$6:$A$505,A303,$B$6:$B$505,B303)&gt;1,"Doublon ID",IF(AND(ISNUMBER(J303),J303&lt;E303),"Incohérent",""))))</x:f>
      </x:c>
    </x:row>
    <x:row r="304" ht="23" customHeight="1">
      <x:c r="A304" s="9"/>
      <x:c r="B304" s="9"/>
      <x:c r="C304" s="9"/>
      <x:c r="D304" s="9"/>
      <x:c r="E304" s="11"/>
      <x:c r="F304" s="9"/>
      <x:c r="G304" s="9"/>
      <x:c r="H304" s="9"/>
      <x:c r="I304" s="11"/>
      <x:c r="J304" s="11"/>
      <x:c r="K304" s="9"/>
      <x:c r="L304" s="9"/>
      <x:c r="M304" s="12" t="str">
        <x:f>IF(A304="","",IF(G304="","À compléter",IF(AND(ISNUMBER(J304),J304&lt;='Tableau de bord'!$F$5),"Réalisée",IF(I304="","À compléter",IF(I304&lt;'Tableau de bord'!$F$5,"Retard","À venir")))))</x:f>
      </x:c>
      <x:c r="N304" s="12" t="str">
        <x:f>IF(OR(A304="",I304=""),"",IF(M304="Retard",'Tableau de bord'!$F$5-I304,0))</x:f>
      </x:c>
      <x:c r="O304" s="9"/>
      <x:c r="P304" s="12" t="str">
        <x:f>IF(A304="","",IF(OR(B304="",G304="",H304="",E304=""),"À compléter",IF(COUNTIFS($A$6:$A$505,A304,$B$6:$B$505,B304)&gt;1,"Doublon ID",IF(AND(ISNUMBER(J304),J304&lt;E304),"Incohérent",""))))</x:f>
      </x:c>
    </x:row>
    <x:row r="305" ht="23" customHeight="1">
      <x:c r="A305" s="9"/>
      <x:c r="B305" s="9"/>
      <x:c r="C305" s="9"/>
      <x:c r="D305" s="9"/>
      <x:c r="E305" s="11"/>
      <x:c r="F305" s="9"/>
      <x:c r="G305" s="9"/>
      <x:c r="H305" s="9"/>
      <x:c r="I305" s="11"/>
      <x:c r="J305" s="11"/>
      <x:c r="K305" s="9"/>
      <x:c r="L305" s="9"/>
      <x:c r="M305" s="12" t="str">
        <x:f>IF(A305="","",IF(G305="","À compléter",IF(AND(ISNUMBER(J305),J305&lt;='Tableau de bord'!$F$5),"Réalisée",IF(I305="","À compléter",IF(I305&lt;'Tableau de bord'!$F$5,"Retard","À venir")))))</x:f>
      </x:c>
      <x:c r="N305" s="12" t="str">
        <x:f>IF(OR(A305="",I305=""),"",IF(M305="Retard",'Tableau de bord'!$F$5-I305,0))</x:f>
      </x:c>
      <x:c r="O305" s="9"/>
      <x:c r="P305" s="12" t="str">
        <x:f>IF(A305="","",IF(OR(B305="",G305="",H305="",E305=""),"À compléter",IF(COUNTIFS($A$6:$A$505,A305,$B$6:$B$505,B305)&gt;1,"Doublon ID",IF(AND(ISNUMBER(J305),J305&lt;E305),"Incohérent",""))))</x:f>
      </x:c>
    </x:row>
    <x:row r="306" ht="23" customHeight="1">
      <x:c r="A306" s="9"/>
      <x:c r="B306" s="9"/>
      <x:c r="C306" s="9"/>
      <x:c r="D306" s="9"/>
      <x:c r="E306" s="11"/>
      <x:c r="F306" s="9"/>
      <x:c r="G306" s="9"/>
      <x:c r="H306" s="9"/>
      <x:c r="I306" s="11"/>
      <x:c r="J306" s="11"/>
      <x:c r="K306" s="9"/>
      <x:c r="L306" s="9"/>
      <x:c r="M306" s="12" t="str">
        <x:f>IF(A306="","",IF(G306="","À compléter",IF(AND(ISNUMBER(J306),J306&lt;='Tableau de bord'!$F$5),"Réalisée",IF(I306="","À compléter",IF(I306&lt;'Tableau de bord'!$F$5,"Retard","À venir")))))</x:f>
      </x:c>
      <x:c r="N306" s="12" t="str">
        <x:f>IF(OR(A306="",I306=""),"",IF(M306="Retard",'Tableau de bord'!$F$5-I306,0))</x:f>
      </x:c>
      <x:c r="O306" s="9"/>
      <x:c r="P306" s="12" t="str">
        <x:f>IF(A306="","",IF(OR(B306="",G306="",H306="",E306=""),"À compléter",IF(COUNTIFS($A$6:$A$505,A306,$B$6:$B$505,B306)&gt;1,"Doublon ID",IF(AND(ISNUMBER(J306),J306&lt;E306),"Incohérent",""))))</x:f>
      </x:c>
    </x:row>
    <x:row r="307" ht="23" customHeight="1">
      <x:c r="A307" s="9"/>
      <x:c r="B307" s="9"/>
      <x:c r="C307" s="9"/>
      <x:c r="D307" s="9"/>
      <x:c r="E307" s="11"/>
      <x:c r="F307" s="9"/>
      <x:c r="G307" s="9"/>
      <x:c r="H307" s="9"/>
      <x:c r="I307" s="11"/>
      <x:c r="J307" s="11"/>
      <x:c r="K307" s="9"/>
      <x:c r="L307" s="9"/>
      <x:c r="M307" s="12" t="str">
        <x:f>IF(A307="","",IF(G307="","À compléter",IF(AND(ISNUMBER(J307),J307&lt;='Tableau de bord'!$F$5),"Réalisée",IF(I307="","À compléter",IF(I307&lt;'Tableau de bord'!$F$5,"Retard","À venir")))))</x:f>
      </x:c>
      <x:c r="N307" s="12" t="str">
        <x:f>IF(OR(A307="",I307=""),"",IF(M307="Retard",'Tableau de bord'!$F$5-I307,0))</x:f>
      </x:c>
      <x:c r="O307" s="9"/>
      <x:c r="P307" s="12" t="str">
        <x:f>IF(A307="","",IF(OR(B307="",G307="",H307="",E307=""),"À compléter",IF(COUNTIFS($A$6:$A$505,A307,$B$6:$B$505,B307)&gt;1,"Doublon ID",IF(AND(ISNUMBER(J307),J307&lt;E307),"Incohérent",""))))</x:f>
      </x:c>
    </x:row>
    <x:row r="308" ht="23" customHeight="1">
      <x:c r="A308" s="9"/>
      <x:c r="B308" s="9"/>
      <x:c r="C308" s="9"/>
      <x:c r="D308" s="9"/>
      <x:c r="E308" s="11"/>
      <x:c r="F308" s="9"/>
      <x:c r="G308" s="9"/>
      <x:c r="H308" s="9"/>
      <x:c r="I308" s="11"/>
      <x:c r="J308" s="11"/>
      <x:c r="K308" s="9"/>
      <x:c r="L308" s="9"/>
      <x:c r="M308" s="12" t="str">
        <x:f>IF(A308="","",IF(G308="","À compléter",IF(AND(ISNUMBER(J308),J308&lt;='Tableau de bord'!$F$5),"Réalisée",IF(I308="","À compléter",IF(I308&lt;'Tableau de bord'!$F$5,"Retard","À venir")))))</x:f>
      </x:c>
      <x:c r="N308" s="12" t="str">
        <x:f>IF(OR(A308="",I308=""),"",IF(M308="Retard",'Tableau de bord'!$F$5-I308,0))</x:f>
      </x:c>
      <x:c r="O308" s="9"/>
      <x:c r="P308" s="12" t="str">
        <x:f>IF(A308="","",IF(OR(B308="",G308="",H308="",E308=""),"À compléter",IF(COUNTIFS($A$6:$A$505,A308,$B$6:$B$505,B308)&gt;1,"Doublon ID",IF(AND(ISNUMBER(J308),J308&lt;E308),"Incohérent",""))))</x:f>
      </x:c>
    </x:row>
    <x:row r="309" ht="23" customHeight="1">
      <x:c r="A309" s="9"/>
      <x:c r="B309" s="9"/>
      <x:c r="C309" s="9"/>
      <x:c r="D309" s="9"/>
      <x:c r="E309" s="11"/>
      <x:c r="F309" s="9"/>
      <x:c r="G309" s="9"/>
      <x:c r="H309" s="9"/>
      <x:c r="I309" s="11"/>
      <x:c r="J309" s="11"/>
      <x:c r="K309" s="9"/>
      <x:c r="L309" s="9"/>
      <x:c r="M309" s="12" t="str">
        <x:f>IF(A309="","",IF(G309="","À compléter",IF(AND(ISNUMBER(J309),J309&lt;='Tableau de bord'!$F$5),"Réalisée",IF(I309="","À compléter",IF(I309&lt;'Tableau de bord'!$F$5,"Retard","À venir")))))</x:f>
      </x:c>
      <x:c r="N309" s="12" t="str">
        <x:f>IF(OR(A309="",I309=""),"",IF(M309="Retard",'Tableau de bord'!$F$5-I309,0))</x:f>
      </x:c>
      <x:c r="O309" s="9"/>
      <x:c r="P309" s="12" t="str">
        <x:f>IF(A309="","",IF(OR(B309="",G309="",H309="",E309=""),"À compléter",IF(COUNTIFS($A$6:$A$505,A309,$B$6:$B$505,B309)&gt;1,"Doublon ID",IF(AND(ISNUMBER(J309),J309&lt;E309),"Incohérent",""))))</x:f>
      </x:c>
    </x:row>
    <x:row r="310" ht="23" customHeight="1">
      <x:c r="A310" s="9"/>
      <x:c r="B310" s="9"/>
      <x:c r="C310" s="9"/>
      <x:c r="D310" s="9"/>
      <x:c r="E310" s="11"/>
      <x:c r="F310" s="9"/>
      <x:c r="G310" s="9"/>
      <x:c r="H310" s="9"/>
      <x:c r="I310" s="11"/>
      <x:c r="J310" s="11"/>
      <x:c r="K310" s="9"/>
      <x:c r="L310" s="9"/>
      <x:c r="M310" s="12" t="str">
        <x:f>IF(A310="","",IF(G310="","À compléter",IF(AND(ISNUMBER(J310),J310&lt;='Tableau de bord'!$F$5),"Réalisée",IF(I310="","À compléter",IF(I310&lt;'Tableau de bord'!$F$5,"Retard","À venir")))))</x:f>
      </x:c>
      <x:c r="N310" s="12" t="str">
        <x:f>IF(OR(A310="",I310=""),"",IF(M310="Retard",'Tableau de bord'!$F$5-I310,0))</x:f>
      </x:c>
      <x:c r="O310" s="9"/>
      <x:c r="P310" s="12" t="str">
        <x:f>IF(A310="","",IF(OR(B310="",G310="",H310="",E310=""),"À compléter",IF(COUNTIFS($A$6:$A$505,A310,$B$6:$B$505,B310)&gt;1,"Doublon ID",IF(AND(ISNUMBER(J310),J310&lt;E310),"Incohérent",""))))</x:f>
      </x:c>
    </x:row>
    <x:row r="311" ht="23" customHeight="1">
      <x:c r="A311" s="9"/>
      <x:c r="B311" s="9"/>
      <x:c r="C311" s="9"/>
      <x:c r="D311" s="9"/>
      <x:c r="E311" s="11"/>
      <x:c r="F311" s="9"/>
      <x:c r="G311" s="9"/>
      <x:c r="H311" s="9"/>
      <x:c r="I311" s="11"/>
      <x:c r="J311" s="11"/>
      <x:c r="K311" s="9"/>
      <x:c r="L311" s="9"/>
      <x:c r="M311" s="12" t="str">
        <x:f>IF(A311="","",IF(G311="","À compléter",IF(AND(ISNUMBER(J311),J311&lt;='Tableau de bord'!$F$5),"Réalisée",IF(I311="","À compléter",IF(I311&lt;'Tableau de bord'!$F$5,"Retard","À venir")))))</x:f>
      </x:c>
      <x:c r="N311" s="12" t="str">
        <x:f>IF(OR(A311="",I311=""),"",IF(M311="Retard",'Tableau de bord'!$F$5-I311,0))</x:f>
      </x:c>
      <x:c r="O311" s="9"/>
      <x:c r="P311" s="12" t="str">
        <x:f>IF(A311="","",IF(OR(B311="",G311="",H311="",E311=""),"À compléter",IF(COUNTIFS($A$6:$A$505,A311,$B$6:$B$505,B311)&gt;1,"Doublon ID",IF(AND(ISNUMBER(J311),J311&lt;E311),"Incohérent",""))))</x:f>
      </x:c>
    </x:row>
    <x:row r="312" ht="23" customHeight="1">
      <x:c r="A312" s="9"/>
      <x:c r="B312" s="9"/>
      <x:c r="C312" s="9"/>
      <x:c r="D312" s="9"/>
      <x:c r="E312" s="11"/>
      <x:c r="F312" s="9"/>
      <x:c r="G312" s="9"/>
      <x:c r="H312" s="9"/>
      <x:c r="I312" s="11"/>
      <x:c r="J312" s="11"/>
      <x:c r="K312" s="9"/>
      <x:c r="L312" s="9"/>
      <x:c r="M312" s="12" t="str">
        <x:f>IF(A312="","",IF(G312="","À compléter",IF(AND(ISNUMBER(J312),J312&lt;='Tableau de bord'!$F$5),"Réalisée",IF(I312="","À compléter",IF(I312&lt;'Tableau de bord'!$F$5,"Retard","À venir")))))</x:f>
      </x:c>
      <x:c r="N312" s="12" t="str">
        <x:f>IF(OR(A312="",I312=""),"",IF(M312="Retard",'Tableau de bord'!$F$5-I312,0))</x:f>
      </x:c>
      <x:c r="O312" s="9"/>
      <x:c r="P312" s="12" t="str">
        <x:f>IF(A312="","",IF(OR(B312="",G312="",H312="",E312=""),"À compléter",IF(COUNTIFS($A$6:$A$505,A312,$B$6:$B$505,B312)&gt;1,"Doublon ID",IF(AND(ISNUMBER(J312),J312&lt;E312),"Incohérent",""))))</x:f>
      </x:c>
    </x:row>
    <x:row r="313" ht="23" customHeight="1">
      <x:c r="A313" s="9"/>
      <x:c r="B313" s="9"/>
      <x:c r="C313" s="9"/>
      <x:c r="D313" s="9"/>
      <x:c r="E313" s="11"/>
      <x:c r="F313" s="9"/>
      <x:c r="G313" s="9"/>
      <x:c r="H313" s="9"/>
      <x:c r="I313" s="11"/>
      <x:c r="J313" s="11"/>
      <x:c r="K313" s="9"/>
      <x:c r="L313" s="9"/>
      <x:c r="M313" s="12" t="str">
        <x:f>IF(A313="","",IF(G313="","À compléter",IF(AND(ISNUMBER(J313),J313&lt;='Tableau de bord'!$F$5),"Réalisée",IF(I313="","À compléter",IF(I313&lt;'Tableau de bord'!$F$5,"Retard","À venir")))))</x:f>
      </x:c>
      <x:c r="N313" s="12" t="str">
        <x:f>IF(OR(A313="",I313=""),"",IF(M313="Retard",'Tableau de bord'!$F$5-I313,0))</x:f>
      </x:c>
      <x:c r="O313" s="9"/>
      <x:c r="P313" s="12" t="str">
        <x:f>IF(A313="","",IF(OR(B313="",G313="",H313="",E313=""),"À compléter",IF(COUNTIFS($A$6:$A$505,A313,$B$6:$B$505,B313)&gt;1,"Doublon ID",IF(AND(ISNUMBER(J313),J313&lt;E313),"Incohérent",""))))</x:f>
      </x:c>
    </x:row>
    <x:row r="314" ht="23" customHeight="1">
      <x:c r="A314" s="9"/>
      <x:c r="B314" s="9"/>
      <x:c r="C314" s="9"/>
      <x:c r="D314" s="9"/>
      <x:c r="E314" s="11"/>
      <x:c r="F314" s="9"/>
      <x:c r="G314" s="9"/>
      <x:c r="H314" s="9"/>
      <x:c r="I314" s="11"/>
      <x:c r="J314" s="11"/>
      <x:c r="K314" s="9"/>
      <x:c r="L314" s="9"/>
      <x:c r="M314" s="12" t="str">
        <x:f>IF(A314="","",IF(G314="","À compléter",IF(AND(ISNUMBER(J314),J314&lt;='Tableau de bord'!$F$5),"Réalisée",IF(I314="","À compléter",IF(I314&lt;'Tableau de bord'!$F$5,"Retard","À venir")))))</x:f>
      </x:c>
      <x:c r="N314" s="12" t="str">
        <x:f>IF(OR(A314="",I314=""),"",IF(M314="Retard",'Tableau de bord'!$F$5-I314,0))</x:f>
      </x:c>
      <x:c r="O314" s="9"/>
      <x:c r="P314" s="12" t="str">
        <x:f>IF(A314="","",IF(OR(B314="",G314="",H314="",E314=""),"À compléter",IF(COUNTIFS($A$6:$A$505,A314,$B$6:$B$505,B314)&gt;1,"Doublon ID",IF(AND(ISNUMBER(J314),J314&lt;E314),"Incohérent",""))))</x:f>
      </x:c>
    </x:row>
    <x:row r="315" ht="23" customHeight="1">
      <x:c r="A315" s="9"/>
      <x:c r="B315" s="9"/>
      <x:c r="C315" s="9"/>
      <x:c r="D315" s="9"/>
      <x:c r="E315" s="11"/>
      <x:c r="F315" s="9"/>
      <x:c r="G315" s="9"/>
      <x:c r="H315" s="9"/>
      <x:c r="I315" s="11"/>
      <x:c r="J315" s="11"/>
      <x:c r="K315" s="9"/>
      <x:c r="L315" s="9"/>
      <x:c r="M315" s="12" t="str">
        <x:f>IF(A315="","",IF(G315="","À compléter",IF(AND(ISNUMBER(J315),J315&lt;='Tableau de bord'!$F$5),"Réalisée",IF(I315="","À compléter",IF(I315&lt;'Tableau de bord'!$F$5,"Retard","À venir")))))</x:f>
      </x:c>
      <x:c r="N315" s="12" t="str">
        <x:f>IF(OR(A315="",I315=""),"",IF(M315="Retard",'Tableau de bord'!$F$5-I315,0))</x:f>
      </x:c>
      <x:c r="O315" s="9"/>
      <x:c r="P315" s="12" t="str">
        <x:f>IF(A315="","",IF(OR(B315="",G315="",H315="",E315=""),"À compléter",IF(COUNTIFS($A$6:$A$505,A315,$B$6:$B$505,B315)&gt;1,"Doublon ID",IF(AND(ISNUMBER(J315),J315&lt;E315),"Incohérent",""))))</x:f>
      </x:c>
    </x:row>
    <x:row r="316" ht="23" customHeight="1">
      <x:c r="A316" s="9"/>
      <x:c r="B316" s="9"/>
      <x:c r="C316" s="9"/>
      <x:c r="D316" s="9"/>
      <x:c r="E316" s="11"/>
      <x:c r="F316" s="9"/>
      <x:c r="G316" s="9"/>
      <x:c r="H316" s="9"/>
      <x:c r="I316" s="11"/>
      <x:c r="J316" s="11"/>
      <x:c r="K316" s="9"/>
      <x:c r="L316" s="9"/>
      <x:c r="M316" s="12" t="str">
        <x:f>IF(A316="","",IF(G316="","À compléter",IF(AND(ISNUMBER(J316),J316&lt;='Tableau de bord'!$F$5),"Réalisée",IF(I316="","À compléter",IF(I316&lt;'Tableau de bord'!$F$5,"Retard","À venir")))))</x:f>
      </x:c>
      <x:c r="N316" s="12" t="str">
        <x:f>IF(OR(A316="",I316=""),"",IF(M316="Retard",'Tableau de bord'!$F$5-I316,0))</x:f>
      </x:c>
      <x:c r="O316" s="9"/>
      <x:c r="P316" s="12" t="str">
        <x:f>IF(A316="","",IF(OR(B316="",G316="",H316="",E316=""),"À compléter",IF(COUNTIFS($A$6:$A$505,A316,$B$6:$B$505,B316)&gt;1,"Doublon ID",IF(AND(ISNUMBER(J316),J316&lt;E316),"Incohérent",""))))</x:f>
      </x:c>
    </x:row>
    <x:row r="317" ht="23" customHeight="1">
      <x:c r="A317" s="9"/>
      <x:c r="B317" s="9"/>
      <x:c r="C317" s="9"/>
      <x:c r="D317" s="9"/>
      <x:c r="E317" s="11"/>
      <x:c r="F317" s="9"/>
      <x:c r="G317" s="9"/>
      <x:c r="H317" s="9"/>
      <x:c r="I317" s="11"/>
      <x:c r="J317" s="11"/>
      <x:c r="K317" s="9"/>
      <x:c r="L317" s="9"/>
      <x:c r="M317" s="12" t="str">
        <x:f>IF(A317="","",IF(G317="","À compléter",IF(AND(ISNUMBER(J317),J317&lt;='Tableau de bord'!$F$5),"Réalisée",IF(I317="","À compléter",IF(I317&lt;'Tableau de bord'!$F$5,"Retard","À venir")))))</x:f>
      </x:c>
      <x:c r="N317" s="12" t="str">
        <x:f>IF(OR(A317="",I317=""),"",IF(M317="Retard",'Tableau de bord'!$F$5-I317,0))</x:f>
      </x:c>
      <x:c r="O317" s="9"/>
      <x:c r="P317" s="12" t="str">
        <x:f>IF(A317="","",IF(OR(B317="",G317="",H317="",E317=""),"À compléter",IF(COUNTIFS($A$6:$A$505,A317,$B$6:$B$505,B317)&gt;1,"Doublon ID",IF(AND(ISNUMBER(J317),J317&lt;E317),"Incohérent",""))))</x:f>
      </x:c>
    </x:row>
    <x:row r="318" ht="23" customHeight="1">
      <x:c r="A318" s="9"/>
      <x:c r="B318" s="9"/>
      <x:c r="C318" s="9"/>
      <x:c r="D318" s="9"/>
      <x:c r="E318" s="11"/>
      <x:c r="F318" s="9"/>
      <x:c r="G318" s="9"/>
      <x:c r="H318" s="9"/>
      <x:c r="I318" s="11"/>
      <x:c r="J318" s="11"/>
      <x:c r="K318" s="9"/>
      <x:c r="L318" s="9"/>
      <x:c r="M318" s="12" t="str">
        <x:f>IF(A318="","",IF(G318="","À compléter",IF(AND(ISNUMBER(J318),J318&lt;='Tableau de bord'!$F$5),"Réalisée",IF(I318="","À compléter",IF(I318&lt;'Tableau de bord'!$F$5,"Retard","À venir")))))</x:f>
      </x:c>
      <x:c r="N318" s="12" t="str">
        <x:f>IF(OR(A318="",I318=""),"",IF(M318="Retard",'Tableau de bord'!$F$5-I318,0))</x:f>
      </x:c>
      <x:c r="O318" s="9"/>
      <x:c r="P318" s="12" t="str">
        <x:f>IF(A318="","",IF(OR(B318="",G318="",H318="",E318=""),"À compléter",IF(COUNTIFS($A$6:$A$505,A318,$B$6:$B$505,B318)&gt;1,"Doublon ID",IF(AND(ISNUMBER(J318),J318&lt;E318),"Incohérent",""))))</x:f>
      </x:c>
    </x:row>
    <x:row r="319" ht="23" customHeight="1">
      <x:c r="A319" s="9"/>
      <x:c r="B319" s="9"/>
      <x:c r="C319" s="9"/>
      <x:c r="D319" s="9"/>
      <x:c r="E319" s="11"/>
      <x:c r="F319" s="9"/>
      <x:c r="G319" s="9"/>
      <x:c r="H319" s="9"/>
      <x:c r="I319" s="11"/>
      <x:c r="J319" s="11"/>
      <x:c r="K319" s="9"/>
      <x:c r="L319" s="9"/>
      <x:c r="M319" s="12" t="str">
        <x:f>IF(A319="","",IF(G319="","À compléter",IF(AND(ISNUMBER(J319),J319&lt;='Tableau de bord'!$F$5),"Réalisée",IF(I319="","À compléter",IF(I319&lt;'Tableau de bord'!$F$5,"Retard","À venir")))))</x:f>
      </x:c>
      <x:c r="N319" s="12" t="str">
        <x:f>IF(OR(A319="",I319=""),"",IF(M319="Retard",'Tableau de bord'!$F$5-I319,0))</x:f>
      </x:c>
      <x:c r="O319" s="9"/>
      <x:c r="P319" s="12" t="str">
        <x:f>IF(A319="","",IF(OR(B319="",G319="",H319="",E319=""),"À compléter",IF(COUNTIFS($A$6:$A$505,A319,$B$6:$B$505,B319)&gt;1,"Doublon ID",IF(AND(ISNUMBER(J319),J319&lt;E319),"Incohérent",""))))</x:f>
      </x:c>
    </x:row>
    <x:row r="320" ht="23" customHeight="1">
      <x:c r="A320" s="9"/>
      <x:c r="B320" s="9"/>
      <x:c r="C320" s="9"/>
      <x:c r="D320" s="9"/>
      <x:c r="E320" s="11"/>
      <x:c r="F320" s="9"/>
      <x:c r="G320" s="9"/>
      <x:c r="H320" s="9"/>
      <x:c r="I320" s="11"/>
      <x:c r="J320" s="11"/>
      <x:c r="K320" s="9"/>
      <x:c r="L320" s="9"/>
      <x:c r="M320" s="12" t="str">
        <x:f>IF(A320="","",IF(G320="","À compléter",IF(AND(ISNUMBER(J320),J320&lt;='Tableau de bord'!$F$5),"Réalisée",IF(I320="","À compléter",IF(I320&lt;'Tableau de bord'!$F$5,"Retard","À venir")))))</x:f>
      </x:c>
      <x:c r="N320" s="12" t="str">
        <x:f>IF(OR(A320="",I320=""),"",IF(M320="Retard",'Tableau de bord'!$F$5-I320,0))</x:f>
      </x:c>
      <x:c r="O320" s="9"/>
      <x:c r="P320" s="12" t="str">
        <x:f>IF(A320="","",IF(OR(B320="",G320="",H320="",E320=""),"À compléter",IF(COUNTIFS($A$6:$A$505,A320,$B$6:$B$505,B320)&gt;1,"Doublon ID",IF(AND(ISNUMBER(J320),J320&lt;E320),"Incohérent",""))))</x:f>
      </x:c>
    </x:row>
    <x:row r="321" ht="23" customHeight="1">
      <x:c r="A321" s="9"/>
      <x:c r="B321" s="9"/>
      <x:c r="C321" s="9"/>
      <x:c r="D321" s="9"/>
      <x:c r="E321" s="11"/>
      <x:c r="F321" s="9"/>
      <x:c r="G321" s="9"/>
      <x:c r="H321" s="9"/>
      <x:c r="I321" s="11"/>
      <x:c r="J321" s="11"/>
      <x:c r="K321" s="9"/>
      <x:c r="L321" s="9"/>
      <x:c r="M321" s="12" t="str">
        <x:f>IF(A321="","",IF(G321="","À compléter",IF(AND(ISNUMBER(J321),J321&lt;='Tableau de bord'!$F$5),"Réalisée",IF(I321="","À compléter",IF(I321&lt;'Tableau de bord'!$F$5,"Retard","À venir")))))</x:f>
      </x:c>
      <x:c r="N321" s="12" t="str">
        <x:f>IF(OR(A321="",I321=""),"",IF(M321="Retard",'Tableau de bord'!$F$5-I321,0))</x:f>
      </x:c>
      <x:c r="O321" s="9"/>
      <x:c r="P321" s="12" t="str">
        <x:f>IF(A321="","",IF(OR(B321="",G321="",H321="",E321=""),"À compléter",IF(COUNTIFS($A$6:$A$505,A321,$B$6:$B$505,B321)&gt;1,"Doublon ID",IF(AND(ISNUMBER(J321),J321&lt;E321),"Incohérent",""))))</x:f>
      </x:c>
    </x:row>
    <x:row r="322" ht="23" customHeight="1">
      <x:c r="A322" s="9"/>
      <x:c r="B322" s="9"/>
      <x:c r="C322" s="9"/>
      <x:c r="D322" s="9"/>
      <x:c r="E322" s="11"/>
      <x:c r="F322" s="9"/>
      <x:c r="G322" s="9"/>
      <x:c r="H322" s="9"/>
      <x:c r="I322" s="11"/>
      <x:c r="J322" s="11"/>
      <x:c r="K322" s="9"/>
      <x:c r="L322" s="9"/>
      <x:c r="M322" s="12" t="str">
        <x:f>IF(A322="","",IF(G322="","À compléter",IF(AND(ISNUMBER(J322),J322&lt;='Tableau de bord'!$F$5),"Réalisée",IF(I322="","À compléter",IF(I322&lt;'Tableau de bord'!$F$5,"Retard","À venir")))))</x:f>
      </x:c>
      <x:c r="N322" s="12" t="str">
        <x:f>IF(OR(A322="",I322=""),"",IF(M322="Retard",'Tableau de bord'!$F$5-I322,0))</x:f>
      </x:c>
      <x:c r="O322" s="9"/>
      <x:c r="P322" s="12" t="str">
        <x:f>IF(A322="","",IF(OR(B322="",G322="",H322="",E322=""),"À compléter",IF(COUNTIFS($A$6:$A$505,A322,$B$6:$B$505,B322)&gt;1,"Doublon ID",IF(AND(ISNUMBER(J322),J322&lt;E322),"Incohérent",""))))</x:f>
      </x:c>
    </x:row>
    <x:row r="323" ht="23" customHeight="1">
      <x:c r="A323" s="9"/>
      <x:c r="B323" s="9"/>
      <x:c r="C323" s="9"/>
      <x:c r="D323" s="9"/>
      <x:c r="E323" s="11"/>
      <x:c r="F323" s="9"/>
      <x:c r="G323" s="9"/>
      <x:c r="H323" s="9"/>
      <x:c r="I323" s="11"/>
      <x:c r="J323" s="11"/>
      <x:c r="K323" s="9"/>
      <x:c r="L323" s="9"/>
      <x:c r="M323" s="12" t="str">
        <x:f>IF(A323="","",IF(G323="","À compléter",IF(AND(ISNUMBER(J323),J323&lt;='Tableau de bord'!$F$5),"Réalisée",IF(I323="","À compléter",IF(I323&lt;'Tableau de bord'!$F$5,"Retard","À venir")))))</x:f>
      </x:c>
      <x:c r="N323" s="12" t="str">
        <x:f>IF(OR(A323="",I323=""),"",IF(M323="Retard",'Tableau de bord'!$F$5-I323,0))</x:f>
      </x:c>
      <x:c r="O323" s="9"/>
      <x:c r="P323" s="12" t="str">
        <x:f>IF(A323="","",IF(OR(B323="",G323="",H323="",E323=""),"À compléter",IF(COUNTIFS($A$6:$A$505,A323,$B$6:$B$505,B323)&gt;1,"Doublon ID",IF(AND(ISNUMBER(J323),J323&lt;E323),"Incohérent",""))))</x:f>
      </x:c>
    </x:row>
    <x:row r="324" ht="23" customHeight="1">
      <x:c r="A324" s="9"/>
      <x:c r="B324" s="9"/>
      <x:c r="C324" s="9"/>
      <x:c r="D324" s="9"/>
      <x:c r="E324" s="11"/>
      <x:c r="F324" s="9"/>
      <x:c r="G324" s="9"/>
      <x:c r="H324" s="9"/>
      <x:c r="I324" s="11"/>
      <x:c r="J324" s="11"/>
      <x:c r="K324" s="9"/>
      <x:c r="L324" s="9"/>
      <x:c r="M324" s="12" t="str">
        <x:f>IF(A324="","",IF(G324="","À compléter",IF(AND(ISNUMBER(J324),J324&lt;='Tableau de bord'!$F$5),"Réalisée",IF(I324="","À compléter",IF(I324&lt;'Tableau de bord'!$F$5,"Retard","À venir")))))</x:f>
      </x:c>
      <x:c r="N324" s="12" t="str">
        <x:f>IF(OR(A324="",I324=""),"",IF(M324="Retard",'Tableau de bord'!$F$5-I324,0))</x:f>
      </x:c>
      <x:c r="O324" s="9"/>
      <x:c r="P324" s="12" t="str">
        <x:f>IF(A324="","",IF(OR(B324="",G324="",H324="",E324=""),"À compléter",IF(COUNTIFS($A$6:$A$505,A324,$B$6:$B$505,B324)&gt;1,"Doublon ID",IF(AND(ISNUMBER(J324),J324&lt;E324),"Incohérent",""))))</x:f>
      </x:c>
    </x:row>
    <x:row r="325" ht="23" customHeight="1">
      <x:c r="A325" s="9"/>
      <x:c r="B325" s="9"/>
      <x:c r="C325" s="9"/>
      <x:c r="D325" s="9"/>
      <x:c r="E325" s="11"/>
      <x:c r="F325" s="9"/>
      <x:c r="G325" s="9"/>
      <x:c r="H325" s="9"/>
      <x:c r="I325" s="11"/>
      <x:c r="J325" s="11"/>
      <x:c r="K325" s="9"/>
      <x:c r="L325" s="9"/>
      <x:c r="M325" s="12" t="str">
        <x:f>IF(A325="","",IF(G325="","À compléter",IF(AND(ISNUMBER(J325),J325&lt;='Tableau de bord'!$F$5),"Réalisée",IF(I325="","À compléter",IF(I325&lt;'Tableau de bord'!$F$5,"Retard","À venir")))))</x:f>
      </x:c>
      <x:c r="N325" s="12" t="str">
        <x:f>IF(OR(A325="",I325=""),"",IF(M325="Retard",'Tableau de bord'!$F$5-I325,0))</x:f>
      </x:c>
      <x:c r="O325" s="9"/>
      <x:c r="P325" s="12" t="str">
        <x:f>IF(A325="","",IF(OR(B325="",G325="",H325="",E325=""),"À compléter",IF(COUNTIFS($A$6:$A$505,A325,$B$6:$B$505,B325)&gt;1,"Doublon ID",IF(AND(ISNUMBER(J325),J325&lt;E325),"Incohérent",""))))</x:f>
      </x:c>
    </x:row>
    <x:row r="326" ht="23" customHeight="1">
      <x:c r="A326" s="9"/>
      <x:c r="B326" s="9"/>
      <x:c r="C326" s="9"/>
      <x:c r="D326" s="9"/>
      <x:c r="E326" s="11"/>
      <x:c r="F326" s="9"/>
      <x:c r="G326" s="9"/>
      <x:c r="H326" s="9"/>
      <x:c r="I326" s="11"/>
      <x:c r="J326" s="11"/>
      <x:c r="K326" s="9"/>
      <x:c r="L326" s="9"/>
      <x:c r="M326" s="12" t="str">
        <x:f>IF(A326="","",IF(G326="","À compléter",IF(AND(ISNUMBER(J326),J326&lt;='Tableau de bord'!$F$5),"Réalisée",IF(I326="","À compléter",IF(I326&lt;'Tableau de bord'!$F$5,"Retard","À venir")))))</x:f>
      </x:c>
      <x:c r="N326" s="12" t="str">
        <x:f>IF(OR(A326="",I326=""),"",IF(M326="Retard",'Tableau de bord'!$F$5-I326,0))</x:f>
      </x:c>
      <x:c r="O326" s="9"/>
      <x:c r="P326" s="12" t="str">
        <x:f>IF(A326="","",IF(OR(B326="",G326="",H326="",E326=""),"À compléter",IF(COUNTIFS($A$6:$A$505,A326,$B$6:$B$505,B326)&gt;1,"Doublon ID",IF(AND(ISNUMBER(J326),J326&lt;E326),"Incohérent",""))))</x:f>
      </x:c>
    </x:row>
    <x:row r="327" ht="23" customHeight="1">
      <x:c r="A327" s="9"/>
      <x:c r="B327" s="9"/>
      <x:c r="C327" s="9"/>
      <x:c r="D327" s="9"/>
      <x:c r="E327" s="11"/>
      <x:c r="F327" s="9"/>
      <x:c r="G327" s="9"/>
      <x:c r="H327" s="9"/>
      <x:c r="I327" s="11"/>
      <x:c r="J327" s="11"/>
      <x:c r="K327" s="9"/>
      <x:c r="L327" s="9"/>
      <x:c r="M327" s="12" t="str">
        <x:f>IF(A327="","",IF(G327="","À compléter",IF(AND(ISNUMBER(J327),J327&lt;='Tableau de bord'!$F$5),"Réalisée",IF(I327="","À compléter",IF(I327&lt;'Tableau de bord'!$F$5,"Retard","À venir")))))</x:f>
      </x:c>
      <x:c r="N327" s="12" t="str">
        <x:f>IF(OR(A327="",I327=""),"",IF(M327="Retard",'Tableau de bord'!$F$5-I327,0))</x:f>
      </x:c>
      <x:c r="O327" s="9"/>
      <x:c r="P327" s="12" t="str">
        <x:f>IF(A327="","",IF(OR(B327="",G327="",H327="",E327=""),"À compléter",IF(COUNTIFS($A$6:$A$505,A327,$B$6:$B$505,B327)&gt;1,"Doublon ID",IF(AND(ISNUMBER(J327),J327&lt;E327),"Incohérent",""))))</x:f>
      </x:c>
    </x:row>
    <x:row r="328" ht="23" customHeight="1">
      <x:c r="A328" s="9"/>
      <x:c r="B328" s="9"/>
      <x:c r="C328" s="9"/>
      <x:c r="D328" s="9"/>
      <x:c r="E328" s="11"/>
      <x:c r="F328" s="9"/>
      <x:c r="G328" s="9"/>
      <x:c r="H328" s="9"/>
      <x:c r="I328" s="11"/>
      <x:c r="J328" s="11"/>
      <x:c r="K328" s="9"/>
      <x:c r="L328" s="9"/>
      <x:c r="M328" s="12" t="str">
        <x:f>IF(A328="","",IF(G328="","À compléter",IF(AND(ISNUMBER(J328),J328&lt;='Tableau de bord'!$F$5),"Réalisée",IF(I328="","À compléter",IF(I328&lt;'Tableau de bord'!$F$5,"Retard","À venir")))))</x:f>
      </x:c>
      <x:c r="N328" s="12" t="str">
        <x:f>IF(OR(A328="",I328=""),"",IF(M328="Retard",'Tableau de bord'!$F$5-I328,0))</x:f>
      </x:c>
      <x:c r="O328" s="9"/>
      <x:c r="P328" s="12" t="str">
        <x:f>IF(A328="","",IF(OR(B328="",G328="",H328="",E328=""),"À compléter",IF(COUNTIFS($A$6:$A$505,A328,$B$6:$B$505,B328)&gt;1,"Doublon ID",IF(AND(ISNUMBER(J328),J328&lt;E328),"Incohérent",""))))</x:f>
      </x:c>
    </x:row>
    <x:row r="329" ht="23" customHeight="1">
      <x:c r="A329" s="9"/>
      <x:c r="B329" s="9"/>
      <x:c r="C329" s="9"/>
      <x:c r="D329" s="9"/>
      <x:c r="E329" s="11"/>
      <x:c r="F329" s="9"/>
      <x:c r="G329" s="9"/>
      <x:c r="H329" s="9"/>
      <x:c r="I329" s="11"/>
      <x:c r="J329" s="11"/>
      <x:c r="K329" s="9"/>
      <x:c r="L329" s="9"/>
      <x:c r="M329" s="12" t="str">
        <x:f>IF(A329="","",IF(G329="","À compléter",IF(AND(ISNUMBER(J329),J329&lt;='Tableau de bord'!$F$5),"Réalisée",IF(I329="","À compléter",IF(I329&lt;'Tableau de bord'!$F$5,"Retard","À venir")))))</x:f>
      </x:c>
      <x:c r="N329" s="12" t="str">
        <x:f>IF(OR(A329="",I329=""),"",IF(M329="Retard",'Tableau de bord'!$F$5-I329,0))</x:f>
      </x:c>
      <x:c r="O329" s="9"/>
      <x:c r="P329" s="12" t="str">
        <x:f>IF(A329="","",IF(OR(B329="",G329="",H329="",E329=""),"À compléter",IF(COUNTIFS($A$6:$A$505,A329,$B$6:$B$505,B329)&gt;1,"Doublon ID",IF(AND(ISNUMBER(J329),J329&lt;E329),"Incohérent",""))))</x:f>
      </x:c>
    </x:row>
    <x:row r="330" ht="23" customHeight="1">
      <x:c r="A330" s="9"/>
      <x:c r="B330" s="9"/>
      <x:c r="C330" s="9"/>
      <x:c r="D330" s="9"/>
      <x:c r="E330" s="11"/>
      <x:c r="F330" s="9"/>
      <x:c r="G330" s="9"/>
      <x:c r="H330" s="9"/>
      <x:c r="I330" s="11"/>
      <x:c r="J330" s="11"/>
      <x:c r="K330" s="9"/>
      <x:c r="L330" s="9"/>
      <x:c r="M330" s="12" t="str">
        <x:f>IF(A330="","",IF(G330="","À compléter",IF(AND(ISNUMBER(J330),J330&lt;='Tableau de bord'!$F$5),"Réalisée",IF(I330="","À compléter",IF(I330&lt;'Tableau de bord'!$F$5,"Retard","À venir")))))</x:f>
      </x:c>
      <x:c r="N330" s="12" t="str">
        <x:f>IF(OR(A330="",I330=""),"",IF(M330="Retard",'Tableau de bord'!$F$5-I330,0))</x:f>
      </x:c>
      <x:c r="O330" s="9"/>
      <x:c r="P330" s="12" t="str">
        <x:f>IF(A330="","",IF(OR(B330="",G330="",H330="",E330=""),"À compléter",IF(COUNTIFS($A$6:$A$505,A330,$B$6:$B$505,B330)&gt;1,"Doublon ID",IF(AND(ISNUMBER(J330),J330&lt;E330),"Incohérent",""))))</x:f>
      </x:c>
    </x:row>
    <x:row r="331" ht="23" customHeight="1">
      <x:c r="A331" s="9"/>
      <x:c r="B331" s="9"/>
      <x:c r="C331" s="9"/>
      <x:c r="D331" s="9"/>
      <x:c r="E331" s="11"/>
      <x:c r="F331" s="9"/>
      <x:c r="G331" s="9"/>
      <x:c r="H331" s="9"/>
      <x:c r="I331" s="11"/>
      <x:c r="J331" s="11"/>
      <x:c r="K331" s="9"/>
      <x:c r="L331" s="9"/>
      <x:c r="M331" s="12" t="str">
        <x:f>IF(A331="","",IF(G331="","À compléter",IF(AND(ISNUMBER(J331),J331&lt;='Tableau de bord'!$F$5),"Réalisée",IF(I331="","À compléter",IF(I331&lt;'Tableau de bord'!$F$5,"Retard","À venir")))))</x:f>
      </x:c>
      <x:c r="N331" s="12" t="str">
        <x:f>IF(OR(A331="",I331=""),"",IF(M331="Retard",'Tableau de bord'!$F$5-I331,0))</x:f>
      </x:c>
      <x:c r="O331" s="9"/>
      <x:c r="P331" s="12" t="str">
        <x:f>IF(A331="","",IF(OR(B331="",G331="",H331="",E331=""),"À compléter",IF(COUNTIFS($A$6:$A$505,A331,$B$6:$B$505,B331)&gt;1,"Doublon ID",IF(AND(ISNUMBER(J331),J331&lt;E331),"Incohérent",""))))</x:f>
      </x:c>
    </x:row>
    <x:row r="332" ht="23" customHeight="1">
      <x:c r="A332" s="9"/>
      <x:c r="B332" s="9"/>
      <x:c r="C332" s="9"/>
      <x:c r="D332" s="9"/>
      <x:c r="E332" s="11"/>
      <x:c r="F332" s="9"/>
      <x:c r="G332" s="9"/>
      <x:c r="H332" s="9"/>
      <x:c r="I332" s="11"/>
      <x:c r="J332" s="11"/>
      <x:c r="K332" s="9"/>
      <x:c r="L332" s="9"/>
      <x:c r="M332" s="12" t="str">
        <x:f>IF(A332="","",IF(G332="","À compléter",IF(AND(ISNUMBER(J332),J332&lt;='Tableau de bord'!$F$5),"Réalisée",IF(I332="","À compléter",IF(I332&lt;'Tableau de bord'!$F$5,"Retard","À venir")))))</x:f>
      </x:c>
      <x:c r="N332" s="12" t="str">
        <x:f>IF(OR(A332="",I332=""),"",IF(M332="Retard",'Tableau de bord'!$F$5-I332,0))</x:f>
      </x:c>
      <x:c r="O332" s="9"/>
      <x:c r="P332" s="12" t="str">
        <x:f>IF(A332="","",IF(OR(B332="",G332="",H332="",E332=""),"À compléter",IF(COUNTIFS($A$6:$A$505,A332,$B$6:$B$505,B332)&gt;1,"Doublon ID",IF(AND(ISNUMBER(J332),J332&lt;E332),"Incohérent",""))))</x:f>
      </x:c>
    </x:row>
    <x:row r="333" ht="23" customHeight="1">
      <x:c r="A333" s="9"/>
      <x:c r="B333" s="9"/>
      <x:c r="C333" s="9"/>
      <x:c r="D333" s="9"/>
      <x:c r="E333" s="11"/>
      <x:c r="F333" s="9"/>
      <x:c r="G333" s="9"/>
      <x:c r="H333" s="9"/>
      <x:c r="I333" s="11"/>
      <x:c r="J333" s="11"/>
      <x:c r="K333" s="9"/>
      <x:c r="L333" s="9"/>
      <x:c r="M333" s="12" t="str">
        <x:f>IF(A333="","",IF(G333="","À compléter",IF(AND(ISNUMBER(J333),J333&lt;='Tableau de bord'!$F$5),"Réalisée",IF(I333="","À compléter",IF(I333&lt;'Tableau de bord'!$F$5,"Retard","À venir")))))</x:f>
      </x:c>
      <x:c r="N333" s="12" t="str">
        <x:f>IF(OR(A333="",I333=""),"",IF(M333="Retard",'Tableau de bord'!$F$5-I333,0))</x:f>
      </x:c>
      <x:c r="O333" s="9"/>
      <x:c r="P333" s="12" t="str">
        <x:f>IF(A333="","",IF(OR(B333="",G333="",H333="",E333=""),"À compléter",IF(COUNTIFS($A$6:$A$505,A333,$B$6:$B$505,B333)&gt;1,"Doublon ID",IF(AND(ISNUMBER(J333),J333&lt;E333),"Incohérent",""))))</x:f>
      </x:c>
    </x:row>
    <x:row r="334" ht="23" customHeight="1">
      <x:c r="A334" s="9"/>
      <x:c r="B334" s="9"/>
      <x:c r="C334" s="9"/>
      <x:c r="D334" s="9"/>
      <x:c r="E334" s="11"/>
      <x:c r="F334" s="9"/>
      <x:c r="G334" s="9"/>
      <x:c r="H334" s="9"/>
      <x:c r="I334" s="11"/>
      <x:c r="J334" s="11"/>
      <x:c r="K334" s="9"/>
      <x:c r="L334" s="9"/>
      <x:c r="M334" s="12" t="str">
        <x:f>IF(A334="","",IF(G334="","À compléter",IF(AND(ISNUMBER(J334),J334&lt;='Tableau de bord'!$F$5),"Réalisée",IF(I334="","À compléter",IF(I334&lt;'Tableau de bord'!$F$5,"Retard","À venir")))))</x:f>
      </x:c>
      <x:c r="N334" s="12" t="str">
        <x:f>IF(OR(A334="",I334=""),"",IF(M334="Retard",'Tableau de bord'!$F$5-I334,0))</x:f>
      </x:c>
      <x:c r="O334" s="9"/>
      <x:c r="P334" s="12" t="str">
        <x:f>IF(A334="","",IF(OR(B334="",G334="",H334="",E334=""),"À compléter",IF(COUNTIFS($A$6:$A$505,A334,$B$6:$B$505,B334)&gt;1,"Doublon ID",IF(AND(ISNUMBER(J334),J334&lt;E334),"Incohérent",""))))</x:f>
      </x:c>
    </x:row>
    <x:row r="335" ht="23" customHeight="1">
      <x:c r="A335" s="9"/>
      <x:c r="B335" s="9"/>
      <x:c r="C335" s="9"/>
      <x:c r="D335" s="9"/>
      <x:c r="E335" s="11"/>
      <x:c r="F335" s="9"/>
      <x:c r="G335" s="9"/>
      <x:c r="H335" s="9"/>
      <x:c r="I335" s="11"/>
      <x:c r="J335" s="11"/>
      <x:c r="K335" s="9"/>
      <x:c r="L335" s="9"/>
      <x:c r="M335" s="12" t="str">
        <x:f>IF(A335="","",IF(G335="","À compléter",IF(AND(ISNUMBER(J335),J335&lt;='Tableau de bord'!$F$5),"Réalisée",IF(I335="","À compléter",IF(I335&lt;'Tableau de bord'!$F$5,"Retard","À venir")))))</x:f>
      </x:c>
      <x:c r="N335" s="12" t="str">
        <x:f>IF(OR(A335="",I335=""),"",IF(M335="Retard",'Tableau de bord'!$F$5-I335,0))</x:f>
      </x:c>
      <x:c r="O335" s="9"/>
      <x:c r="P335" s="12" t="str">
        <x:f>IF(A335="","",IF(OR(B335="",G335="",H335="",E335=""),"À compléter",IF(COUNTIFS($A$6:$A$505,A335,$B$6:$B$505,B335)&gt;1,"Doublon ID",IF(AND(ISNUMBER(J335),J335&lt;E335),"Incohérent",""))))</x:f>
      </x:c>
    </x:row>
    <x:row r="336" ht="23" customHeight="1">
      <x:c r="A336" s="9"/>
      <x:c r="B336" s="9"/>
      <x:c r="C336" s="9"/>
      <x:c r="D336" s="9"/>
      <x:c r="E336" s="11"/>
      <x:c r="F336" s="9"/>
      <x:c r="G336" s="9"/>
      <x:c r="H336" s="9"/>
      <x:c r="I336" s="11"/>
      <x:c r="J336" s="11"/>
      <x:c r="K336" s="9"/>
      <x:c r="L336" s="9"/>
      <x:c r="M336" s="12" t="str">
        <x:f>IF(A336="","",IF(G336="","À compléter",IF(AND(ISNUMBER(J336),J336&lt;='Tableau de bord'!$F$5),"Réalisée",IF(I336="","À compléter",IF(I336&lt;'Tableau de bord'!$F$5,"Retard","À venir")))))</x:f>
      </x:c>
      <x:c r="N336" s="12" t="str">
        <x:f>IF(OR(A336="",I336=""),"",IF(M336="Retard",'Tableau de bord'!$F$5-I336,0))</x:f>
      </x:c>
      <x:c r="O336" s="9"/>
      <x:c r="P336" s="12" t="str">
        <x:f>IF(A336="","",IF(OR(B336="",G336="",H336="",E336=""),"À compléter",IF(COUNTIFS($A$6:$A$505,A336,$B$6:$B$505,B336)&gt;1,"Doublon ID",IF(AND(ISNUMBER(J336),J336&lt;E336),"Incohérent",""))))</x:f>
      </x:c>
    </x:row>
    <x:row r="337" ht="23" customHeight="1">
      <x:c r="A337" s="9"/>
      <x:c r="B337" s="9"/>
      <x:c r="C337" s="9"/>
      <x:c r="D337" s="9"/>
      <x:c r="E337" s="11"/>
      <x:c r="F337" s="9"/>
      <x:c r="G337" s="9"/>
      <x:c r="H337" s="9"/>
      <x:c r="I337" s="11"/>
      <x:c r="J337" s="11"/>
      <x:c r="K337" s="9"/>
      <x:c r="L337" s="9"/>
      <x:c r="M337" s="12" t="str">
        <x:f>IF(A337="","",IF(G337="","À compléter",IF(AND(ISNUMBER(J337),J337&lt;='Tableau de bord'!$F$5),"Réalisée",IF(I337="","À compléter",IF(I337&lt;'Tableau de bord'!$F$5,"Retard","À venir")))))</x:f>
      </x:c>
      <x:c r="N337" s="12" t="str">
        <x:f>IF(OR(A337="",I337=""),"",IF(M337="Retard",'Tableau de bord'!$F$5-I337,0))</x:f>
      </x:c>
      <x:c r="O337" s="9"/>
      <x:c r="P337" s="12" t="str">
        <x:f>IF(A337="","",IF(OR(B337="",G337="",H337="",E337=""),"À compléter",IF(COUNTIFS($A$6:$A$505,A337,$B$6:$B$505,B337)&gt;1,"Doublon ID",IF(AND(ISNUMBER(J337),J337&lt;E337),"Incohérent",""))))</x:f>
      </x:c>
    </x:row>
    <x:row r="338" ht="23" customHeight="1">
      <x:c r="A338" s="9"/>
      <x:c r="B338" s="9"/>
      <x:c r="C338" s="9"/>
      <x:c r="D338" s="9"/>
      <x:c r="E338" s="11"/>
      <x:c r="F338" s="9"/>
      <x:c r="G338" s="9"/>
      <x:c r="H338" s="9"/>
      <x:c r="I338" s="11"/>
      <x:c r="J338" s="11"/>
      <x:c r="K338" s="9"/>
      <x:c r="L338" s="9"/>
      <x:c r="M338" s="12" t="str">
        <x:f>IF(A338="","",IF(G338="","À compléter",IF(AND(ISNUMBER(J338),J338&lt;='Tableau de bord'!$F$5),"Réalisée",IF(I338="","À compléter",IF(I338&lt;'Tableau de bord'!$F$5,"Retard","À venir")))))</x:f>
      </x:c>
      <x:c r="N338" s="12" t="str">
        <x:f>IF(OR(A338="",I338=""),"",IF(M338="Retard",'Tableau de bord'!$F$5-I338,0))</x:f>
      </x:c>
      <x:c r="O338" s="9"/>
      <x:c r="P338" s="12" t="str">
        <x:f>IF(A338="","",IF(OR(B338="",G338="",H338="",E338=""),"À compléter",IF(COUNTIFS($A$6:$A$505,A338,$B$6:$B$505,B338)&gt;1,"Doublon ID",IF(AND(ISNUMBER(J338),J338&lt;E338),"Incohérent",""))))</x:f>
      </x:c>
    </x:row>
    <x:row r="339" ht="23" customHeight="1">
      <x:c r="A339" s="9"/>
      <x:c r="B339" s="9"/>
      <x:c r="C339" s="9"/>
      <x:c r="D339" s="9"/>
      <x:c r="E339" s="11"/>
      <x:c r="F339" s="9"/>
      <x:c r="G339" s="9"/>
      <x:c r="H339" s="9"/>
      <x:c r="I339" s="11"/>
      <x:c r="J339" s="11"/>
      <x:c r="K339" s="9"/>
      <x:c r="L339" s="9"/>
      <x:c r="M339" s="12" t="str">
        <x:f>IF(A339="","",IF(G339="","À compléter",IF(AND(ISNUMBER(J339),J339&lt;='Tableau de bord'!$F$5),"Réalisée",IF(I339="","À compléter",IF(I339&lt;'Tableau de bord'!$F$5,"Retard","À venir")))))</x:f>
      </x:c>
      <x:c r="N339" s="12" t="str">
        <x:f>IF(OR(A339="",I339=""),"",IF(M339="Retard",'Tableau de bord'!$F$5-I339,0))</x:f>
      </x:c>
      <x:c r="O339" s="9"/>
      <x:c r="P339" s="12" t="str">
        <x:f>IF(A339="","",IF(OR(B339="",G339="",H339="",E339=""),"À compléter",IF(COUNTIFS($A$6:$A$505,A339,$B$6:$B$505,B339)&gt;1,"Doublon ID",IF(AND(ISNUMBER(J339),J339&lt;E339),"Incohérent",""))))</x:f>
      </x:c>
    </x:row>
    <x:row r="340" ht="23" customHeight="1">
      <x:c r="A340" s="9"/>
      <x:c r="B340" s="9"/>
      <x:c r="C340" s="9"/>
      <x:c r="D340" s="9"/>
      <x:c r="E340" s="11"/>
      <x:c r="F340" s="9"/>
      <x:c r="G340" s="9"/>
      <x:c r="H340" s="9"/>
      <x:c r="I340" s="11"/>
      <x:c r="J340" s="11"/>
      <x:c r="K340" s="9"/>
      <x:c r="L340" s="9"/>
      <x:c r="M340" s="12" t="str">
        <x:f>IF(A340="","",IF(G340="","À compléter",IF(AND(ISNUMBER(J340),J340&lt;='Tableau de bord'!$F$5),"Réalisée",IF(I340="","À compléter",IF(I340&lt;'Tableau de bord'!$F$5,"Retard","À venir")))))</x:f>
      </x:c>
      <x:c r="N340" s="12" t="str">
        <x:f>IF(OR(A340="",I340=""),"",IF(M340="Retard",'Tableau de bord'!$F$5-I340,0))</x:f>
      </x:c>
      <x:c r="O340" s="9"/>
      <x:c r="P340" s="12" t="str">
        <x:f>IF(A340="","",IF(OR(B340="",G340="",H340="",E340=""),"À compléter",IF(COUNTIFS($A$6:$A$505,A340,$B$6:$B$505,B340)&gt;1,"Doublon ID",IF(AND(ISNUMBER(J340),J340&lt;E340),"Incohérent",""))))</x:f>
      </x:c>
    </x:row>
    <x:row r="341" ht="23" customHeight="1">
      <x:c r="A341" s="9"/>
      <x:c r="B341" s="9"/>
      <x:c r="C341" s="9"/>
      <x:c r="D341" s="9"/>
      <x:c r="E341" s="11"/>
      <x:c r="F341" s="9"/>
      <x:c r="G341" s="9"/>
      <x:c r="H341" s="9"/>
      <x:c r="I341" s="11"/>
      <x:c r="J341" s="11"/>
      <x:c r="K341" s="9"/>
      <x:c r="L341" s="9"/>
      <x:c r="M341" s="12" t="str">
        <x:f>IF(A341="","",IF(G341="","À compléter",IF(AND(ISNUMBER(J341),J341&lt;='Tableau de bord'!$F$5),"Réalisée",IF(I341="","À compléter",IF(I341&lt;'Tableau de bord'!$F$5,"Retard","À venir")))))</x:f>
      </x:c>
      <x:c r="N341" s="12" t="str">
        <x:f>IF(OR(A341="",I341=""),"",IF(M341="Retard",'Tableau de bord'!$F$5-I341,0))</x:f>
      </x:c>
      <x:c r="O341" s="9"/>
      <x:c r="P341" s="12" t="str">
        <x:f>IF(A341="","",IF(OR(B341="",G341="",H341="",E341=""),"À compléter",IF(COUNTIFS($A$6:$A$505,A341,$B$6:$B$505,B341)&gt;1,"Doublon ID",IF(AND(ISNUMBER(J341),J341&lt;E341),"Incohérent",""))))</x:f>
      </x:c>
    </x:row>
    <x:row r="342" ht="23" customHeight="1">
      <x:c r="A342" s="9"/>
      <x:c r="B342" s="9"/>
      <x:c r="C342" s="9"/>
      <x:c r="D342" s="9"/>
      <x:c r="E342" s="11"/>
      <x:c r="F342" s="9"/>
      <x:c r="G342" s="9"/>
      <x:c r="H342" s="9"/>
      <x:c r="I342" s="11"/>
      <x:c r="J342" s="11"/>
      <x:c r="K342" s="9"/>
      <x:c r="L342" s="9"/>
      <x:c r="M342" s="12" t="str">
        <x:f>IF(A342="","",IF(G342="","À compléter",IF(AND(ISNUMBER(J342),J342&lt;='Tableau de bord'!$F$5),"Réalisée",IF(I342="","À compléter",IF(I342&lt;'Tableau de bord'!$F$5,"Retard","À venir")))))</x:f>
      </x:c>
      <x:c r="N342" s="12" t="str">
        <x:f>IF(OR(A342="",I342=""),"",IF(M342="Retard",'Tableau de bord'!$F$5-I342,0))</x:f>
      </x:c>
      <x:c r="O342" s="9"/>
      <x:c r="P342" s="12" t="str">
        <x:f>IF(A342="","",IF(OR(B342="",G342="",H342="",E342=""),"À compléter",IF(COUNTIFS($A$6:$A$505,A342,$B$6:$B$505,B342)&gt;1,"Doublon ID",IF(AND(ISNUMBER(J342),J342&lt;E342),"Incohérent",""))))</x:f>
      </x:c>
    </x:row>
    <x:row r="343" ht="23" customHeight="1">
      <x:c r="A343" s="9"/>
      <x:c r="B343" s="9"/>
      <x:c r="C343" s="9"/>
      <x:c r="D343" s="9"/>
      <x:c r="E343" s="11"/>
      <x:c r="F343" s="9"/>
      <x:c r="G343" s="9"/>
      <x:c r="H343" s="9"/>
      <x:c r="I343" s="11"/>
      <x:c r="J343" s="11"/>
      <x:c r="K343" s="9"/>
      <x:c r="L343" s="9"/>
      <x:c r="M343" s="12" t="str">
        <x:f>IF(A343="","",IF(G343="","À compléter",IF(AND(ISNUMBER(J343),J343&lt;='Tableau de bord'!$F$5),"Réalisée",IF(I343="","À compléter",IF(I343&lt;'Tableau de bord'!$F$5,"Retard","À venir")))))</x:f>
      </x:c>
      <x:c r="N343" s="12" t="str">
        <x:f>IF(OR(A343="",I343=""),"",IF(M343="Retard",'Tableau de bord'!$F$5-I343,0))</x:f>
      </x:c>
      <x:c r="O343" s="9"/>
      <x:c r="P343" s="12" t="str">
        <x:f>IF(A343="","",IF(OR(B343="",G343="",H343="",E343=""),"À compléter",IF(COUNTIFS($A$6:$A$505,A343,$B$6:$B$505,B343)&gt;1,"Doublon ID",IF(AND(ISNUMBER(J343),J343&lt;E343),"Incohérent",""))))</x:f>
      </x:c>
    </x:row>
    <x:row r="344" ht="23" customHeight="1">
      <x:c r="A344" s="9"/>
      <x:c r="B344" s="9"/>
      <x:c r="C344" s="9"/>
      <x:c r="D344" s="9"/>
      <x:c r="E344" s="11"/>
      <x:c r="F344" s="9"/>
      <x:c r="G344" s="9"/>
      <x:c r="H344" s="9"/>
      <x:c r="I344" s="11"/>
      <x:c r="J344" s="11"/>
      <x:c r="K344" s="9"/>
      <x:c r="L344" s="9"/>
      <x:c r="M344" s="12" t="str">
        <x:f>IF(A344="","",IF(G344="","À compléter",IF(AND(ISNUMBER(J344),J344&lt;='Tableau de bord'!$F$5),"Réalisée",IF(I344="","À compléter",IF(I344&lt;'Tableau de bord'!$F$5,"Retard","À venir")))))</x:f>
      </x:c>
      <x:c r="N344" s="12" t="str">
        <x:f>IF(OR(A344="",I344=""),"",IF(M344="Retard",'Tableau de bord'!$F$5-I344,0))</x:f>
      </x:c>
      <x:c r="O344" s="9"/>
      <x:c r="P344" s="12" t="str">
        <x:f>IF(A344="","",IF(OR(B344="",G344="",H344="",E344=""),"À compléter",IF(COUNTIFS($A$6:$A$505,A344,$B$6:$B$505,B344)&gt;1,"Doublon ID",IF(AND(ISNUMBER(J344),J344&lt;E344),"Incohérent",""))))</x:f>
      </x:c>
    </x:row>
    <x:row r="345" ht="23" customHeight="1">
      <x:c r="A345" s="9"/>
      <x:c r="B345" s="9"/>
      <x:c r="C345" s="9"/>
      <x:c r="D345" s="9"/>
      <x:c r="E345" s="11"/>
      <x:c r="F345" s="9"/>
      <x:c r="G345" s="9"/>
      <x:c r="H345" s="9"/>
      <x:c r="I345" s="11"/>
      <x:c r="J345" s="11"/>
      <x:c r="K345" s="9"/>
      <x:c r="L345" s="9"/>
      <x:c r="M345" s="12" t="str">
        <x:f>IF(A345="","",IF(G345="","À compléter",IF(AND(ISNUMBER(J345),J345&lt;='Tableau de bord'!$F$5),"Réalisée",IF(I345="","À compléter",IF(I345&lt;'Tableau de bord'!$F$5,"Retard","À venir")))))</x:f>
      </x:c>
      <x:c r="N345" s="12" t="str">
        <x:f>IF(OR(A345="",I345=""),"",IF(M345="Retard",'Tableau de bord'!$F$5-I345,0))</x:f>
      </x:c>
      <x:c r="O345" s="9"/>
      <x:c r="P345" s="12" t="str">
        <x:f>IF(A345="","",IF(OR(B345="",G345="",H345="",E345=""),"À compléter",IF(COUNTIFS($A$6:$A$505,A345,$B$6:$B$505,B345)&gt;1,"Doublon ID",IF(AND(ISNUMBER(J345),J345&lt;E345),"Incohérent",""))))</x:f>
      </x:c>
    </x:row>
    <x:row r="346" ht="23" customHeight="1">
      <x:c r="A346" s="9"/>
      <x:c r="B346" s="9"/>
      <x:c r="C346" s="9"/>
      <x:c r="D346" s="9"/>
      <x:c r="E346" s="11"/>
      <x:c r="F346" s="9"/>
      <x:c r="G346" s="9"/>
      <x:c r="H346" s="9"/>
      <x:c r="I346" s="11"/>
      <x:c r="J346" s="11"/>
      <x:c r="K346" s="9"/>
      <x:c r="L346" s="9"/>
      <x:c r="M346" s="12" t="str">
        <x:f>IF(A346="","",IF(G346="","À compléter",IF(AND(ISNUMBER(J346),J346&lt;='Tableau de bord'!$F$5),"Réalisée",IF(I346="","À compléter",IF(I346&lt;'Tableau de bord'!$F$5,"Retard","À venir")))))</x:f>
      </x:c>
      <x:c r="N346" s="12" t="str">
        <x:f>IF(OR(A346="",I346=""),"",IF(M346="Retard",'Tableau de bord'!$F$5-I346,0))</x:f>
      </x:c>
      <x:c r="O346" s="9"/>
      <x:c r="P346" s="12" t="str">
        <x:f>IF(A346="","",IF(OR(B346="",G346="",H346="",E346=""),"À compléter",IF(COUNTIFS($A$6:$A$505,A346,$B$6:$B$505,B346)&gt;1,"Doublon ID",IF(AND(ISNUMBER(J346),J346&lt;E346),"Incohérent",""))))</x:f>
      </x:c>
    </x:row>
    <x:row r="347" ht="23" customHeight="1">
      <x:c r="A347" s="9"/>
      <x:c r="B347" s="9"/>
      <x:c r="C347" s="9"/>
      <x:c r="D347" s="9"/>
      <x:c r="E347" s="11"/>
      <x:c r="F347" s="9"/>
      <x:c r="G347" s="9"/>
      <x:c r="H347" s="9"/>
      <x:c r="I347" s="11"/>
      <x:c r="J347" s="11"/>
      <x:c r="K347" s="9"/>
      <x:c r="L347" s="9"/>
      <x:c r="M347" s="12" t="str">
        <x:f>IF(A347="","",IF(G347="","À compléter",IF(AND(ISNUMBER(J347),J347&lt;='Tableau de bord'!$F$5),"Réalisée",IF(I347="","À compléter",IF(I347&lt;'Tableau de bord'!$F$5,"Retard","À venir")))))</x:f>
      </x:c>
      <x:c r="N347" s="12" t="str">
        <x:f>IF(OR(A347="",I347=""),"",IF(M347="Retard",'Tableau de bord'!$F$5-I347,0))</x:f>
      </x:c>
      <x:c r="O347" s="9"/>
      <x:c r="P347" s="12" t="str">
        <x:f>IF(A347="","",IF(OR(B347="",G347="",H347="",E347=""),"À compléter",IF(COUNTIFS($A$6:$A$505,A347,$B$6:$B$505,B347)&gt;1,"Doublon ID",IF(AND(ISNUMBER(J347),J347&lt;E347),"Incohérent",""))))</x:f>
      </x:c>
    </x:row>
    <x:row r="348" ht="23" customHeight="1">
      <x:c r="A348" s="9"/>
      <x:c r="B348" s="9"/>
      <x:c r="C348" s="9"/>
      <x:c r="D348" s="9"/>
      <x:c r="E348" s="11"/>
      <x:c r="F348" s="9"/>
      <x:c r="G348" s="9"/>
      <x:c r="H348" s="9"/>
      <x:c r="I348" s="11"/>
      <x:c r="J348" s="11"/>
      <x:c r="K348" s="9"/>
      <x:c r="L348" s="9"/>
      <x:c r="M348" s="12" t="str">
        <x:f>IF(A348="","",IF(G348="","À compléter",IF(AND(ISNUMBER(J348),J348&lt;='Tableau de bord'!$F$5),"Réalisée",IF(I348="","À compléter",IF(I348&lt;'Tableau de bord'!$F$5,"Retard","À venir")))))</x:f>
      </x:c>
      <x:c r="N348" s="12" t="str">
        <x:f>IF(OR(A348="",I348=""),"",IF(M348="Retard",'Tableau de bord'!$F$5-I348,0))</x:f>
      </x:c>
      <x:c r="O348" s="9"/>
      <x:c r="P348" s="12" t="str">
        <x:f>IF(A348="","",IF(OR(B348="",G348="",H348="",E348=""),"À compléter",IF(COUNTIFS($A$6:$A$505,A348,$B$6:$B$505,B348)&gt;1,"Doublon ID",IF(AND(ISNUMBER(J348),J348&lt;E348),"Incohérent",""))))</x:f>
      </x:c>
    </x:row>
    <x:row r="349" ht="23" customHeight="1">
      <x:c r="A349" s="9"/>
      <x:c r="B349" s="9"/>
      <x:c r="C349" s="9"/>
      <x:c r="D349" s="9"/>
      <x:c r="E349" s="11"/>
      <x:c r="F349" s="9"/>
      <x:c r="G349" s="9"/>
      <x:c r="H349" s="9"/>
      <x:c r="I349" s="11"/>
      <x:c r="J349" s="11"/>
      <x:c r="K349" s="9"/>
      <x:c r="L349" s="9"/>
      <x:c r="M349" s="12" t="str">
        <x:f>IF(A349="","",IF(G349="","À compléter",IF(AND(ISNUMBER(J349),J349&lt;='Tableau de bord'!$F$5),"Réalisée",IF(I349="","À compléter",IF(I349&lt;'Tableau de bord'!$F$5,"Retard","À venir")))))</x:f>
      </x:c>
      <x:c r="N349" s="12" t="str">
        <x:f>IF(OR(A349="",I349=""),"",IF(M349="Retard",'Tableau de bord'!$F$5-I349,0))</x:f>
      </x:c>
      <x:c r="O349" s="9"/>
      <x:c r="P349" s="12" t="str">
        <x:f>IF(A349="","",IF(OR(B349="",G349="",H349="",E349=""),"À compléter",IF(COUNTIFS($A$6:$A$505,A349,$B$6:$B$505,B349)&gt;1,"Doublon ID",IF(AND(ISNUMBER(J349),J349&lt;E349),"Incohérent",""))))</x:f>
      </x:c>
    </x:row>
    <x:row r="350" ht="23" customHeight="1">
      <x:c r="A350" s="9"/>
      <x:c r="B350" s="9"/>
      <x:c r="C350" s="9"/>
      <x:c r="D350" s="9"/>
      <x:c r="E350" s="11"/>
      <x:c r="F350" s="9"/>
      <x:c r="G350" s="9"/>
      <x:c r="H350" s="9"/>
      <x:c r="I350" s="11"/>
      <x:c r="J350" s="11"/>
      <x:c r="K350" s="9"/>
      <x:c r="L350" s="9"/>
      <x:c r="M350" s="12" t="str">
        <x:f>IF(A350="","",IF(G350="","À compléter",IF(AND(ISNUMBER(J350),J350&lt;='Tableau de bord'!$F$5),"Réalisée",IF(I350="","À compléter",IF(I350&lt;'Tableau de bord'!$F$5,"Retard","À venir")))))</x:f>
      </x:c>
      <x:c r="N350" s="12" t="str">
        <x:f>IF(OR(A350="",I350=""),"",IF(M350="Retard",'Tableau de bord'!$F$5-I350,0))</x:f>
      </x:c>
      <x:c r="O350" s="9"/>
      <x:c r="P350" s="12" t="str">
        <x:f>IF(A350="","",IF(OR(B350="",G350="",H350="",E350=""),"À compléter",IF(COUNTIFS($A$6:$A$505,A350,$B$6:$B$505,B350)&gt;1,"Doublon ID",IF(AND(ISNUMBER(J350),J350&lt;E350),"Incohérent",""))))</x:f>
      </x:c>
    </x:row>
    <x:row r="351" ht="23" customHeight="1">
      <x:c r="A351" s="9"/>
      <x:c r="B351" s="9"/>
      <x:c r="C351" s="9"/>
      <x:c r="D351" s="9"/>
      <x:c r="E351" s="11"/>
      <x:c r="F351" s="9"/>
      <x:c r="G351" s="9"/>
      <x:c r="H351" s="9"/>
      <x:c r="I351" s="11"/>
      <x:c r="J351" s="11"/>
      <x:c r="K351" s="9"/>
      <x:c r="L351" s="9"/>
      <x:c r="M351" s="12" t="str">
        <x:f>IF(A351="","",IF(G351="","À compléter",IF(AND(ISNUMBER(J351),J351&lt;='Tableau de bord'!$F$5),"Réalisée",IF(I351="","À compléter",IF(I351&lt;'Tableau de bord'!$F$5,"Retard","À venir")))))</x:f>
      </x:c>
      <x:c r="N351" s="12" t="str">
        <x:f>IF(OR(A351="",I351=""),"",IF(M351="Retard",'Tableau de bord'!$F$5-I351,0))</x:f>
      </x:c>
      <x:c r="O351" s="9"/>
      <x:c r="P351" s="12" t="str">
        <x:f>IF(A351="","",IF(OR(B351="",G351="",H351="",E351=""),"À compléter",IF(COUNTIFS($A$6:$A$505,A351,$B$6:$B$505,B351)&gt;1,"Doublon ID",IF(AND(ISNUMBER(J351),J351&lt;E351),"Incohérent",""))))</x:f>
      </x:c>
    </x:row>
    <x:row r="352" ht="23" customHeight="1">
      <x:c r="A352" s="9"/>
      <x:c r="B352" s="9"/>
      <x:c r="C352" s="9"/>
      <x:c r="D352" s="9"/>
      <x:c r="E352" s="11"/>
      <x:c r="F352" s="9"/>
      <x:c r="G352" s="9"/>
      <x:c r="H352" s="9"/>
      <x:c r="I352" s="11"/>
      <x:c r="J352" s="11"/>
      <x:c r="K352" s="9"/>
      <x:c r="L352" s="9"/>
      <x:c r="M352" s="12" t="str">
        <x:f>IF(A352="","",IF(G352="","À compléter",IF(AND(ISNUMBER(J352),J352&lt;='Tableau de bord'!$F$5),"Réalisée",IF(I352="","À compléter",IF(I352&lt;'Tableau de bord'!$F$5,"Retard","À venir")))))</x:f>
      </x:c>
      <x:c r="N352" s="12" t="str">
        <x:f>IF(OR(A352="",I352=""),"",IF(M352="Retard",'Tableau de bord'!$F$5-I352,0))</x:f>
      </x:c>
      <x:c r="O352" s="9"/>
      <x:c r="P352" s="12" t="str">
        <x:f>IF(A352="","",IF(OR(B352="",G352="",H352="",E352=""),"À compléter",IF(COUNTIFS($A$6:$A$505,A352,$B$6:$B$505,B352)&gt;1,"Doublon ID",IF(AND(ISNUMBER(J352),J352&lt;E352),"Incohérent",""))))</x:f>
      </x:c>
    </x:row>
    <x:row r="353" ht="23" customHeight="1">
      <x:c r="A353" s="9"/>
      <x:c r="B353" s="9"/>
      <x:c r="C353" s="9"/>
      <x:c r="D353" s="9"/>
      <x:c r="E353" s="11"/>
      <x:c r="F353" s="9"/>
      <x:c r="G353" s="9"/>
      <x:c r="H353" s="9"/>
      <x:c r="I353" s="11"/>
      <x:c r="J353" s="11"/>
      <x:c r="K353" s="9"/>
      <x:c r="L353" s="9"/>
      <x:c r="M353" s="12" t="str">
        <x:f>IF(A353="","",IF(G353="","À compléter",IF(AND(ISNUMBER(J353),J353&lt;='Tableau de bord'!$F$5),"Réalisée",IF(I353="","À compléter",IF(I353&lt;'Tableau de bord'!$F$5,"Retard","À venir")))))</x:f>
      </x:c>
      <x:c r="N353" s="12" t="str">
        <x:f>IF(OR(A353="",I353=""),"",IF(M353="Retard",'Tableau de bord'!$F$5-I353,0))</x:f>
      </x:c>
      <x:c r="O353" s="9"/>
      <x:c r="P353" s="12" t="str">
        <x:f>IF(A353="","",IF(OR(B353="",G353="",H353="",E353=""),"À compléter",IF(COUNTIFS($A$6:$A$505,A353,$B$6:$B$505,B353)&gt;1,"Doublon ID",IF(AND(ISNUMBER(J353),J353&lt;E353),"Incohérent",""))))</x:f>
      </x:c>
    </x:row>
    <x:row r="354" ht="23" customHeight="1">
      <x:c r="A354" s="9"/>
      <x:c r="B354" s="9"/>
      <x:c r="C354" s="9"/>
      <x:c r="D354" s="9"/>
      <x:c r="E354" s="11"/>
      <x:c r="F354" s="9"/>
      <x:c r="G354" s="9"/>
      <x:c r="H354" s="9"/>
      <x:c r="I354" s="11"/>
      <x:c r="J354" s="11"/>
      <x:c r="K354" s="9"/>
      <x:c r="L354" s="9"/>
      <x:c r="M354" s="12" t="str">
        <x:f>IF(A354="","",IF(G354="","À compléter",IF(AND(ISNUMBER(J354),J354&lt;='Tableau de bord'!$F$5),"Réalisée",IF(I354="","À compléter",IF(I354&lt;'Tableau de bord'!$F$5,"Retard","À venir")))))</x:f>
      </x:c>
      <x:c r="N354" s="12" t="str">
        <x:f>IF(OR(A354="",I354=""),"",IF(M354="Retard",'Tableau de bord'!$F$5-I354,0))</x:f>
      </x:c>
      <x:c r="O354" s="9"/>
      <x:c r="P354" s="12" t="str">
        <x:f>IF(A354="","",IF(OR(B354="",G354="",H354="",E354=""),"À compléter",IF(COUNTIFS($A$6:$A$505,A354,$B$6:$B$505,B354)&gt;1,"Doublon ID",IF(AND(ISNUMBER(J354),J354&lt;E354),"Incohérent",""))))</x:f>
      </x:c>
    </x:row>
    <x:row r="355" ht="23" customHeight="1">
      <x:c r="A355" s="9"/>
      <x:c r="B355" s="9"/>
      <x:c r="C355" s="9"/>
      <x:c r="D355" s="9"/>
      <x:c r="E355" s="11"/>
      <x:c r="F355" s="9"/>
      <x:c r="G355" s="9"/>
      <x:c r="H355" s="9"/>
      <x:c r="I355" s="11"/>
      <x:c r="J355" s="11"/>
      <x:c r="K355" s="9"/>
      <x:c r="L355" s="9"/>
      <x:c r="M355" s="12" t="str">
        <x:f>IF(A355="","",IF(G355="","À compléter",IF(AND(ISNUMBER(J355),J355&lt;='Tableau de bord'!$F$5),"Réalisée",IF(I355="","À compléter",IF(I355&lt;'Tableau de bord'!$F$5,"Retard","À venir")))))</x:f>
      </x:c>
      <x:c r="N355" s="12" t="str">
        <x:f>IF(OR(A355="",I355=""),"",IF(M355="Retard",'Tableau de bord'!$F$5-I355,0))</x:f>
      </x:c>
      <x:c r="O355" s="9"/>
      <x:c r="P355" s="12" t="str">
        <x:f>IF(A355="","",IF(OR(B355="",G355="",H355="",E355=""),"À compléter",IF(COUNTIFS($A$6:$A$505,A355,$B$6:$B$505,B355)&gt;1,"Doublon ID",IF(AND(ISNUMBER(J355),J355&lt;E355),"Incohérent",""))))</x:f>
      </x:c>
    </x:row>
    <x:row r="356" ht="23" customHeight="1">
      <x:c r="A356" s="9"/>
      <x:c r="B356" s="9"/>
      <x:c r="C356" s="9"/>
      <x:c r="D356" s="9"/>
      <x:c r="E356" s="11"/>
      <x:c r="F356" s="9"/>
      <x:c r="G356" s="9"/>
      <x:c r="H356" s="9"/>
      <x:c r="I356" s="11"/>
      <x:c r="J356" s="11"/>
      <x:c r="K356" s="9"/>
      <x:c r="L356" s="9"/>
      <x:c r="M356" s="12" t="str">
        <x:f>IF(A356="","",IF(G356="","À compléter",IF(AND(ISNUMBER(J356),J356&lt;='Tableau de bord'!$F$5),"Réalisée",IF(I356="","À compléter",IF(I356&lt;'Tableau de bord'!$F$5,"Retard","À venir")))))</x:f>
      </x:c>
      <x:c r="N356" s="12" t="str">
        <x:f>IF(OR(A356="",I356=""),"",IF(M356="Retard",'Tableau de bord'!$F$5-I356,0))</x:f>
      </x:c>
      <x:c r="O356" s="9"/>
      <x:c r="P356" s="12" t="str">
        <x:f>IF(A356="","",IF(OR(B356="",G356="",H356="",E356=""),"À compléter",IF(COUNTIFS($A$6:$A$505,A356,$B$6:$B$505,B356)&gt;1,"Doublon ID",IF(AND(ISNUMBER(J356),J356&lt;E356),"Incohérent",""))))</x:f>
      </x:c>
    </x:row>
    <x:row r="357" ht="23" customHeight="1">
      <x:c r="A357" s="9"/>
      <x:c r="B357" s="9"/>
      <x:c r="C357" s="9"/>
      <x:c r="D357" s="9"/>
      <x:c r="E357" s="11"/>
      <x:c r="F357" s="9"/>
      <x:c r="G357" s="9"/>
      <x:c r="H357" s="9"/>
      <x:c r="I357" s="11"/>
      <x:c r="J357" s="11"/>
      <x:c r="K357" s="9"/>
      <x:c r="L357" s="9"/>
      <x:c r="M357" s="12" t="str">
        <x:f>IF(A357="","",IF(G357="","À compléter",IF(AND(ISNUMBER(J357),J357&lt;='Tableau de bord'!$F$5),"Réalisée",IF(I357="","À compléter",IF(I357&lt;'Tableau de bord'!$F$5,"Retard","À venir")))))</x:f>
      </x:c>
      <x:c r="N357" s="12" t="str">
        <x:f>IF(OR(A357="",I357=""),"",IF(M357="Retard",'Tableau de bord'!$F$5-I357,0))</x:f>
      </x:c>
      <x:c r="O357" s="9"/>
      <x:c r="P357" s="12" t="str">
        <x:f>IF(A357="","",IF(OR(B357="",G357="",H357="",E357=""),"À compléter",IF(COUNTIFS($A$6:$A$505,A357,$B$6:$B$505,B357)&gt;1,"Doublon ID",IF(AND(ISNUMBER(J357),J357&lt;E357),"Incohérent",""))))</x:f>
      </x:c>
    </x:row>
    <x:row r="358" ht="23" customHeight="1">
      <x:c r="A358" s="9"/>
      <x:c r="B358" s="9"/>
      <x:c r="C358" s="9"/>
      <x:c r="D358" s="9"/>
      <x:c r="E358" s="11"/>
      <x:c r="F358" s="9"/>
      <x:c r="G358" s="9"/>
      <x:c r="H358" s="9"/>
      <x:c r="I358" s="11"/>
      <x:c r="J358" s="11"/>
      <x:c r="K358" s="9"/>
      <x:c r="L358" s="9"/>
      <x:c r="M358" s="12" t="str">
        <x:f>IF(A358="","",IF(G358="","À compléter",IF(AND(ISNUMBER(J358),J358&lt;='Tableau de bord'!$F$5),"Réalisée",IF(I358="","À compléter",IF(I358&lt;'Tableau de bord'!$F$5,"Retard","À venir")))))</x:f>
      </x:c>
      <x:c r="N358" s="12" t="str">
        <x:f>IF(OR(A358="",I358=""),"",IF(M358="Retard",'Tableau de bord'!$F$5-I358,0))</x:f>
      </x:c>
      <x:c r="O358" s="9"/>
      <x:c r="P358" s="12" t="str">
        <x:f>IF(A358="","",IF(OR(B358="",G358="",H358="",E358=""),"À compléter",IF(COUNTIFS($A$6:$A$505,A358,$B$6:$B$505,B358)&gt;1,"Doublon ID",IF(AND(ISNUMBER(J358),J358&lt;E358),"Incohérent",""))))</x:f>
      </x:c>
    </x:row>
    <x:row r="359" ht="23" customHeight="1">
      <x:c r="A359" s="9"/>
      <x:c r="B359" s="9"/>
      <x:c r="C359" s="9"/>
      <x:c r="D359" s="9"/>
      <x:c r="E359" s="11"/>
      <x:c r="F359" s="9"/>
      <x:c r="G359" s="9"/>
      <x:c r="H359" s="9"/>
      <x:c r="I359" s="11"/>
      <x:c r="J359" s="11"/>
      <x:c r="K359" s="9"/>
      <x:c r="L359" s="9"/>
      <x:c r="M359" s="12" t="str">
        <x:f>IF(A359="","",IF(G359="","À compléter",IF(AND(ISNUMBER(J359),J359&lt;='Tableau de bord'!$F$5),"Réalisée",IF(I359="","À compléter",IF(I359&lt;'Tableau de bord'!$F$5,"Retard","À venir")))))</x:f>
      </x:c>
      <x:c r="N359" s="12" t="str">
        <x:f>IF(OR(A359="",I359=""),"",IF(M359="Retard",'Tableau de bord'!$F$5-I359,0))</x:f>
      </x:c>
      <x:c r="O359" s="9"/>
      <x:c r="P359" s="12" t="str">
        <x:f>IF(A359="","",IF(OR(B359="",G359="",H359="",E359=""),"À compléter",IF(COUNTIFS($A$6:$A$505,A359,$B$6:$B$505,B359)&gt;1,"Doublon ID",IF(AND(ISNUMBER(J359),J359&lt;E359),"Incohérent",""))))</x:f>
      </x:c>
    </x:row>
    <x:row r="360" ht="23" customHeight="1">
      <x:c r="A360" s="9"/>
      <x:c r="B360" s="9"/>
      <x:c r="C360" s="9"/>
      <x:c r="D360" s="9"/>
      <x:c r="E360" s="11"/>
      <x:c r="F360" s="9"/>
      <x:c r="G360" s="9"/>
      <x:c r="H360" s="9"/>
      <x:c r="I360" s="11"/>
      <x:c r="J360" s="11"/>
      <x:c r="K360" s="9"/>
      <x:c r="L360" s="9"/>
      <x:c r="M360" s="12" t="str">
        <x:f>IF(A360="","",IF(G360="","À compléter",IF(AND(ISNUMBER(J360),J360&lt;='Tableau de bord'!$F$5),"Réalisée",IF(I360="","À compléter",IF(I360&lt;'Tableau de bord'!$F$5,"Retard","À venir")))))</x:f>
      </x:c>
      <x:c r="N360" s="12" t="str">
        <x:f>IF(OR(A360="",I360=""),"",IF(M360="Retard",'Tableau de bord'!$F$5-I360,0))</x:f>
      </x:c>
      <x:c r="O360" s="9"/>
      <x:c r="P360" s="12" t="str">
        <x:f>IF(A360="","",IF(OR(B360="",G360="",H360="",E360=""),"À compléter",IF(COUNTIFS($A$6:$A$505,A360,$B$6:$B$505,B360)&gt;1,"Doublon ID",IF(AND(ISNUMBER(J360),J360&lt;E360),"Incohérent",""))))</x:f>
      </x:c>
    </x:row>
    <x:row r="361" ht="23" customHeight="1">
      <x:c r="A361" s="9"/>
      <x:c r="B361" s="9"/>
      <x:c r="C361" s="9"/>
      <x:c r="D361" s="9"/>
      <x:c r="E361" s="11"/>
      <x:c r="F361" s="9"/>
      <x:c r="G361" s="9"/>
      <x:c r="H361" s="9"/>
      <x:c r="I361" s="11"/>
      <x:c r="J361" s="11"/>
      <x:c r="K361" s="9"/>
      <x:c r="L361" s="9"/>
      <x:c r="M361" s="12" t="str">
        <x:f>IF(A361="","",IF(G361="","À compléter",IF(AND(ISNUMBER(J361),J361&lt;='Tableau de bord'!$F$5),"Réalisée",IF(I361="","À compléter",IF(I361&lt;'Tableau de bord'!$F$5,"Retard","À venir")))))</x:f>
      </x:c>
      <x:c r="N361" s="12" t="str">
        <x:f>IF(OR(A361="",I361=""),"",IF(M361="Retard",'Tableau de bord'!$F$5-I361,0))</x:f>
      </x:c>
      <x:c r="O361" s="9"/>
      <x:c r="P361" s="12" t="str">
        <x:f>IF(A361="","",IF(OR(B361="",G361="",H361="",E361=""),"À compléter",IF(COUNTIFS($A$6:$A$505,A361,$B$6:$B$505,B361)&gt;1,"Doublon ID",IF(AND(ISNUMBER(J361),J361&lt;E361),"Incohérent",""))))</x:f>
      </x:c>
    </x:row>
    <x:row r="362" ht="23" customHeight="1">
      <x:c r="A362" s="9"/>
      <x:c r="B362" s="9"/>
      <x:c r="C362" s="9"/>
      <x:c r="D362" s="9"/>
      <x:c r="E362" s="11"/>
      <x:c r="F362" s="9"/>
      <x:c r="G362" s="9"/>
      <x:c r="H362" s="9"/>
      <x:c r="I362" s="11"/>
      <x:c r="J362" s="11"/>
      <x:c r="K362" s="9"/>
      <x:c r="L362" s="9"/>
      <x:c r="M362" s="12" t="str">
        <x:f>IF(A362="","",IF(G362="","À compléter",IF(AND(ISNUMBER(J362),J362&lt;='Tableau de bord'!$F$5),"Réalisée",IF(I362="","À compléter",IF(I362&lt;'Tableau de bord'!$F$5,"Retard","À venir")))))</x:f>
      </x:c>
      <x:c r="N362" s="12" t="str">
        <x:f>IF(OR(A362="",I362=""),"",IF(M362="Retard",'Tableau de bord'!$F$5-I362,0))</x:f>
      </x:c>
      <x:c r="O362" s="9"/>
      <x:c r="P362" s="12" t="str">
        <x:f>IF(A362="","",IF(OR(B362="",G362="",H362="",E362=""),"À compléter",IF(COUNTIFS($A$6:$A$505,A362,$B$6:$B$505,B362)&gt;1,"Doublon ID",IF(AND(ISNUMBER(J362),J362&lt;E362),"Incohérent",""))))</x:f>
      </x:c>
    </x:row>
    <x:row r="363" ht="23" customHeight="1">
      <x:c r="A363" s="9"/>
      <x:c r="B363" s="9"/>
      <x:c r="C363" s="9"/>
      <x:c r="D363" s="9"/>
      <x:c r="E363" s="11"/>
      <x:c r="F363" s="9"/>
      <x:c r="G363" s="9"/>
      <x:c r="H363" s="9"/>
      <x:c r="I363" s="11"/>
      <x:c r="J363" s="11"/>
      <x:c r="K363" s="9"/>
      <x:c r="L363" s="9"/>
      <x:c r="M363" s="12" t="str">
        <x:f>IF(A363="","",IF(G363="","À compléter",IF(AND(ISNUMBER(J363),J363&lt;='Tableau de bord'!$F$5),"Réalisée",IF(I363="","À compléter",IF(I363&lt;'Tableau de bord'!$F$5,"Retard","À venir")))))</x:f>
      </x:c>
      <x:c r="N363" s="12" t="str">
        <x:f>IF(OR(A363="",I363=""),"",IF(M363="Retard",'Tableau de bord'!$F$5-I363,0))</x:f>
      </x:c>
      <x:c r="O363" s="9"/>
      <x:c r="P363" s="12" t="str">
        <x:f>IF(A363="","",IF(OR(B363="",G363="",H363="",E363=""),"À compléter",IF(COUNTIFS($A$6:$A$505,A363,$B$6:$B$505,B363)&gt;1,"Doublon ID",IF(AND(ISNUMBER(J363),J363&lt;E363),"Incohérent",""))))</x:f>
      </x:c>
    </x:row>
    <x:row r="364" ht="23" customHeight="1">
      <x:c r="A364" s="9"/>
      <x:c r="B364" s="9"/>
      <x:c r="C364" s="9"/>
      <x:c r="D364" s="9"/>
      <x:c r="E364" s="11"/>
      <x:c r="F364" s="9"/>
      <x:c r="G364" s="9"/>
      <x:c r="H364" s="9"/>
      <x:c r="I364" s="11"/>
      <x:c r="J364" s="11"/>
      <x:c r="K364" s="9"/>
      <x:c r="L364" s="9"/>
      <x:c r="M364" s="12" t="str">
        <x:f>IF(A364="","",IF(G364="","À compléter",IF(AND(ISNUMBER(J364),J364&lt;='Tableau de bord'!$F$5),"Réalisée",IF(I364="","À compléter",IF(I364&lt;'Tableau de bord'!$F$5,"Retard","À venir")))))</x:f>
      </x:c>
      <x:c r="N364" s="12" t="str">
        <x:f>IF(OR(A364="",I364=""),"",IF(M364="Retard",'Tableau de bord'!$F$5-I364,0))</x:f>
      </x:c>
      <x:c r="O364" s="9"/>
      <x:c r="P364" s="12" t="str">
        <x:f>IF(A364="","",IF(OR(B364="",G364="",H364="",E364=""),"À compléter",IF(COUNTIFS($A$6:$A$505,A364,$B$6:$B$505,B364)&gt;1,"Doublon ID",IF(AND(ISNUMBER(J364),J364&lt;E364),"Incohérent",""))))</x:f>
      </x:c>
    </x:row>
    <x:row r="365" ht="23" customHeight="1">
      <x:c r="A365" s="9"/>
      <x:c r="B365" s="9"/>
      <x:c r="C365" s="9"/>
      <x:c r="D365" s="9"/>
      <x:c r="E365" s="11"/>
      <x:c r="F365" s="9"/>
      <x:c r="G365" s="9"/>
      <x:c r="H365" s="9"/>
      <x:c r="I365" s="11"/>
      <x:c r="J365" s="11"/>
      <x:c r="K365" s="9"/>
      <x:c r="L365" s="9"/>
      <x:c r="M365" s="12" t="str">
        <x:f>IF(A365="","",IF(G365="","À compléter",IF(AND(ISNUMBER(J365),J365&lt;='Tableau de bord'!$F$5),"Réalisée",IF(I365="","À compléter",IF(I365&lt;'Tableau de bord'!$F$5,"Retard","À venir")))))</x:f>
      </x:c>
      <x:c r="N365" s="12" t="str">
        <x:f>IF(OR(A365="",I365=""),"",IF(M365="Retard",'Tableau de bord'!$F$5-I365,0))</x:f>
      </x:c>
      <x:c r="O365" s="9"/>
      <x:c r="P365" s="12" t="str">
        <x:f>IF(A365="","",IF(OR(B365="",G365="",H365="",E365=""),"À compléter",IF(COUNTIFS($A$6:$A$505,A365,$B$6:$B$505,B365)&gt;1,"Doublon ID",IF(AND(ISNUMBER(J365),J365&lt;E365),"Incohérent",""))))</x:f>
      </x:c>
    </x:row>
    <x:row r="366" ht="23" customHeight="1">
      <x:c r="A366" s="9"/>
      <x:c r="B366" s="9"/>
      <x:c r="C366" s="9"/>
      <x:c r="D366" s="9"/>
      <x:c r="E366" s="11"/>
      <x:c r="F366" s="9"/>
      <x:c r="G366" s="9"/>
      <x:c r="H366" s="9"/>
      <x:c r="I366" s="11"/>
      <x:c r="J366" s="11"/>
      <x:c r="K366" s="9"/>
      <x:c r="L366" s="9"/>
      <x:c r="M366" s="12" t="str">
        <x:f>IF(A366="","",IF(G366="","À compléter",IF(AND(ISNUMBER(J366),J366&lt;='Tableau de bord'!$F$5),"Réalisée",IF(I366="","À compléter",IF(I366&lt;'Tableau de bord'!$F$5,"Retard","À venir")))))</x:f>
      </x:c>
      <x:c r="N366" s="12" t="str">
        <x:f>IF(OR(A366="",I366=""),"",IF(M366="Retard",'Tableau de bord'!$F$5-I366,0))</x:f>
      </x:c>
      <x:c r="O366" s="9"/>
      <x:c r="P366" s="12" t="str">
        <x:f>IF(A366="","",IF(OR(B366="",G366="",H366="",E366=""),"À compléter",IF(COUNTIFS($A$6:$A$505,A366,$B$6:$B$505,B366)&gt;1,"Doublon ID",IF(AND(ISNUMBER(J366),J366&lt;E366),"Incohérent",""))))</x:f>
      </x:c>
    </x:row>
    <x:row r="367" ht="23" customHeight="1">
      <x:c r="A367" s="9"/>
      <x:c r="B367" s="9"/>
      <x:c r="C367" s="9"/>
      <x:c r="D367" s="9"/>
      <x:c r="E367" s="11"/>
      <x:c r="F367" s="9"/>
      <x:c r="G367" s="9"/>
      <x:c r="H367" s="9"/>
      <x:c r="I367" s="11"/>
      <x:c r="J367" s="11"/>
      <x:c r="K367" s="9"/>
      <x:c r="L367" s="9"/>
      <x:c r="M367" s="12" t="str">
        <x:f>IF(A367="","",IF(G367="","À compléter",IF(AND(ISNUMBER(J367),J367&lt;='Tableau de bord'!$F$5),"Réalisée",IF(I367="","À compléter",IF(I367&lt;'Tableau de bord'!$F$5,"Retard","À venir")))))</x:f>
      </x:c>
      <x:c r="N367" s="12" t="str">
        <x:f>IF(OR(A367="",I367=""),"",IF(M367="Retard",'Tableau de bord'!$F$5-I367,0))</x:f>
      </x:c>
      <x:c r="O367" s="9"/>
      <x:c r="P367" s="12" t="str">
        <x:f>IF(A367="","",IF(OR(B367="",G367="",H367="",E367=""),"À compléter",IF(COUNTIFS($A$6:$A$505,A367,$B$6:$B$505,B367)&gt;1,"Doublon ID",IF(AND(ISNUMBER(J367),J367&lt;E367),"Incohérent",""))))</x:f>
      </x:c>
    </x:row>
    <x:row r="368" ht="23" customHeight="1">
      <x:c r="A368" s="9"/>
      <x:c r="B368" s="9"/>
      <x:c r="C368" s="9"/>
      <x:c r="D368" s="9"/>
      <x:c r="E368" s="11"/>
      <x:c r="F368" s="9"/>
      <x:c r="G368" s="9"/>
      <x:c r="H368" s="9"/>
      <x:c r="I368" s="11"/>
      <x:c r="J368" s="11"/>
      <x:c r="K368" s="9"/>
      <x:c r="L368" s="9"/>
      <x:c r="M368" s="12" t="str">
        <x:f>IF(A368="","",IF(G368="","À compléter",IF(AND(ISNUMBER(J368),J368&lt;='Tableau de bord'!$F$5),"Réalisée",IF(I368="","À compléter",IF(I368&lt;'Tableau de bord'!$F$5,"Retard","À venir")))))</x:f>
      </x:c>
      <x:c r="N368" s="12" t="str">
        <x:f>IF(OR(A368="",I368=""),"",IF(M368="Retard",'Tableau de bord'!$F$5-I368,0))</x:f>
      </x:c>
      <x:c r="O368" s="9"/>
      <x:c r="P368" s="12" t="str">
        <x:f>IF(A368="","",IF(OR(B368="",G368="",H368="",E368=""),"À compléter",IF(COUNTIFS($A$6:$A$505,A368,$B$6:$B$505,B368)&gt;1,"Doublon ID",IF(AND(ISNUMBER(J368),J368&lt;E368),"Incohérent",""))))</x:f>
      </x:c>
    </x:row>
    <x:row r="369" ht="23" customHeight="1">
      <x:c r="A369" s="9"/>
      <x:c r="B369" s="9"/>
      <x:c r="C369" s="9"/>
      <x:c r="D369" s="9"/>
      <x:c r="E369" s="11"/>
      <x:c r="F369" s="9"/>
      <x:c r="G369" s="9"/>
      <x:c r="H369" s="9"/>
      <x:c r="I369" s="11"/>
      <x:c r="J369" s="11"/>
      <x:c r="K369" s="9"/>
      <x:c r="L369" s="9"/>
      <x:c r="M369" s="12" t="str">
        <x:f>IF(A369="","",IF(G369="","À compléter",IF(AND(ISNUMBER(J369),J369&lt;='Tableau de bord'!$F$5),"Réalisée",IF(I369="","À compléter",IF(I369&lt;'Tableau de bord'!$F$5,"Retard","À venir")))))</x:f>
      </x:c>
      <x:c r="N369" s="12" t="str">
        <x:f>IF(OR(A369="",I369=""),"",IF(M369="Retard",'Tableau de bord'!$F$5-I369,0))</x:f>
      </x:c>
      <x:c r="O369" s="9"/>
      <x:c r="P369" s="12" t="str">
        <x:f>IF(A369="","",IF(OR(B369="",G369="",H369="",E369=""),"À compléter",IF(COUNTIFS($A$6:$A$505,A369,$B$6:$B$505,B369)&gt;1,"Doublon ID",IF(AND(ISNUMBER(J369),J369&lt;E369),"Incohérent",""))))</x:f>
      </x:c>
    </x:row>
    <x:row r="370" ht="23" customHeight="1">
      <x:c r="A370" s="9"/>
      <x:c r="B370" s="9"/>
      <x:c r="C370" s="9"/>
      <x:c r="D370" s="9"/>
      <x:c r="E370" s="11"/>
      <x:c r="F370" s="9"/>
      <x:c r="G370" s="9"/>
      <x:c r="H370" s="9"/>
      <x:c r="I370" s="11"/>
      <x:c r="J370" s="11"/>
      <x:c r="K370" s="9"/>
      <x:c r="L370" s="9"/>
      <x:c r="M370" s="12" t="str">
        <x:f>IF(A370="","",IF(G370="","À compléter",IF(AND(ISNUMBER(J370),J370&lt;='Tableau de bord'!$F$5),"Réalisée",IF(I370="","À compléter",IF(I370&lt;'Tableau de bord'!$F$5,"Retard","À venir")))))</x:f>
      </x:c>
      <x:c r="N370" s="12" t="str">
        <x:f>IF(OR(A370="",I370=""),"",IF(M370="Retard",'Tableau de bord'!$F$5-I370,0))</x:f>
      </x:c>
      <x:c r="O370" s="9"/>
      <x:c r="P370" s="12" t="str">
        <x:f>IF(A370="","",IF(OR(B370="",G370="",H370="",E370=""),"À compléter",IF(COUNTIFS($A$6:$A$505,A370,$B$6:$B$505,B370)&gt;1,"Doublon ID",IF(AND(ISNUMBER(J370),J370&lt;E370),"Incohérent",""))))</x:f>
      </x:c>
    </x:row>
    <x:row r="371" ht="23" customHeight="1">
      <x:c r="A371" s="9"/>
      <x:c r="B371" s="9"/>
      <x:c r="C371" s="9"/>
      <x:c r="D371" s="9"/>
      <x:c r="E371" s="11"/>
      <x:c r="F371" s="9"/>
      <x:c r="G371" s="9"/>
      <x:c r="H371" s="9"/>
      <x:c r="I371" s="11"/>
      <x:c r="J371" s="11"/>
      <x:c r="K371" s="9"/>
      <x:c r="L371" s="9"/>
      <x:c r="M371" s="12" t="str">
        <x:f>IF(A371="","",IF(G371="","À compléter",IF(AND(ISNUMBER(J371),J371&lt;='Tableau de bord'!$F$5),"Réalisée",IF(I371="","À compléter",IF(I371&lt;'Tableau de bord'!$F$5,"Retard","À venir")))))</x:f>
      </x:c>
      <x:c r="N371" s="12" t="str">
        <x:f>IF(OR(A371="",I371=""),"",IF(M371="Retard",'Tableau de bord'!$F$5-I371,0))</x:f>
      </x:c>
      <x:c r="O371" s="9"/>
      <x:c r="P371" s="12" t="str">
        <x:f>IF(A371="","",IF(OR(B371="",G371="",H371="",E371=""),"À compléter",IF(COUNTIFS($A$6:$A$505,A371,$B$6:$B$505,B371)&gt;1,"Doublon ID",IF(AND(ISNUMBER(J371),J371&lt;E371),"Incohérent",""))))</x:f>
      </x:c>
    </x:row>
    <x:row r="372" ht="23" customHeight="1">
      <x:c r="A372" s="9"/>
      <x:c r="B372" s="9"/>
      <x:c r="C372" s="9"/>
      <x:c r="D372" s="9"/>
      <x:c r="E372" s="11"/>
      <x:c r="F372" s="9"/>
      <x:c r="G372" s="9"/>
      <x:c r="H372" s="9"/>
      <x:c r="I372" s="11"/>
      <x:c r="J372" s="11"/>
      <x:c r="K372" s="9"/>
      <x:c r="L372" s="9"/>
      <x:c r="M372" s="12" t="str">
        <x:f>IF(A372="","",IF(G372="","À compléter",IF(AND(ISNUMBER(J372),J372&lt;='Tableau de bord'!$F$5),"Réalisée",IF(I372="","À compléter",IF(I372&lt;'Tableau de bord'!$F$5,"Retard","À venir")))))</x:f>
      </x:c>
      <x:c r="N372" s="12" t="str">
        <x:f>IF(OR(A372="",I372=""),"",IF(M372="Retard",'Tableau de bord'!$F$5-I372,0))</x:f>
      </x:c>
      <x:c r="O372" s="9"/>
      <x:c r="P372" s="12" t="str">
        <x:f>IF(A372="","",IF(OR(B372="",G372="",H372="",E372=""),"À compléter",IF(COUNTIFS($A$6:$A$505,A372,$B$6:$B$505,B372)&gt;1,"Doublon ID",IF(AND(ISNUMBER(J372),J372&lt;E372),"Incohérent",""))))</x:f>
      </x:c>
    </x:row>
    <x:row r="373" ht="23" customHeight="1">
      <x:c r="A373" s="9"/>
      <x:c r="B373" s="9"/>
      <x:c r="C373" s="9"/>
      <x:c r="D373" s="9"/>
      <x:c r="E373" s="11"/>
      <x:c r="F373" s="9"/>
      <x:c r="G373" s="9"/>
      <x:c r="H373" s="9"/>
      <x:c r="I373" s="11"/>
      <x:c r="J373" s="11"/>
      <x:c r="K373" s="9"/>
      <x:c r="L373" s="9"/>
      <x:c r="M373" s="12" t="str">
        <x:f>IF(A373="","",IF(G373="","À compléter",IF(AND(ISNUMBER(J373),J373&lt;='Tableau de bord'!$F$5),"Réalisée",IF(I373="","À compléter",IF(I373&lt;'Tableau de bord'!$F$5,"Retard","À venir")))))</x:f>
      </x:c>
      <x:c r="N373" s="12" t="str">
        <x:f>IF(OR(A373="",I373=""),"",IF(M373="Retard",'Tableau de bord'!$F$5-I373,0))</x:f>
      </x:c>
      <x:c r="O373" s="9"/>
      <x:c r="P373" s="12" t="str">
        <x:f>IF(A373="","",IF(OR(B373="",G373="",H373="",E373=""),"À compléter",IF(COUNTIFS($A$6:$A$505,A373,$B$6:$B$505,B373)&gt;1,"Doublon ID",IF(AND(ISNUMBER(J373),J373&lt;E373),"Incohérent",""))))</x:f>
      </x:c>
    </x:row>
    <x:row r="374" ht="23" customHeight="1">
      <x:c r="A374" s="9"/>
      <x:c r="B374" s="9"/>
      <x:c r="C374" s="9"/>
      <x:c r="D374" s="9"/>
      <x:c r="E374" s="11"/>
      <x:c r="F374" s="9"/>
      <x:c r="G374" s="9"/>
      <x:c r="H374" s="9"/>
      <x:c r="I374" s="11"/>
      <x:c r="J374" s="11"/>
      <x:c r="K374" s="9"/>
      <x:c r="L374" s="9"/>
      <x:c r="M374" s="12" t="str">
        <x:f>IF(A374="","",IF(G374="","À compléter",IF(AND(ISNUMBER(J374),J374&lt;='Tableau de bord'!$F$5),"Réalisée",IF(I374="","À compléter",IF(I374&lt;'Tableau de bord'!$F$5,"Retard","À venir")))))</x:f>
      </x:c>
      <x:c r="N374" s="12" t="str">
        <x:f>IF(OR(A374="",I374=""),"",IF(M374="Retard",'Tableau de bord'!$F$5-I374,0))</x:f>
      </x:c>
      <x:c r="O374" s="9"/>
      <x:c r="P374" s="12" t="str">
        <x:f>IF(A374="","",IF(OR(B374="",G374="",H374="",E374=""),"À compléter",IF(COUNTIFS($A$6:$A$505,A374,$B$6:$B$505,B374)&gt;1,"Doublon ID",IF(AND(ISNUMBER(J374),J374&lt;E374),"Incohérent",""))))</x:f>
      </x:c>
    </x:row>
    <x:row r="375" ht="23" customHeight="1">
      <x:c r="A375" s="9"/>
      <x:c r="B375" s="9"/>
      <x:c r="C375" s="9"/>
      <x:c r="D375" s="9"/>
      <x:c r="E375" s="11"/>
      <x:c r="F375" s="9"/>
      <x:c r="G375" s="9"/>
      <x:c r="H375" s="9"/>
      <x:c r="I375" s="11"/>
      <x:c r="J375" s="11"/>
      <x:c r="K375" s="9"/>
      <x:c r="L375" s="9"/>
      <x:c r="M375" s="12" t="str">
        <x:f>IF(A375="","",IF(G375="","À compléter",IF(AND(ISNUMBER(J375),J375&lt;='Tableau de bord'!$F$5),"Réalisée",IF(I375="","À compléter",IF(I375&lt;'Tableau de bord'!$F$5,"Retard","À venir")))))</x:f>
      </x:c>
      <x:c r="N375" s="12" t="str">
        <x:f>IF(OR(A375="",I375=""),"",IF(M375="Retard",'Tableau de bord'!$F$5-I375,0))</x:f>
      </x:c>
      <x:c r="O375" s="9"/>
      <x:c r="P375" s="12" t="str">
        <x:f>IF(A375="","",IF(OR(B375="",G375="",H375="",E375=""),"À compléter",IF(COUNTIFS($A$6:$A$505,A375,$B$6:$B$505,B375)&gt;1,"Doublon ID",IF(AND(ISNUMBER(J375),J375&lt;E375),"Incohérent",""))))</x:f>
      </x:c>
    </x:row>
    <x:row r="376" ht="23" customHeight="1">
      <x:c r="A376" s="9"/>
      <x:c r="B376" s="9"/>
      <x:c r="C376" s="9"/>
      <x:c r="D376" s="9"/>
      <x:c r="E376" s="11"/>
      <x:c r="F376" s="9"/>
      <x:c r="G376" s="9"/>
      <x:c r="H376" s="9"/>
      <x:c r="I376" s="11"/>
      <x:c r="J376" s="11"/>
      <x:c r="K376" s="9"/>
      <x:c r="L376" s="9"/>
      <x:c r="M376" s="12" t="str">
        <x:f>IF(A376="","",IF(G376="","À compléter",IF(AND(ISNUMBER(J376),J376&lt;='Tableau de bord'!$F$5),"Réalisée",IF(I376="","À compléter",IF(I376&lt;'Tableau de bord'!$F$5,"Retard","À venir")))))</x:f>
      </x:c>
      <x:c r="N376" s="12" t="str">
        <x:f>IF(OR(A376="",I376=""),"",IF(M376="Retard",'Tableau de bord'!$F$5-I376,0))</x:f>
      </x:c>
      <x:c r="O376" s="9"/>
      <x:c r="P376" s="12" t="str">
        <x:f>IF(A376="","",IF(OR(B376="",G376="",H376="",E376=""),"À compléter",IF(COUNTIFS($A$6:$A$505,A376,$B$6:$B$505,B376)&gt;1,"Doublon ID",IF(AND(ISNUMBER(J376),J376&lt;E376),"Incohérent",""))))</x:f>
      </x:c>
    </x:row>
    <x:row r="377" ht="23" customHeight="1">
      <x:c r="A377" s="9"/>
      <x:c r="B377" s="9"/>
      <x:c r="C377" s="9"/>
      <x:c r="D377" s="9"/>
      <x:c r="E377" s="11"/>
      <x:c r="F377" s="9"/>
      <x:c r="G377" s="9"/>
      <x:c r="H377" s="9"/>
      <x:c r="I377" s="11"/>
      <x:c r="J377" s="11"/>
      <x:c r="K377" s="9"/>
      <x:c r="L377" s="9"/>
      <x:c r="M377" s="12" t="str">
        <x:f>IF(A377="","",IF(G377="","À compléter",IF(AND(ISNUMBER(J377),J377&lt;='Tableau de bord'!$F$5),"Réalisée",IF(I377="","À compléter",IF(I377&lt;'Tableau de bord'!$F$5,"Retard","À venir")))))</x:f>
      </x:c>
      <x:c r="N377" s="12" t="str">
        <x:f>IF(OR(A377="",I377=""),"",IF(M377="Retard",'Tableau de bord'!$F$5-I377,0))</x:f>
      </x:c>
      <x:c r="O377" s="9"/>
      <x:c r="P377" s="12" t="str">
        <x:f>IF(A377="","",IF(OR(B377="",G377="",H377="",E377=""),"À compléter",IF(COUNTIFS($A$6:$A$505,A377,$B$6:$B$505,B377)&gt;1,"Doublon ID",IF(AND(ISNUMBER(J377),J377&lt;E377),"Incohérent",""))))</x:f>
      </x:c>
    </x:row>
    <x:row r="378" ht="23" customHeight="1">
      <x:c r="A378" s="9"/>
      <x:c r="B378" s="9"/>
      <x:c r="C378" s="9"/>
      <x:c r="D378" s="9"/>
      <x:c r="E378" s="11"/>
      <x:c r="F378" s="9"/>
      <x:c r="G378" s="9"/>
      <x:c r="H378" s="9"/>
      <x:c r="I378" s="11"/>
      <x:c r="J378" s="11"/>
      <x:c r="K378" s="9"/>
      <x:c r="L378" s="9"/>
      <x:c r="M378" s="12" t="str">
        <x:f>IF(A378="","",IF(G378="","À compléter",IF(AND(ISNUMBER(J378),J378&lt;='Tableau de bord'!$F$5),"Réalisée",IF(I378="","À compléter",IF(I378&lt;'Tableau de bord'!$F$5,"Retard","À venir")))))</x:f>
      </x:c>
      <x:c r="N378" s="12" t="str">
        <x:f>IF(OR(A378="",I378=""),"",IF(M378="Retard",'Tableau de bord'!$F$5-I378,0))</x:f>
      </x:c>
      <x:c r="O378" s="9"/>
      <x:c r="P378" s="12" t="str">
        <x:f>IF(A378="","",IF(OR(B378="",G378="",H378="",E378=""),"À compléter",IF(COUNTIFS($A$6:$A$505,A378,$B$6:$B$505,B378)&gt;1,"Doublon ID",IF(AND(ISNUMBER(J378),J378&lt;E378),"Incohérent",""))))</x:f>
      </x:c>
    </x:row>
    <x:row r="379" ht="23" customHeight="1">
      <x:c r="A379" s="9"/>
      <x:c r="B379" s="9"/>
      <x:c r="C379" s="9"/>
      <x:c r="D379" s="9"/>
      <x:c r="E379" s="11"/>
      <x:c r="F379" s="9"/>
      <x:c r="G379" s="9"/>
      <x:c r="H379" s="9"/>
      <x:c r="I379" s="11"/>
      <x:c r="J379" s="11"/>
      <x:c r="K379" s="9"/>
      <x:c r="L379" s="9"/>
      <x:c r="M379" s="12" t="str">
        <x:f>IF(A379="","",IF(G379="","À compléter",IF(AND(ISNUMBER(J379),J379&lt;='Tableau de bord'!$F$5),"Réalisée",IF(I379="","À compléter",IF(I379&lt;'Tableau de bord'!$F$5,"Retard","À venir")))))</x:f>
      </x:c>
      <x:c r="N379" s="12" t="str">
        <x:f>IF(OR(A379="",I379=""),"",IF(M379="Retard",'Tableau de bord'!$F$5-I379,0))</x:f>
      </x:c>
      <x:c r="O379" s="9"/>
      <x:c r="P379" s="12" t="str">
        <x:f>IF(A379="","",IF(OR(B379="",G379="",H379="",E379=""),"À compléter",IF(COUNTIFS($A$6:$A$505,A379,$B$6:$B$505,B379)&gt;1,"Doublon ID",IF(AND(ISNUMBER(J379),J379&lt;E379),"Incohérent",""))))</x:f>
      </x:c>
    </x:row>
    <x:row r="380" ht="23" customHeight="1">
      <x:c r="A380" s="9"/>
      <x:c r="B380" s="9"/>
      <x:c r="C380" s="9"/>
      <x:c r="D380" s="9"/>
      <x:c r="E380" s="11"/>
      <x:c r="F380" s="9"/>
      <x:c r="G380" s="9"/>
      <x:c r="H380" s="9"/>
      <x:c r="I380" s="11"/>
      <x:c r="J380" s="11"/>
      <x:c r="K380" s="9"/>
      <x:c r="L380" s="9"/>
      <x:c r="M380" s="12" t="str">
        <x:f>IF(A380="","",IF(G380="","À compléter",IF(AND(ISNUMBER(J380),J380&lt;='Tableau de bord'!$F$5),"Réalisée",IF(I380="","À compléter",IF(I380&lt;'Tableau de bord'!$F$5,"Retard","À venir")))))</x:f>
      </x:c>
      <x:c r="N380" s="12" t="str">
        <x:f>IF(OR(A380="",I380=""),"",IF(M380="Retard",'Tableau de bord'!$F$5-I380,0))</x:f>
      </x:c>
      <x:c r="O380" s="9"/>
      <x:c r="P380" s="12" t="str">
        <x:f>IF(A380="","",IF(OR(B380="",G380="",H380="",E380=""),"À compléter",IF(COUNTIFS($A$6:$A$505,A380,$B$6:$B$505,B380)&gt;1,"Doublon ID",IF(AND(ISNUMBER(J380),J380&lt;E380),"Incohérent",""))))</x:f>
      </x:c>
    </x:row>
    <x:row r="381" ht="23" customHeight="1">
      <x:c r="A381" s="9"/>
      <x:c r="B381" s="9"/>
      <x:c r="C381" s="9"/>
      <x:c r="D381" s="9"/>
      <x:c r="E381" s="11"/>
      <x:c r="F381" s="9"/>
      <x:c r="G381" s="9"/>
      <x:c r="H381" s="9"/>
      <x:c r="I381" s="11"/>
      <x:c r="J381" s="11"/>
      <x:c r="K381" s="9"/>
      <x:c r="L381" s="9"/>
      <x:c r="M381" s="12" t="str">
        <x:f>IF(A381="","",IF(G381="","À compléter",IF(AND(ISNUMBER(J381),J381&lt;='Tableau de bord'!$F$5),"Réalisée",IF(I381="","À compléter",IF(I381&lt;'Tableau de bord'!$F$5,"Retard","À venir")))))</x:f>
      </x:c>
      <x:c r="N381" s="12" t="str">
        <x:f>IF(OR(A381="",I381=""),"",IF(M381="Retard",'Tableau de bord'!$F$5-I381,0))</x:f>
      </x:c>
      <x:c r="O381" s="9"/>
      <x:c r="P381" s="12" t="str">
        <x:f>IF(A381="","",IF(OR(B381="",G381="",H381="",E381=""),"À compléter",IF(COUNTIFS($A$6:$A$505,A381,$B$6:$B$505,B381)&gt;1,"Doublon ID",IF(AND(ISNUMBER(J381),J381&lt;E381),"Incohérent",""))))</x:f>
      </x:c>
    </x:row>
    <x:row r="382" ht="23" customHeight="1">
      <x:c r="A382" s="9"/>
      <x:c r="B382" s="9"/>
      <x:c r="C382" s="9"/>
      <x:c r="D382" s="9"/>
      <x:c r="E382" s="11"/>
      <x:c r="F382" s="9"/>
      <x:c r="G382" s="9"/>
      <x:c r="H382" s="9"/>
      <x:c r="I382" s="11"/>
      <x:c r="J382" s="11"/>
      <x:c r="K382" s="9"/>
      <x:c r="L382" s="9"/>
      <x:c r="M382" s="12" t="str">
        <x:f>IF(A382="","",IF(G382="","À compléter",IF(AND(ISNUMBER(J382),J382&lt;='Tableau de bord'!$F$5),"Réalisée",IF(I382="","À compléter",IF(I382&lt;'Tableau de bord'!$F$5,"Retard","À venir")))))</x:f>
      </x:c>
      <x:c r="N382" s="12" t="str">
        <x:f>IF(OR(A382="",I382=""),"",IF(M382="Retard",'Tableau de bord'!$F$5-I382,0))</x:f>
      </x:c>
      <x:c r="O382" s="9"/>
      <x:c r="P382" s="12" t="str">
        <x:f>IF(A382="","",IF(OR(B382="",G382="",H382="",E382=""),"À compléter",IF(COUNTIFS($A$6:$A$505,A382,$B$6:$B$505,B382)&gt;1,"Doublon ID",IF(AND(ISNUMBER(J382),J382&lt;E382),"Incohérent",""))))</x:f>
      </x:c>
    </x:row>
    <x:row r="383" ht="23" customHeight="1">
      <x:c r="A383" s="9"/>
      <x:c r="B383" s="9"/>
      <x:c r="C383" s="9"/>
      <x:c r="D383" s="9"/>
      <x:c r="E383" s="11"/>
      <x:c r="F383" s="9"/>
      <x:c r="G383" s="9"/>
      <x:c r="H383" s="9"/>
      <x:c r="I383" s="11"/>
      <x:c r="J383" s="11"/>
      <x:c r="K383" s="9"/>
      <x:c r="L383" s="9"/>
      <x:c r="M383" s="12" t="str">
        <x:f>IF(A383="","",IF(G383="","À compléter",IF(AND(ISNUMBER(J383),J383&lt;='Tableau de bord'!$F$5),"Réalisée",IF(I383="","À compléter",IF(I383&lt;'Tableau de bord'!$F$5,"Retard","À venir")))))</x:f>
      </x:c>
      <x:c r="N383" s="12" t="str">
        <x:f>IF(OR(A383="",I383=""),"",IF(M383="Retard",'Tableau de bord'!$F$5-I383,0))</x:f>
      </x:c>
      <x:c r="O383" s="9"/>
      <x:c r="P383" s="12" t="str">
        <x:f>IF(A383="","",IF(OR(B383="",G383="",H383="",E383=""),"À compléter",IF(COUNTIFS($A$6:$A$505,A383,$B$6:$B$505,B383)&gt;1,"Doublon ID",IF(AND(ISNUMBER(J383),J383&lt;E383),"Incohérent",""))))</x:f>
      </x:c>
    </x:row>
    <x:row r="384" ht="23" customHeight="1">
      <x:c r="A384" s="9"/>
      <x:c r="B384" s="9"/>
      <x:c r="C384" s="9"/>
      <x:c r="D384" s="9"/>
      <x:c r="E384" s="11"/>
      <x:c r="F384" s="9"/>
      <x:c r="G384" s="9"/>
      <x:c r="H384" s="9"/>
      <x:c r="I384" s="11"/>
      <x:c r="J384" s="11"/>
      <x:c r="K384" s="9"/>
      <x:c r="L384" s="9"/>
      <x:c r="M384" s="12" t="str">
        <x:f>IF(A384="","",IF(G384="","À compléter",IF(AND(ISNUMBER(J384),J384&lt;='Tableau de bord'!$F$5),"Réalisée",IF(I384="","À compléter",IF(I384&lt;'Tableau de bord'!$F$5,"Retard","À venir")))))</x:f>
      </x:c>
      <x:c r="N384" s="12" t="str">
        <x:f>IF(OR(A384="",I384=""),"",IF(M384="Retard",'Tableau de bord'!$F$5-I384,0))</x:f>
      </x:c>
      <x:c r="O384" s="9"/>
      <x:c r="P384" s="12" t="str">
        <x:f>IF(A384="","",IF(OR(B384="",G384="",H384="",E384=""),"À compléter",IF(COUNTIFS($A$6:$A$505,A384,$B$6:$B$505,B384)&gt;1,"Doublon ID",IF(AND(ISNUMBER(J384),J384&lt;E384),"Incohérent",""))))</x:f>
      </x:c>
    </x:row>
    <x:row r="385" ht="23" customHeight="1">
      <x:c r="A385" s="9"/>
      <x:c r="B385" s="9"/>
      <x:c r="C385" s="9"/>
      <x:c r="D385" s="9"/>
      <x:c r="E385" s="11"/>
      <x:c r="F385" s="9"/>
      <x:c r="G385" s="9"/>
      <x:c r="H385" s="9"/>
      <x:c r="I385" s="11"/>
      <x:c r="J385" s="11"/>
      <x:c r="K385" s="9"/>
      <x:c r="L385" s="9"/>
      <x:c r="M385" s="12" t="str">
        <x:f>IF(A385="","",IF(G385="","À compléter",IF(AND(ISNUMBER(J385),J385&lt;='Tableau de bord'!$F$5),"Réalisée",IF(I385="","À compléter",IF(I385&lt;'Tableau de bord'!$F$5,"Retard","À venir")))))</x:f>
      </x:c>
      <x:c r="N385" s="12" t="str">
        <x:f>IF(OR(A385="",I385=""),"",IF(M385="Retard",'Tableau de bord'!$F$5-I385,0))</x:f>
      </x:c>
      <x:c r="O385" s="9"/>
      <x:c r="P385" s="12" t="str">
        <x:f>IF(A385="","",IF(OR(B385="",G385="",H385="",E385=""),"À compléter",IF(COUNTIFS($A$6:$A$505,A385,$B$6:$B$505,B385)&gt;1,"Doublon ID",IF(AND(ISNUMBER(J385),J385&lt;E385),"Incohérent",""))))</x:f>
      </x:c>
    </x:row>
    <x:row r="386" ht="23" customHeight="1">
      <x:c r="A386" s="9"/>
      <x:c r="B386" s="9"/>
      <x:c r="C386" s="9"/>
      <x:c r="D386" s="9"/>
      <x:c r="E386" s="11"/>
      <x:c r="F386" s="9"/>
      <x:c r="G386" s="9"/>
      <x:c r="H386" s="9"/>
      <x:c r="I386" s="11"/>
      <x:c r="J386" s="11"/>
      <x:c r="K386" s="9"/>
      <x:c r="L386" s="9"/>
      <x:c r="M386" s="12" t="str">
        <x:f>IF(A386="","",IF(G386="","À compléter",IF(AND(ISNUMBER(J386),J386&lt;='Tableau de bord'!$F$5),"Réalisée",IF(I386="","À compléter",IF(I386&lt;'Tableau de bord'!$F$5,"Retard","À venir")))))</x:f>
      </x:c>
      <x:c r="N386" s="12" t="str">
        <x:f>IF(OR(A386="",I386=""),"",IF(M386="Retard",'Tableau de bord'!$F$5-I386,0))</x:f>
      </x:c>
      <x:c r="O386" s="9"/>
      <x:c r="P386" s="12" t="str">
        <x:f>IF(A386="","",IF(OR(B386="",G386="",H386="",E386=""),"À compléter",IF(COUNTIFS($A$6:$A$505,A386,$B$6:$B$505,B386)&gt;1,"Doublon ID",IF(AND(ISNUMBER(J386),J386&lt;E386),"Incohérent",""))))</x:f>
      </x:c>
    </x:row>
    <x:row r="387" ht="23" customHeight="1">
      <x:c r="A387" s="9"/>
      <x:c r="B387" s="9"/>
      <x:c r="C387" s="9"/>
      <x:c r="D387" s="9"/>
      <x:c r="E387" s="11"/>
      <x:c r="F387" s="9"/>
      <x:c r="G387" s="9"/>
      <x:c r="H387" s="9"/>
      <x:c r="I387" s="11"/>
      <x:c r="J387" s="11"/>
      <x:c r="K387" s="9"/>
      <x:c r="L387" s="9"/>
      <x:c r="M387" s="12" t="str">
        <x:f>IF(A387="","",IF(G387="","À compléter",IF(AND(ISNUMBER(J387),J387&lt;='Tableau de bord'!$F$5),"Réalisée",IF(I387="","À compléter",IF(I387&lt;'Tableau de bord'!$F$5,"Retard","À venir")))))</x:f>
      </x:c>
      <x:c r="N387" s="12" t="str">
        <x:f>IF(OR(A387="",I387=""),"",IF(M387="Retard",'Tableau de bord'!$F$5-I387,0))</x:f>
      </x:c>
      <x:c r="O387" s="9"/>
      <x:c r="P387" s="12" t="str">
        <x:f>IF(A387="","",IF(OR(B387="",G387="",H387="",E387=""),"À compléter",IF(COUNTIFS($A$6:$A$505,A387,$B$6:$B$505,B387)&gt;1,"Doublon ID",IF(AND(ISNUMBER(J387),J387&lt;E387),"Incohérent",""))))</x:f>
      </x:c>
    </x:row>
    <x:row r="388" ht="23" customHeight="1">
      <x:c r="A388" s="9"/>
      <x:c r="B388" s="9"/>
      <x:c r="C388" s="9"/>
      <x:c r="D388" s="9"/>
      <x:c r="E388" s="11"/>
      <x:c r="F388" s="9"/>
      <x:c r="G388" s="9"/>
      <x:c r="H388" s="9"/>
      <x:c r="I388" s="11"/>
      <x:c r="J388" s="11"/>
      <x:c r="K388" s="9"/>
      <x:c r="L388" s="9"/>
      <x:c r="M388" s="12" t="str">
        <x:f>IF(A388="","",IF(G388="","À compléter",IF(AND(ISNUMBER(J388),J388&lt;='Tableau de bord'!$F$5),"Réalisée",IF(I388="","À compléter",IF(I388&lt;'Tableau de bord'!$F$5,"Retard","À venir")))))</x:f>
      </x:c>
      <x:c r="N388" s="12" t="str">
        <x:f>IF(OR(A388="",I388=""),"",IF(M388="Retard",'Tableau de bord'!$F$5-I388,0))</x:f>
      </x:c>
      <x:c r="O388" s="9"/>
      <x:c r="P388" s="12" t="str">
        <x:f>IF(A388="","",IF(OR(B388="",G388="",H388="",E388=""),"À compléter",IF(COUNTIFS($A$6:$A$505,A388,$B$6:$B$505,B388)&gt;1,"Doublon ID",IF(AND(ISNUMBER(J388),J388&lt;E388),"Incohérent",""))))</x:f>
      </x:c>
    </x:row>
    <x:row r="389" ht="23" customHeight="1">
      <x:c r="A389" s="9"/>
      <x:c r="B389" s="9"/>
      <x:c r="C389" s="9"/>
      <x:c r="D389" s="9"/>
      <x:c r="E389" s="11"/>
      <x:c r="F389" s="9"/>
      <x:c r="G389" s="9"/>
      <x:c r="H389" s="9"/>
      <x:c r="I389" s="11"/>
      <x:c r="J389" s="11"/>
      <x:c r="K389" s="9"/>
      <x:c r="L389" s="9"/>
      <x:c r="M389" s="12" t="str">
        <x:f>IF(A389="","",IF(G389="","À compléter",IF(AND(ISNUMBER(J389),J389&lt;='Tableau de bord'!$F$5),"Réalisée",IF(I389="","À compléter",IF(I389&lt;'Tableau de bord'!$F$5,"Retard","À venir")))))</x:f>
      </x:c>
      <x:c r="N389" s="12" t="str">
        <x:f>IF(OR(A389="",I389=""),"",IF(M389="Retard",'Tableau de bord'!$F$5-I389,0))</x:f>
      </x:c>
      <x:c r="O389" s="9"/>
      <x:c r="P389" s="12" t="str">
        <x:f>IF(A389="","",IF(OR(B389="",G389="",H389="",E389=""),"À compléter",IF(COUNTIFS($A$6:$A$505,A389,$B$6:$B$505,B389)&gt;1,"Doublon ID",IF(AND(ISNUMBER(J389),J389&lt;E389),"Incohérent",""))))</x:f>
      </x:c>
    </x:row>
    <x:row r="390" ht="23" customHeight="1">
      <x:c r="A390" s="9"/>
      <x:c r="B390" s="9"/>
      <x:c r="C390" s="9"/>
      <x:c r="D390" s="9"/>
      <x:c r="E390" s="11"/>
      <x:c r="F390" s="9"/>
      <x:c r="G390" s="9"/>
      <x:c r="H390" s="9"/>
      <x:c r="I390" s="11"/>
      <x:c r="J390" s="11"/>
      <x:c r="K390" s="9"/>
      <x:c r="L390" s="9"/>
      <x:c r="M390" s="12" t="str">
        <x:f>IF(A390="","",IF(G390="","À compléter",IF(AND(ISNUMBER(J390),J390&lt;='Tableau de bord'!$F$5),"Réalisée",IF(I390="","À compléter",IF(I390&lt;'Tableau de bord'!$F$5,"Retard","À venir")))))</x:f>
      </x:c>
      <x:c r="N390" s="12" t="str">
        <x:f>IF(OR(A390="",I390=""),"",IF(M390="Retard",'Tableau de bord'!$F$5-I390,0))</x:f>
      </x:c>
      <x:c r="O390" s="9"/>
      <x:c r="P390" s="12" t="str">
        <x:f>IF(A390="","",IF(OR(B390="",G390="",H390="",E390=""),"À compléter",IF(COUNTIFS($A$6:$A$505,A390,$B$6:$B$505,B390)&gt;1,"Doublon ID",IF(AND(ISNUMBER(J390),J390&lt;E390),"Incohérent",""))))</x:f>
      </x:c>
    </x:row>
    <x:row r="391" ht="23" customHeight="1">
      <x:c r="A391" s="9"/>
      <x:c r="B391" s="9"/>
      <x:c r="C391" s="9"/>
      <x:c r="D391" s="9"/>
      <x:c r="E391" s="11"/>
      <x:c r="F391" s="9"/>
      <x:c r="G391" s="9"/>
      <x:c r="H391" s="9"/>
      <x:c r="I391" s="11"/>
      <x:c r="J391" s="11"/>
      <x:c r="K391" s="9"/>
      <x:c r="L391" s="9"/>
      <x:c r="M391" s="12" t="str">
        <x:f>IF(A391="","",IF(G391="","À compléter",IF(AND(ISNUMBER(J391),J391&lt;='Tableau de bord'!$F$5),"Réalisée",IF(I391="","À compléter",IF(I391&lt;'Tableau de bord'!$F$5,"Retard","À venir")))))</x:f>
      </x:c>
      <x:c r="N391" s="12" t="str">
        <x:f>IF(OR(A391="",I391=""),"",IF(M391="Retard",'Tableau de bord'!$F$5-I391,0))</x:f>
      </x:c>
      <x:c r="O391" s="9"/>
      <x:c r="P391" s="12" t="str">
        <x:f>IF(A391="","",IF(OR(B391="",G391="",H391="",E391=""),"À compléter",IF(COUNTIFS($A$6:$A$505,A391,$B$6:$B$505,B391)&gt;1,"Doublon ID",IF(AND(ISNUMBER(J391),J391&lt;E391),"Incohérent",""))))</x:f>
      </x:c>
    </x:row>
    <x:row r="392" ht="23" customHeight="1">
      <x:c r="A392" s="9"/>
      <x:c r="B392" s="9"/>
      <x:c r="C392" s="9"/>
      <x:c r="D392" s="9"/>
      <x:c r="E392" s="11"/>
      <x:c r="F392" s="9"/>
      <x:c r="G392" s="9"/>
      <x:c r="H392" s="9"/>
      <x:c r="I392" s="11"/>
      <x:c r="J392" s="11"/>
      <x:c r="K392" s="9"/>
      <x:c r="L392" s="9"/>
      <x:c r="M392" s="12" t="str">
        <x:f>IF(A392="","",IF(G392="","À compléter",IF(AND(ISNUMBER(J392),J392&lt;='Tableau de bord'!$F$5),"Réalisée",IF(I392="","À compléter",IF(I392&lt;'Tableau de bord'!$F$5,"Retard","À venir")))))</x:f>
      </x:c>
      <x:c r="N392" s="12" t="str">
        <x:f>IF(OR(A392="",I392=""),"",IF(M392="Retard",'Tableau de bord'!$F$5-I392,0))</x:f>
      </x:c>
      <x:c r="O392" s="9"/>
      <x:c r="P392" s="12" t="str">
        <x:f>IF(A392="","",IF(OR(B392="",G392="",H392="",E392=""),"À compléter",IF(COUNTIFS($A$6:$A$505,A392,$B$6:$B$505,B392)&gt;1,"Doublon ID",IF(AND(ISNUMBER(J392),J392&lt;E392),"Incohérent",""))))</x:f>
      </x:c>
    </x:row>
    <x:row r="393" ht="23" customHeight="1">
      <x:c r="A393" s="9"/>
      <x:c r="B393" s="9"/>
      <x:c r="C393" s="9"/>
      <x:c r="D393" s="9"/>
      <x:c r="E393" s="11"/>
      <x:c r="F393" s="9"/>
      <x:c r="G393" s="9"/>
      <x:c r="H393" s="9"/>
      <x:c r="I393" s="11"/>
      <x:c r="J393" s="11"/>
      <x:c r="K393" s="9"/>
      <x:c r="L393" s="9"/>
      <x:c r="M393" s="12" t="str">
        <x:f>IF(A393="","",IF(G393="","À compléter",IF(AND(ISNUMBER(J393),J393&lt;='Tableau de bord'!$F$5),"Réalisée",IF(I393="","À compléter",IF(I393&lt;'Tableau de bord'!$F$5,"Retard","À venir")))))</x:f>
      </x:c>
      <x:c r="N393" s="12" t="str">
        <x:f>IF(OR(A393="",I393=""),"",IF(M393="Retard",'Tableau de bord'!$F$5-I393,0))</x:f>
      </x:c>
      <x:c r="O393" s="9"/>
      <x:c r="P393" s="12" t="str">
        <x:f>IF(A393="","",IF(OR(B393="",G393="",H393="",E393=""),"À compléter",IF(COUNTIFS($A$6:$A$505,A393,$B$6:$B$505,B393)&gt;1,"Doublon ID",IF(AND(ISNUMBER(J393),J393&lt;E393),"Incohérent",""))))</x:f>
      </x:c>
    </x:row>
    <x:row r="394" ht="23" customHeight="1">
      <x:c r="A394" s="9"/>
      <x:c r="B394" s="9"/>
      <x:c r="C394" s="9"/>
      <x:c r="D394" s="9"/>
      <x:c r="E394" s="11"/>
      <x:c r="F394" s="9"/>
      <x:c r="G394" s="9"/>
      <x:c r="H394" s="9"/>
      <x:c r="I394" s="11"/>
      <x:c r="J394" s="11"/>
      <x:c r="K394" s="9"/>
      <x:c r="L394" s="9"/>
      <x:c r="M394" s="12" t="str">
        <x:f>IF(A394="","",IF(G394="","À compléter",IF(AND(ISNUMBER(J394),J394&lt;='Tableau de bord'!$F$5),"Réalisée",IF(I394="","À compléter",IF(I394&lt;'Tableau de bord'!$F$5,"Retard","À venir")))))</x:f>
      </x:c>
      <x:c r="N394" s="12" t="str">
        <x:f>IF(OR(A394="",I394=""),"",IF(M394="Retard",'Tableau de bord'!$F$5-I394,0))</x:f>
      </x:c>
      <x:c r="O394" s="9"/>
      <x:c r="P394" s="12" t="str">
        <x:f>IF(A394="","",IF(OR(B394="",G394="",H394="",E394=""),"À compléter",IF(COUNTIFS($A$6:$A$505,A394,$B$6:$B$505,B394)&gt;1,"Doublon ID",IF(AND(ISNUMBER(J394),J394&lt;E394),"Incohérent",""))))</x:f>
      </x:c>
    </x:row>
    <x:row r="395" ht="23" customHeight="1">
      <x:c r="A395" s="9"/>
      <x:c r="B395" s="9"/>
      <x:c r="C395" s="9"/>
      <x:c r="D395" s="9"/>
      <x:c r="E395" s="11"/>
      <x:c r="F395" s="9"/>
      <x:c r="G395" s="9"/>
      <x:c r="H395" s="9"/>
      <x:c r="I395" s="11"/>
      <x:c r="J395" s="11"/>
      <x:c r="K395" s="9"/>
      <x:c r="L395" s="9"/>
      <x:c r="M395" s="12" t="str">
        <x:f>IF(A395="","",IF(G395="","À compléter",IF(AND(ISNUMBER(J395),J395&lt;='Tableau de bord'!$F$5),"Réalisée",IF(I395="","À compléter",IF(I395&lt;'Tableau de bord'!$F$5,"Retard","À venir")))))</x:f>
      </x:c>
      <x:c r="N395" s="12" t="str">
        <x:f>IF(OR(A395="",I395=""),"",IF(M395="Retard",'Tableau de bord'!$F$5-I395,0))</x:f>
      </x:c>
      <x:c r="O395" s="9"/>
      <x:c r="P395" s="12" t="str">
        <x:f>IF(A395="","",IF(OR(B395="",G395="",H395="",E395=""),"À compléter",IF(COUNTIFS($A$6:$A$505,A395,$B$6:$B$505,B395)&gt;1,"Doublon ID",IF(AND(ISNUMBER(J395),J395&lt;E395),"Incohérent",""))))</x:f>
      </x:c>
    </x:row>
    <x:row r="396" ht="23" customHeight="1">
      <x:c r="A396" s="9"/>
      <x:c r="B396" s="9"/>
      <x:c r="C396" s="9"/>
      <x:c r="D396" s="9"/>
      <x:c r="E396" s="11"/>
      <x:c r="F396" s="9"/>
      <x:c r="G396" s="9"/>
      <x:c r="H396" s="9"/>
      <x:c r="I396" s="11"/>
      <x:c r="J396" s="11"/>
      <x:c r="K396" s="9"/>
      <x:c r="L396" s="9"/>
      <x:c r="M396" s="12" t="str">
        <x:f>IF(A396="","",IF(G396="","À compléter",IF(AND(ISNUMBER(J396),J396&lt;='Tableau de bord'!$F$5),"Réalisée",IF(I396="","À compléter",IF(I396&lt;'Tableau de bord'!$F$5,"Retard","À venir")))))</x:f>
      </x:c>
      <x:c r="N396" s="12" t="str">
        <x:f>IF(OR(A396="",I396=""),"",IF(M396="Retard",'Tableau de bord'!$F$5-I396,0))</x:f>
      </x:c>
      <x:c r="O396" s="9"/>
      <x:c r="P396" s="12" t="str">
        <x:f>IF(A396="","",IF(OR(B396="",G396="",H396="",E396=""),"À compléter",IF(COUNTIFS($A$6:$A$505,A396,$B$6:$B$505,B396)&gt;1,"Doublon ID",IF(AND(ISNUMBER(J396),J396&lt;E396),"Incohérent",""))))</x:f>
      </x:c>
    </x:row>
    <x:row r="397" ht="23" customHeight="1">
      <x:c r="A397" s="9"/>
      <x:c r="B397" s="9"/>
      <x:c r="C397" s="9"/>
      <x:c r="D397" s="9"/>
      <x:c r="E397" s="11"/>
      <x:c r="F397" s="9"/>
      <x:c r="G397" s="9"/>
      <x:c r="H397" s="9"/>
      <x:c r="I397" s="11"/>
      <x:c r="J397" s="11"/>
      <x:c r="K397" s="9"/>
      <x:c r="L397" s="9"/>
      <x:c r="M397" s="12" t="str">
        <x:f>IF(A397="","",IF(G397="","À compléter",IF(AND(ISNUMBER(J397),J397&lt;='Tableau de bord'!$F$5),"Réalisée",IF(I397="","À compléter",IF(I397&lt;'Tableau de bord'!$F$5,"Retard","À venir")))))</x:f>
      </x:c>
      <x:c r="N397" s="12" t="str">
        <x:f>IF(OR(A397="",I397=""),"",IF(M397="Retard",'Tableau de bord'!$F$5-I397,0))</x:f>
      </x:c>
      <x:c r="O397" s="9"/>
      <x:c r="P397" s="12" t="str">
        <x:f>IF(A397="","",IF(OR(B397="",G397="",H397="",E397=""),"À compléter",IF(COUNTIFS($A$6:$A$505,A397,$B$6:$B$505,B397)&gt;1,"Doublon ID",IF(AND(ISNUMBER(J397),J397&lt;E397),"Incohérent",""))))</x:f>
      </x:c>
    </x:row>
    <x:row r="398" ht="23" customHeight="1">
      <x:c r="A398" s="9"/>
      <x:c r="B398" s="9"/>
      <x:c r="C398" s="9"/>
      <x:c r="D398" s="9"/>
      <x:c r="E398" s="11"/>
      <x:c r="F398" s="9"/>
      <x:c r="G398" s="9"/>
      <x:c r="H398" s="9"/>
      <x:c r="I398" s="11"/>
      <x:c r="J398" s="11"/>
      <x:c r="K398" s="9"/>
      <x:c r="L398" s="9"/>
      <x:c r="M398" s="12" t="str">
        <x:f>IF(A398="","",IF(G398="","À compléter",IF(AND(ISNUMBER(J398),J398&lt;='Tableau de bord'!$F$5),"Réalisée",IF(I398="","À compléter",IF(I398&lt;'Tableau de bord'!$F$5,"Retard","À venir")))))</x:f>
      </x:c>
      <x:c r="N398" s="12" t="str">
        <x:f>IF(OR(A398="",I398=""),"",IF(M398="Retard",'Tableau de bord'!$F$5-I398,0))</x:f>
      </x:c>
      <x:c r="O398" s="9"/>
      <x:c r="P398" s="12" t="str">
        <x:f>IF(A398="","",IF(OR(B398="",G398="",H398="",E398=""),"À compléter",IF(COUNTIFS($A$6:$A$505,A398,$B$6:$B$505,B398)&gt;1,"Doublon ID",IF(AND(ISNUMBER(J398),J398&lt;E398),"Incohérent",""))))</x:f>
      </x:c>
    </x:row>
    <x:row r="399" ht="23" customHeight="1">
      <x:c r="A399" s="9"/>
      <x:c r="B399" s="9"/>
      <x:c r="C399" s="9"/>
      <x:c r="D399" s="9"/>
      <x:c r="E399" s="11"/>
      <x:c r="F399" s="9"/>
      <x:c r="G399" s="9"/>
      <x:c r="H399" s="9"/>
      <x:c r="I399" s="11"/>
      <x:c r="J399" s="11"/>
      <x:c r="K399" s="9"/>
      <x:c r="L399" s="9"/>
      <x:c r="M399" s="12" t="str">
        <x:f>IF(A399="","",IF(G399="","À compléter",IF(AND(ISNUMBER(J399),J399&lt;='Tableau de bord'!$F$5),"Réalisée",IF(I399="","À compléter",IF(I399&lt;'Tableau de bord'!$F$5,"Retard","À venir")))))</x:f>
      </x:c>
      <x:c r="N399" s="12" t="str">
        <x:f>IF(OR(A399="",I399=""),"",IF(M399="Retard",'Tableau de bord'!$F$5-I399,0))</x:f>
      </x:c>
      <x:c r="O399" s="9"/>
      <x:c r="P399" s="12" t="str">
        <x:f>IF(A399="","",IF(OR(B399="",G399="",H399="",E399=""),"À compléter",IF(COUNTIFS($A$6:$A$505,A399,$B$6:$B$505,B399)&gt;1,"Doublon ID",IF(AND(ISNUMBER(J399),J399&lt;E399),"Incohérent",""))))</x:f>
      </x:c>
    </x:row>
    <x:row r="400" ht="23" customHeight="1">
      <x:c r="A400" s="9"/>
      <x:c r="B400" s="9"/>
      <x:c r="C400" s="9"/>
      <x:c r="D400" s="9"/>
      <x:c r="E400" s="11"/>
      <x:c r="F400" s="9"/>
      <x:c r="G400" s="9"/>
      <x:c r="H400" s="9"/>
      <x:c r="I400" s="11"/>
      <x:c r="J400" s="11"/>
      <x:c r="K400" s="9"/>
      <x:c r="L400" s="9"/>
      <x:c r="M400" s="12" t="str">
        <x:f>IF(A400="","",IF(G400="","À compléter",IF(AND(ISNUMBER(J400),J400&lt;='Tableau de bord'!$F$5),"Réalisée",IF(I400="","À compléter",IF(I400&lt;'Tableau de bord'!$F$5,"Retard","À venir")))))</x:f>
      </x:c>
      <x:c r="N400" s="12" t="str">
        <x:f>IF(OR(A400="",I400=""),"",IF(M400="Retard",'Tableau de bord'!$F$5-I400,0))</x:f>
      </x:c>
      <x:c r="O400" s="9"/>
      <x:c r="P400" s="12" t="str">
        <x:f>IF(A400="","",IF(OR(B400="",G400="",H400="",E400=""),"À compléter",IF(COUNTIFS($A$6:$A$505,A400,$B$6:$B$505,B400)&gt;1,"Doublon ID",IF(AND(ISNUMBER(J400),J400&lt;E400),"Incohérent",""))))</x:f>
      </x:c>
    </x:row>
    <x:row r="401" ht="23" customHeight="1">
      <x:c r="A401" s="9"/>
      <x:c r="B401" s="9"/>
      <x:c r="C401" s="9"/>
      <x:c r="D401" s="9"/>
      <x:c r="E401" s="11"/>
      <x:c r="F401" s="9"/>
      <x:c r="G401" s="9"/>
      <x:c r="H401" s="9"/>
      <x:c r="I401" s="11"/>
      <x:c r="J401" s="11"/>
      <x:c r="K401" s="9"/>
      <x:c r="L401" s="9"/>
      <x:c r="M401" s="12" t="str">
        <x:f>IF(A401="","",IF(G401="","À compléter",IF(AND(ISNUMBER(J401),J401&lt;='Tableau de bord'!$F$5),"Réalisée",IF(I401="","À compléter",IF(I401&lt;'Tableau de bord'!$F$5,"Retard","À venir")))))</x:f>
      </x:c>
      <x:c r="N401" s="12" t="str">
        <x:f>IF(OR(A401="",I401=""),"",IF(M401="Retard",'Tableau de bord'!$F$5-I401,0))</x:f>
      </x:c>
      <x:c r="O401" s="9"/>
      <x:c r="P401" s="12" t="str">
        <x:f>IF(A401="","",IF(OR(B401="",G401="",H401="",E401=""),"À compléter",IF(COUNTIFS($A$6:$A$505,A401,$B$6:$B$505,B401)&gt;1,"Doublon ID",IF(AND(ISNUMBER(J401),J401&lt;E401),"Incohérent",""))))</x:f>
      </x:c>
    </x:row>
    <x:row r="402" ht="23" customHeight="1">
      <x:c r="A402" s="9"/>
      <x:c r="B402" s="9"/>
      <x:c r="C402" s="9"/>
      <x:c r="D402" s="9"/>
      <x:c r="E402" s="11"/>
      <x:c r="F402" s="9"/>
      <x:c r="G402" s="9"/>
      <x:c r="H402" s="9"/>
      <x:c r="I402" s="11"/>
      <x:c r="J402" s="11"/>
      <x:c r="K402" s="9"/>
      <x:c r="L402" s="9"/>
      <x:c r="M402" s="12" t="str">
        <x:f>IF(A402="","",IF(G402="","À compléter",IF(AND(ISNUMBER(J402),J402&lt;='Tableau de bord'!$F$5),"Réalisée",IF(I402="","À compléter",IF(I402&lt;'Tableau de bord'!$F$5,"Retard","À venir")))))</x:f>
      </x:c>
      <x:c r="N402" s="12" t="str">
        <x:f>IF(OR(A402="",I402=""),"",IF(M402="Retard",'Tableau de bord'!$F$5-I402,0))</x:f>
      </x:c>
      <x:c r="O402" s="9"/>
      <x:c r="P402" s="12" t="str">
        <x:f>IF(A402="","",IF(OR(B402="",G402="",H402="",E402=""),"À compléter",IF(COUNTIFS($A$6:$A$505,A402,$B$6:$B$505,B402)&gt;1,"Doublon ID",IF(AND(ISNUMBER(J402),J402&lt;E402),"Incohérent",""))))</x:f>
      </x:c>
    </x:row>
    <x:row r="403" ht="23" customHeight="1">
      <x:c r="A403" s="9"/>
      <x:c r="B403" s="9"/>
      <x:c r="C403" s="9"/>
      <x:c r="D403" s="9"/>
      <x:c r="E403" s="11"/>
      <x:c r="F403" s="9"/>
      <x:c r="G403" s="9"/>
      <x:c r="H403" s="9"/>
      <x:c r="I403" s="11"/>
      <x:c r="J403" s="11"/>
      <x:c r="K403" s="9"/>
      <x:c r="L403" s="9"/>
      <x:c r="M403" s="12" t="str">
        <x:f>IF(A403="","",IF(G403="","À compléter",IF(AND(ISNUMBER(J403),J403&lt;='Tableau de bord'!$F$5),"Réalisée",IF(I403="","À compléter",IF(I403&lt;'Tableau de bord'!$F$5,"Retard","À venir")))))</x:f>
      </x:c>
      <x:c r="N403" s="12" t="str">
        <x:f>IF(OR(A403="",I403=""),"",IF(M403="Retard",'Tableau de bord'!$F$5-I403,0))</x:f>
      </x:c>
      <x:c r="O403" s="9"/>
      <x:c r="P403" s="12" t="str">
        <x:f>IF(A403="","",IF(OR(B403="",G403="",H403="",E403=""),"À compléter",IF(COUNTIFS($A$6:$A$505,A403,$B$6:$B$505,B403)&gt;1,"Doublon ID",IF(AND(ISNUMBER(J403),J403&lt;E403),"Incohérent",""))))</x:f>
      </x:c>
    </x:row>
    <x:row r="404" ht="23" customHeight="1">
      <x:c r="A404" s="9"/>
      <x:c r="B404" s="9"/>
      <x:c r="C404" s="9"/>
      <x:c r="D404" s="9"/>
      <x:c r="E404" s="11"/>
      <x:c r="F404" s="9"/>
      <x:c r="G404" s="9"/>
      <x:c r="H404" s="9"/>
      <x:c r="I404" s="11"/>
      <x:c r="J404" s="11"/>
      <x:c r="K404" s="9"/>
      <x:c r="L404" s="9"/>
      <x:c r="M404" s="12" t="str">
        <x:f>IF(A404="","",IF(G404="","À compléter",IF(AND(ISNUMBER(J404),J404&lt;='Tableau de bord'!$F$5),"Réalisée",IF(I404="","À compléter",IF(I404&lt;'Tableau de bord'!$F$5,"Retard","À venir")))))</x:f>
      </x:c>
      <x:c r="N404" s="12" t="str">
        <x:f>IF(OR(A404="",I404=""),"",IF(M404="Retard",'Tableau de bord'!$F$5-I404,0))</x:f>
      </x:c>
      <x:c r="O404" s="9"/>
      <x:c r="P404" s="12" t="str">
        <x:f>IF(A404="","",IF(OR(B404="",G404="",H404="",E404=""),"À compléter",IF(COUNTIFS($A$6:$A$505,A404,$B$6:$B$505,B404)&gt;1,"Doublon ID",IF(AND(ISNUMBER(J404),J404&lt;E404),"Incohérent",""))))</x:f>
      </x:c>
    </x:row>
    <x:row r="405" ht="23" customHeight="1">
      <x:c r="A405" s="9"/>
      <x:c r="B405" s="9"/>
      <x:c r="C405" s="9"/>
      <x:c r="D405" s="9"/>
      <x:c r="E405" s="11"/>
      <x:c r="F405" s="9"/>
      <x:c r="G405" s="9"/>
      <x:c r="H405" s="9"/>
      <x:c r="I405" s="11"/>
      <x:c r="J405" s="11"/>
      <x:c r="K405" s="9"/>
      <x:c r="L405" s="9"/>
      <x:c r="M405" s="12" t="str">
        <x:f>IF(A405="","",IF(G405="","À compléter",IF(AND(ISNUMBER(J405),J405&lt;='Tableau de bord'!$F$5),"Réalisée",IF(I405="","À compléter",IF(I405&lt;'Tableau de bord'!$F$5,"Retard","À venir")))))</x:f>
      </x:c>
      <x:c r="N405" s="12" t="str">
        <x:f>IF(OR(A405="",I405=""),"",IF(M405="Retard",'Tableau de bord'!$F$5-I405,0))</x:f>
      </x:c>
      <x:c r="O405" s="9"/>
      <x:c r="P405" s="12" t="str">
        <x:f>IF(A405="","",IF(OR(B405="",G405="",H405="",E405=""),"À compléter",IF(COUNTIFS($A$6:$A$505,A405,$B$6:$B$505,B405)&gt;1,"Doublon ID",IF(AND(ISNUMBER(J405),J405&lt;E405),"Incohérent",""))))</x:f>
      </x:c>
    </x:row>
    <x:row r="406" ht="23" customHeight="1">
      <x:c r="A406" s="9"/>
      <x:c r="B406" s="9"/>
      <x:c r="C406" s="9"/>
      <x:c r="D406" s="9"/>
      <x:c r="E406" s="11"/>
      <x:c r="F406" s="9"/>
      <x:c r="G406" s="9"/>
      <x:c r="H406" s="9"/>
      <x:c r="I406" s="11"/>
      <x:c r="J406" s="11"/>
      <x:c r="K406" s="9"/>
      <x:c r="L406" s="9"/>
      <x:c r="M406" s="12" t="str">
        <x:f>IF(A406="","",IF(G406="","À compléter",IF(AND(ISNUMBER(J406),J406&lt;='Tableau de bord'!$F$5),"Réalisée",IF(I406="","À compléter",IF(I406&lt;'Tableau de bord'!$F$5,"Retard","À venir")))))</x:f>
      </x:c>
      <x:c r="N406" s="12" t="str">
        <x:f>IF(OR(A406="",I406=""),"",IF(M406="Retard",'Tableau de bord'!$F$5-I406,0))</x:f>
      </x:c>
      <x:c r="O406" s="9"/>
      <x:c r="P406" s="12" t="str">
        <x:f>IF(A406="","",IF(OR(B406="",G406="",H406="",E406=""),"À compléter",IF(COUNTIFS($A$6:$A$505,A406,$B$6:$B$505,B406)&gt;1,"Doublon ID",IF(AND(ISNUMBER(J406),J406&lt;E406),"Incohérent",""))))</x:f>
      </x:c>
    </x:row>
    <x:row r="407" ht="23" customHeight="1">
      <x:c r="A407" s="9"/>
      <x:c r="B407" s="9"/>
      <x:c r="C407" s="9"/>
      <x:c r="D407" s="9"/>
      <x:c r="E407" s="11"/>
      <x:c r="F407" s="9"/>
      <x:c r="G407" s="9"/>
      <x:c r="H407" s="9"/>
      <x:c r="I407" s="11"/>
      <x:c r="J407" s="11"/>
      <x:c r="K407" s="9"/>
      <x:c r="L407" s="9"/>
      <x:c r="M407" s="12" t="str">
        <x:f>IF(A407="","",IF(G407="","À compléter",IF(AND(ISNUMBER(J407),J407&lt;='Tableau de bord'!$F$5),"Réalisée",IF(I407="","À compléter",IF(I407&lt;'Tableau de bord'!$F$5,"Retard","À venir")))))</x:f>
      </x:c>
      <x:c r="N407" s="12" t="str">
        <x:f>IF(OR(A407="",I407=""),"",IF(M407="Retard",'Tableau de bord'!$F$5-I407,0))</x:f>
      </x:c>
      <x:c r="O407" s="9"/>
      <x:c r="P407" s="12" t="str">
        <x:f>IF(A407="","",IF(OR(B407="",G407="",H407="",E407=""),"À compléter",IF(COUNTIFS($A$6:$A$505,A407,$B$6:$B$505,B407)&gt;1,"Doublon ID",IF(AND(ISNUMBER(J407),J407&lt;E407),"Incohérent",""))))</x:f>
      </x:c>
    </x:row>
    <x:row r="408" ht="23" customHeight="1">
      <x:c r="A408" s="9"/>
      <x:c r="B408" s="9"/>
      <x:c r="C408" s="9"/>
      <x:c r="D408" s="9"/>
      <x:c r="E408" s="11"/>
      <x:c r="F408" s="9"/>
      <x:c r="G408" s="9"/>
      <x:c r="H408" s="9"/>
      <x:c r="I408" s="11"/>
      <x:c r="J408" s="11"/>
      <x:c r="K408" s="9"/>
      <x:c r="L408" s="9"/>
      <x:c r="M408" s="12" t="str">
        <x:f>IF(A408="","",IF(G408="","À compléter",IF(AND(ISNUMBER(J408),J408&lt;='Tableau de bord'!$F$5),"Réalisée",IF(I408="","À compléter",IF(I408&lt;'Tableau de bord'!$F$5,"Retard","À venir")))))</x:f>
      </x:c>
      <x:c r="N408" s="12" t="str">
        <x:f>IF(OR(A408="",I408=""),"",IF(M408="Retard",'Tableau de bord'!$F$5-I408,0))</x:f>
      </x:c>
      <x:c r="O408" s="9"/>
      <x:c r="P408" s="12" t="str">
        <x:f>IF(A408="","",IF(OR(B408="",G408="",H408="",E408=""),"À compléter",IF(COUNTIFS($A$6:$A$505,A408,$B$6:$B$505,B408)&gt;1,"Doublon ID",IF(AND(ISNUMBER(J408),J408&lt;E408),"Incohérent",""))))</x:f>
      </x:c>
    </x:row>
    <x:row r="409" ht="23" customHeight="1">
      <x:c r="A409" s="9"/>
      <x:c r="B409" s="9"/>
      <x:c r="C409" s="9"/>
      <x:c r="D409" s="9"/>
      <x:c r="E409" s="11"/>
      <x:c r="F409" s="9"/>
      <x:c r="G409" s="9"/>
      <x:c r="H409" s="9"/>
      <x:c r="I409" s="11"/>
      <x:c r="J409" s="11"/>
      <x:c r="K409" s="9"/>
      <x:c r="L409" s="9"/>
      <x:c r="M409" s="12" t="str">
        <x:f>IF(A409="","",IF(G409="","À compléter",IF(AND(ISNUMBER(J409),J409&lt;='Tableau de bord'!$F$5),"Réalisée",IF(I409="","À compléter",IF(I409&lt;'Tableau de bord'!$F$5,"Retard","À venir")))))</x:f>
      </x:c>
      <x:c r="N409" s="12" t="str">
        <x:f>IF(OR(A409="",I409=""),"",IF(M409="Retard",'Tableau de bord'!$F$5-I409,0))</x:f>
      </x:c>
      <x:c r="O409" s="9"/>
      <x:c r="P409" s="12" t="str">
        <x:f>IF(A409="","",IF(OR(B409="",G409="",H409="",E409=""),"À compléter",IF(COUNTIFS($A$6:$A$505,A409,$B$6:$B$505,B409)&gt;1,"Doublon ID",IF(AND(ISNUMBER(J409),J409&lt;E409),"Incohérent",""))))</x:f>
      </x:c>
    </x:row>
    <x:row r="410" ht="23" customHeight="1">
      <x:c r="A410" s="9"/>
      <x:c r="B410" s="9"/>
      <x:c r="C410" s="9"/>
      <x:c r="D410" s="9"/>
      <x:c r="E410" s="11"/>
      <x:c r="F410" s="9"/>
      <x:c r="G410" s="9"/>
      <x:c r="H410" s="9"/>
      <x:c r="I410" s="11"/>
      <x:c r="J410" s="11"/>
      <x:c r="K410" s="9"/>
      <x:c r="L410" s="9"/>
      <x:c r="M410" s="12" t="str">
        <x:f>IF(A410="","",IF(G410="","À compléter",IF(AND(ISNUMBER(J410),J410&lt;='Tableau de bord'!$F$5),"Réalisée",IF(I410="","À compléter",IF(I410&lt;'Tableau de bord'!$F$5,"Retard","À venir")))))</x:f>
      </x:c>
      <x:c r="N410" s="12" t="str">
        <x:f>IF(OR(A410="",I410=""),"",IF(M410="Retard",'Tableau de bord'!$F$5-I410,0))</x:f>
      </x:c>
      <x:c r="O410" s="9"/>
      <x:c r="P410" s="12" t="str">
        <x:f>IF(A410="","",IF(OR(B410="",G410="",H410="",E410=""),"À compléter",IF(COUNTIFS($A$6:$A$505,A410,$B$6:$B$505,B410)&gt;1,"Doublon ID",IF(AND(ISNUMBER(J410),J410&lt;E410),"Incohérent",""))))</x:f>
      </x:c>
    </x:row>
    <x:row r="411" ht="23" customHeight="1">
      <x:c r="A411" s="9"/>
      <x:c r="B411" s="9"/>
      <x:c r="C411" s="9"/>
      <x:c r="D411" s="9"/>
      <x:c r="E411" s="11"/>
      <x:c r="F411" s="9"/>
      <x:c r="G411" s="9"/>
      <x:c r="H411" s="9"/>
      <x:c r="I411" s="11"/>
      <x:c r="J411" s="11"/>
      <x:c r="K411" s="9"/>
      <x:c r="L411" s="9"/>
      <x:c r="M411" s="12" t="str">
        <x:f>IF(A411="","",IF(G411="","À compléter",IF(AND(ISNUMBER(J411),J411&lt;='Tableau de bord'!$F$5),"Réalisée",IF(I411="","À compléter",IF(I411&lt;'Tableau de bord'!$F$5,"Retard","À venir")))))</x:f>
      </x:c>
      <x:c r="N411" s="12" t="str">
        <x:f>IF(OR(A411="",I411=""),"",IF(M411="Retard",'Tableau de bord'!$F$5-I411,0))</x:f>
      </x:c>
      <x:c r="O411" s="9"/>
      <x:c r="P411" s="12" t="str">
        <x:f>IF(A411="","",IF(OR(B411="",G411="",H411="",E411=""),"À compléter",IF(COUNTIFS($A$6:$A$505,A411,$B$6:$B$505,B411)&gt;1,"Doublon ID",IF(AND(ISNUMBER(J411),J411&lt;E411),"Incohérent",""))))</x:f>
      </x:c>
    </x:row>
    <x:row r="412" ht="23" customHeight="1">
      <x:c r="A412" s="9"/>
      <x:c r="B412" s="9"/>
      <x:c r="C412" s="9"/>
      <x:c r="D412" s="9"/>
      <x:c r="E412" s="11"/>
      <x:c r="F412" s="9"/>
      <x:c r="G412" s="9"/>
      <x:c r="H412" s="9"/>
      <x:c r="I412" s="11"/>
      <x:c r="J412" s="11"/>
      <x:c r="K412" s="9"/>
      <x:c r="L412" s="9"/>
      <x:c r="M412" s="12" t="str">
        <x:f>IF(A412="","",IF(G412="","À compléter",IF(AND(ISNUMBER(J412),J412&lt;='Tableau de bord'!$F$5),"Réalisée",IF(I412="","À compléter",IF(I412&lt;'Tableau de bord'!$F$5,"Retard","À venir")))))</x:f>
      </x:c>
      <x:c r="N412" s="12" t="str">
        <x:f>IF(OR(A412="",I412=""),"",IF(M412="Retard",'Tableau de bord'!$F$5-I412,0))</x:f>
      </x:c>
      <x:c r="O412" s="9"/>
      <x:c r="P412" s="12" t="str">
        <x:f>IF(A412="","",IF(OR(B412="",G412="",H412="",E412=""),"À compléter",IF(COUNTIFS($A$6:$A$505,A412,$B$6:$B$505,B412)&gt;1,"Doublon ID",IF(AND(ISNUMBER(J412),J412&lt;E412),"Incohérent",""))))</x:f>
      </x:c>
    </x:row>
    <x:row r="413" ht="23" customHeight="1">
      <x:c r="A413" s="9"/>
      <x:c r="B413" s="9"/>
      <x:c r="C413" s="9"/>
      <x:c r="D413" s="9"/>
      <x:c r="E413" s="11"/>
      <x:c r="F413" s="9"/>
      <x:c r="G413" s="9"/>
      <x:c r="H413" s="9"/>
      <x:c r="I413" s="11"/>
      <x:c r="J413" s="11"/>
      <x:c r="K413" s="9"/>
      <x:c r="L413" s="9"/>
      <x:c r="M413" s="12" t="str">
        <x:f>IF(A413="","",IF(G413="","À compléter",IF(AND(ISNUMBER(J413),J413&lt;='Tableau de bord'!$F$5),"Réalisée",IF(I413="","À compléter",IF(I413&lt;'Tableau de bord'!$F$5,"Retard","À venir")))))</x:f>
      </x:c>
      <x:c r="N413" s="12" t="str">
        <x:f>IF(OR(A413="",I413=""),"",IF(M413="Retard",'Tableau de bord'!$F$5-I413,0))</x:f>
      </x:c>
      <x:c r="O413" s="9"/>
      <x:c r="P413" s="12" t="str">
        <x:f>IF(A413="","",IF(OR(B413="",G413="",H413="",E413=""),"À compléter",IF(COUNTIFS($A$6:$A$505,A413,$B$6:$B$505,B413)&gt;1,"Doublon ID",IF(AND(ISNUMBER(J413),J413&lt;E413),"Incohérent",""))))</x:f>
      </x:c>
    </x:row>
    <x:row r="414" ht="23" customHeight="1">
      <x:c r="A414" s="9"/>
      <x:c r="B414" s="9"/>
      <x:c r="C414" s="9"/>
      <x:c r="D414" s="9"/>
      <x:c r="E414" s="11"/>
      <x:c r="F414" s="9"/>
      <x:c r="G414" s="9"/>
      <x:c r="H414" s="9"/>
      <x:c r="I414" s="11"/>
      <x:c r="J414" s="11"/>
      <x:c r="K414" s="9"/>
      <x:c r="L414" s="9"/>
      <x:c r="M414" s="12" t="str">
        <x:f>IF(A414="","",IF(G414="","À compléter",IF(AND(ISNUMBER(J414),J414&lt;='Tableau de bord'!$F$5),"Réalisée",IF(I414="","À compléter",IF(I414&lt;'Tableau de bord'!$F$5,"Retard","À venir")))))</x:f>
      </x:c>
      <x:c r="N414" s="12" t="str">
        <x:f>IF(OR(A414="",I414=""),"",IF(M414="Retard",'Tableau de bord'!$F$5-I414,0))</x:f>
      </x:c>
      <x:c r="O414" s="9"/>
      <x:c r="P414" s="12" t="str">
        <x:f>IF(A414="","",IF(OR(B414="",G414="",H414="",E414=""),"À compléter",IF(COUNTIFS($A$6:$A$505,A414,$B$6:$B$505,B414)&gt;1,"Doublon ID",IF(AND(ISNUMBER(J414),J414&lt;E414),"Incohérent",""))))</x:f>
      </x:c>
    </x:row>
    <x:row r="415" ht="23" customHeight="1">
      <x:c r="A415" s="9"/>
      <x:c r="B415" s="9"/>
      <x:c r="C415" s="9"/>
      <x:c r="D415" s="9"/>
      <x:c r="E415" s="11"/>
      <x:c r="F415" s="9"/>
      <x:c r="G415" s="9"/>
      <x:c r="H415" s="9"/>
      <x:c r="I415" s="11"/>
      <x:c r="J415" s="11"/>
      <x:c r="K415" s="9"/>
      <x:c r="L415" s="9"/>
      <x:c r="M415" s="12" t="str">
        <x:f>IF(A415="","",IF(G415="","À compléter",IF(AND(ISNUMBER(J415),J415&lt;='Tableau de bord'!$F$5),"Réalisée",IF(I415="","À compléter",IF(I415&lt;'Tableau de bord'!$F$5,"Retard","À venir")))))</x:f>
      </x:c>
      <x:c r="N415" s="12" t="str">
        <x:f>IF(OR(A415="",I415=""),"",IF(M415="Retard",'Tableau de bord'!$F$5-I415,0))</x:f>
      </x:c>
      <x:c r="O415" s="9"/>
      <x:c r="P415" s="12" t="str">
        <x:f>IF(A415="","",IF(OR(B415="",G415="",H415="",E415=""),"À compléter",IF(COUNTIFS($A$6:$A$505,A415,$B$6:$B$505,B415)&gt;1,"Doublon ID",IF(AND(ISNUMBER(J415),J415&lt;E415),"Incohérent",""))))</x:f>
      </x:c>
    </x:row>
    <x:row r="416" ht="23" customHeight="1">
      <x:c r="A416" s="9"/>
      <x:c r="B416" s="9"/>
      <x:c r="C416" s="9"/>
      <x:c r="D416" s="9"/>
      <x:c r="E416" s="11"/>
      <x:c r="F416" s="9"/>
      <x:c r="G416" s="9"/>
      <x:c r="H416" s="9"/>
      <x:c r="I416" s="11"/>
      <x:c r="J416" s="11"/>
      <x:c r="K416" s="9"/>
      <x:c r="L416" s="9"/>
      <x:c r="M416" s="12" t="str">
        <x:f>IF(A416="","",IF(G416="","À compléter",IF(AND(ISNUMBER(J416),J416&lt;='Tableau de bord'!$F$5),"Réalisée",IF(I416="","À compléter",IF(I416&lt;'Tableau de bord'!$F$5,"Retard","À venir")))))</x:f>
      </x:c>
      <x:c r="N416" s="12" t="str">
        <x:f>IF(OR(A416="",I416=""),"",IF(M416="Retard",'Tableau de bord'!$F$5-I416,0))</x:f>
      </x:c>
      <x:c r="O416" s="9"/>
      <x:c r="P416" s="12" t="str">
        <x:f>IF(A416="","",IF(OR(B416="",G416="",H416="",E416=""),"À compléter",IF(COUNTIFS($A$6:$A$505,A416,$B$6:$B$505,B416)&gt;1,"Doublon ID",IF(AND(ISNUMBER(J416),J416&lt;E416),"Incohérent",""))))</x:f>
      </x:c>
    </x:row>
    <x:row r="417" ht="23" customHeight="1">
      <x:c r="A417" s="9"/>
      <x:c r="B417" s="9"/>
      <x:c r="C417" s="9"/>
      <x:c r="D417" s="9"/>
      <x:c r="E417" s="11"/>
      <x:c r="F417" s="9"/>
      <x:c r="G417" s="9"/>
      <x:c r="H417" s="9"/>
      <x:c r="I417" s="11"/>
      <x:c r="J417" s="11"/>
      <x:c r="K417" s="9"/>
      <x:c r="L417" s="9"/>
      <x:c r="M417" s="12" t="str">
        <x:f>IF(A417="","",IF(G417="","À compléter",IF(AND(ISNUMBER(J417),J417&lt;='Tableau de bord'!$F$5),"Réalisée",IF(I417="","À compléter",IF(I417&lt;'Tableau de bord'!$F$5,"Retard","À venir")))))</x:f>
      </x:c>
      <x:c r="N417" s="12" t="str">
        <x:f>IF(OR(A417="",I417=""),"",IF(M417="Retard",'Tableau de bord'!$F$5-I417,0))</x:f>
      </x:c>
      <x:c r="O417" s="9"/>
      <x:c r="P417" s="12" t="str">
        <x:f>IF(A417="","",IF(OR(B417="",G417="",H417="",E417=""),"À compléter",IF(COUNTIFS($A$6:$A$505,A417,$B$6:$B$505,B417)&gt;1,"Doublon ID",IF(AND(ISNUMBER(J417),J417&lt;E417),"Incohérent",""))))</x:f>
      </x:c>
    </x:row>
    <x:row r="418" ht="23" customHeight="1">
      <x:c r="A418" s="9"/>
      <x:c r="B418" s="9"/>
      <x:c r="C418" s="9"/>
      <x:c r="D418" s="9"/>
      <x:c r="E418" s="11"/>
      <x:c r="F418" s="9"/>
      <x:c r="G418" s="9"/>
      <x:c r="H418" s="9"/>
      <x:c r="I418" s="11"/>
      <x:c r="J418" s="11"/>
      <x:c r="K418" s="9"/>
      <x:c r="L418" s="9"/>
      <x:c r="M418" s="12" t="str">
        <x:f>IF(A418="","",IF(G418="","À compléter",IF(AND(ISNUMBER(J418),J418&lt;='Tableau de bord'!$F$5),"Réalisée",IF(I418="","À compléter",IF(I418&lt;'Tableau de bord'!$F$5,"Retard","À venir")))))</x:f>
      </x:c>
      <x:c r="N418" s="12" t="str">
        <x:f>IF(OR(A418="",I418=""),"",IF(M418="Retard",'Tableau de bord'!$F$5-I418,0))</x:f>
      </x:c>
      <x:c r="O418" s="9"/>
      <x:c r="P418" s="12" t="str">
        <x:f>IF(A418="","",IF(OR(B418="",G418="",H418="",E418=""),"À compléter",IF(COUNTIFS($A$6:$A$505,A418,$B$6:$B$505,B418)&gt;1,"Doublon ID",IF(AND(ISNUMBER(J418),J418&lt;E418),"Incohérent",""))))</x:f>
      </x:c>
    </x:row>
    <x:row r="419" ht="23" customHeight="1">
      <x:c r="A419" s="9"/>
      <x:c r="B419" s="9"/>
      <x:c r="C419" s="9"/>
      <x:c r="D419" s="9"/>
      <x:c r="E419" s="11"/>
      <x:c r="F419" s="9"/>
      <x:c r="G419" s="9"/>
      <x:c r="H419" s="9"/>
      <x:c r="I419" s="11"/>
      <x:c r="J419" s="11"/>
      <x:c r="K419" s="9"/>
      <x:c r="L419" s="9"/>
      <x:c r="M419" s="12" t="str">
        <x:f>IF(A419="","",IF(G419="","À compléter",IF(AND(ISNUMBER(J419),J419&lt;='Tableau de bord'!$F$5),"Réalisée",IF(I419="","À compléter",IF(I419&lt;'Tableau de bord'!$F$5,"Retard","À venir")))))</x:f>
      </x:c>
      <x:c r="N419" s="12" t="str">
        <x:f>IF(OR(A419="",I419=""),"",IF(M419="Retard",'Tableau de bord'!$F$5-I419,0))</x:f>
      </x:c>
      <x:c r="O419" s="9"/>
      <x:c r="P419" s="12" t="str">
        <x:f>IF(A419="","",IF(OR(B419="",G419="",H419="",E419=""),"À compléter",IF(COUNTIFS($A$6:$A$505,A419,$B$6:$B$505,B419)&gt;1,"Doublon ID",IF(AND(ISNUMBER(J419),J419&lt;E419),"Incohérent",""))))</x:f>
      </x:c>
    </x:row>
    <x:row r="420" ht="23" customHeight="1">
      <x:c r="A420" s="9"/>
      <x:c r="B420" s="9"/>
      <x:c r="C420" s="9"/>
      <x:c r="D420" s="9"/>
      <x:c r="E420" s="11"/>
      <x:c r="F420" s="9"/>
      <x:c r="G420" s="9"/>
      <x:c r="H420" s="9"/>
      <x:c r="I420" s="11"/>
      <x:c r="J420" s="11"/>
      <x:c r="K420" s="9"/>
      <x:c r="L420" s="9"/>
      <x:c r="M420" s="12" t="str">
        <x:f>IF(A420="","",IF(G420="","À compléter",IF(AND(ISNUMBER(J420),J420&lt;='Tableau de bord'!$F$5),"Réalisée",IF(I420="","À compléter",IF(I420&lt;'Tableau de bord'!$F$5,"Retard","À venir")))))</x:f>
      </x:c>
      <x:c r="N420" s="12" t="str">
        <x:f>IF(OR(A420="",I420=""),"",IF(M420="Retard",'Tableau de bord'!$F$5-I420,0))</x:f>
      </x:c>
      <x:c r="O420" s="9"/>
      <x:c r="P420" s="12" t="str">
        <x:f>IF(A420="","",IF(OR(B420="",G420="",H420="",E420=""),"À compléter",IF(COUNTIFS($A$6:$A$505,A420,$B$6:$B$505,B420)&gt;1,"Doublon ID",IF(AND(ISNUMBER(J420),J420&lt;E420),"Incohérent",""))))</x:f>
      </x:c>
    </x:row>
    <x:row r="421" ht="23" customHeight="1">
      <x:c r="A421" s="9"/>
      <x:c r="B421" s="9"/>
      <x:c r="C421" s="9"/>
      <x:c r="D421" s="9"/>
      <x:c r="E421" s="11"/>
      <x:c r="F421" s="9"/>
      <x:c r="G421" s="9"/>
      <x:c r="H421" s="9"/>
      <x:c r="I421" s="11"/>
      <x:c r="J421" s="11"/>
      <x:c r="K421" s="9"/>
      <x:c r="L421" s="9"/>
      <x:c r="M421" s="12" t="str">
        <x:f>IF(A421="","",IF(G421="","À compléter",IF(AND(ISNUMBER(J421),J421&lt;='Tableau de bord'!$F$5),"Réalisée",IF(I421="","À compléter",IF(I421&lt;'Tableau de bord'!$F$5,"Retard","À venir")))))</x:f>
      </x:c>
      <x:c r="N421" s="12" t="str">
        <x:f>IF(OR(A421="",I421=""),"",IF(M421="Retard",'Tableau de bord'!$F$5-I421,0))</x:f>
      </x:c>
      <x:c r="O421" s="9"/>
      <x:c r="P421" s="12" t="str">
        <x:f>IF(A421="","",IF(OR(B421="",G421="",H421="",E421=""),"À compléter",IF(COUNTIFS($A$6:$A$505,A421,$B$6:$B$505,B421)&gt;1,"Doublon ID",IF(AND(ISNUMBER(J421),J421&lt;E421),"Incohérent",""))))</x:f>
      </x:c>
    </x:row>
    <x:row r="422" ht="23" customHeight="1">
      <x:c r="A422" s="9"/>
      <x:c r="B422" s="9"/>
      <x:c r="C422" s="9"/>
      <x:c r="D422" s="9"/>
      <x:c r="E422" s="11"/>
      <x:c r="F422" s="9"/>
      <x:c r="G422" s="9"/>
      <x:c r="H422" s="9"/>
      <x:c r="I422" s="11"/>
      <x:c r="J422" s="11"/>
      <x:c r="K422" s="9"/>
      <x:c r="L422" s="9"/>
      <x:c r="M422" s="12" t="str">
        <x:f>IF(A422="","",IF(G422="","À compléter",IF(AND(ISNUMBER(J422),J422&lt;='Tableau de bord'!$F$5),"Réalisée",IF(I422="","À compléter",IF(I422&lt;'Tableau de bord'!$F$5,"Retard","À venir")))))</x:f>
      </x:c>
      <x:c r="N422" s="12" t="str">
        <x:f>IF(OR(A422="",I422=""),"",IF(M422="Retard",'Tableau de bord'!$F$5-I422,0))</x:f>
      </x:c>
      <x:c r="O422" s="9"/>
      <x:c r="P422" s="12" t="str">
        <x:f>IF(A422="","",IF(OR(B422="",G422="",H422="",E422=""),"À compléter",IF(COUNTIFS($A$6:$A$505,A422,$B$6:$B$505,B422)&gt;1,"Doublon ID",IF(AND(ISNUMBER(J422),J422&lt;E422),"Incohérent",""))))</x:f>
      </x:c>
    </x:row>
    <x:row r="423" ht="23" customHeight="1">
      <x:c r="A423" s="9"/>
      <x:c r="B423" s="9"/>
      <x:c r="C423" s="9"/>
      <x:c r="D423" s="9"/>
      <x:c r="E423" s="11"/>
      <x:c r="F423" s="9"/>
      <x:c r="G423" s="9"/>
      <x:c r="H423" s="9"/>
      <x:c r="I423" s="11"/>
      <x:c r="J423" s="11"/>
      <x:c r="K423" s="9"/>
      <x:c r="L423" s="9"/>
      <x:c r="M423" s="12" t="str">
        <x:f>IF(A423="","",IF(G423="","À compléter",IF(AND(ISNUMBER(J423),J423&lt;='Tableau de bord'!$F$5),"Réalisée",IF(I423="","À compléter",IF(I423&lt;'Tableau de bord'!$F$5,"Retard","À venir")))))</x:f>
      </x:c>
      <x:c r="N423" s="12" t="str">
        <x:f>IF(OR(A423="",I423=""),"",IF(M423="Retard",'Tableau de bord'!$F$5-I423,0))</x:f>
      </x:c>
      <x:c r="O423" s="9"/>
      <x:c r="P423" s="12" t="str">
        <x:f>IF(A423="","",IF(OR(B423="",G423="",H423="",E423=""),"À compléter",IF(COUNTIFS($A$6:$A$505,A423,$B$6:$B$505,B423)&gt;1,"Doublon ID",IF(AND(ISNUMBER(J423),J423&lt;E423),"Incohérent",""))))</x:f>
      </x:c>
    </x:row>
    <x:row r="424" ht="23" customHeight="1">
      <x:c r="A424" s="9"/>
      <x:c r="B424" s="9"/>
      <x:c r="C424" s="9"/>
      <x:c r="D424" s="9"/>
      <x:c r="E424" s="11"/>
      <x:c r="F424" s="9"/>
      <x:c r="G424" s="9"/>
      <x:c r="H424" s="9"/>
      <x:c r="I424" s="11"/>
      <x:c r="J424" s="11"/>
      <x:c r="K424" s="9"/>
      <x:c r="L424" s="9"/>
      <x:c r="M424" s="12" t="str">
        <x:f>IF(A424="","",IF(G424="","À compléter",IF(AND(ISNUMBER(J424),J424&lt;='Tableau de bord'!$F$5),"Réalisée",IF(I424="","À compléter",IF(I424&lt;'Tableau de bord'!$F$5,"Retard","À venir")))))</x:f>
      </x:c>
      <x:c r="N424" s="12" t="str">
        <x:f>IF(OR(A424="",I424=""),"",IF(M424="Retard",'Tableau de bord'!$F$5-I424,0))</x:f>
      </x:c>
      <x:c r="O424" s="9"/>
      <x:c r="P424" s="12" t="str">
        <x:f>IF(A424="","",IF(OR(B424="",G424="",H424="",E424=""),"À compléter",IF(COUNTIFS($A$6:$A$505,A424,$B$6:$B$505,B424)&gt;1,"Doublon ID",IF(AND(ISNUMBER(J424),J424&lt;E424),"Incohérent",""))))</x:f>
      </x:c>
    </x:row>
    <x:row r="425" ht="23" customHeight="1">
      <x:c r="A425" s="9"/>
      <x:c r="B425" s="9"/>
      <x:c r="C425" s="9"/>
      <x:c r="D425" s="9"/>
      <x:c r="E425" s="11"/>
      <x:c r="F425" s="9"/>
      <x:c r="G425" s="9"/>
      <x:c r="H425" s="9"/>
      <x:c r="I425" s="11"/>
      <x:c r="J425" s="11"/>
      <x:c r="K425" s="9"/>
      <x:c r="L425" s="9"/>
      <x:c r="M425" s="12" t="str">
        <x:f>IF(A425="","",IF(G425="","À compléter",IF(AND(ISNUMBER(J425),J425&lt;='Tableau de bord'!$F$5),"Réalisée",IF(I425="","À compléter",IF(I425&lt;'Tableau de bord'!$F$5,"Retard","À venir")))))</x:f>
      </x:c>
      <x:c r="N425" s="12" t="str">
        <x:f>IF(OR(A425="",I425=""),"",IF(M425="Retard",'Tableau de bord'!$F$5-I425,0))</x:f>
      </x:c>
      <x:c r="O425" s="9"/>
      <x:c r="P425" s="12" t="str">
        <x:f>IF(A425="","",IF(OR(B425="",G425="",H425="",E425=""),"À compléter",IF(COUNTIFS($A$6:$A$505,A425,$B$6:$B$505,B425)&gt;1,"Doublon ID",IF(AND(ISNUMBER(J425),J425&lt;E425),"Incohérent",""))))</x:f>
      </x:c>
    </x:row>
    <x:row r="426" ht="23" customHeight="1">
      <x:c r="A426" s="9"/>
      <x:c r="B426" s="9"/>
      <x:c r="C426" s="9"/>
      <x:c r="D426" s="9"/>
      <x:c r="E426" s="11"/>
      <x:c r="F426" s="9"/>
      <x:c r="G426" s="9"/>
      <x:c r="H426" s="9"/>
      <x:c r="I426" s="11"/>
      <x:c r="J426" s="11"/>
      <x:c r="K426" s="9"/>
      <x:c r="L426" s="9"/>
      <x:c r="M426" s="12" t="str">
        <x:f>IF(A426="","",IF(G426="","À compléter",IF(AND(ISNUMBER(J426),J426&lt;='Tableau de bord'!$F$5),"Réalisée",IF(I426="","À compléter",IF(I426&lt;'Tableau de bord'!$F$5,"Retard","À venir")))))</x:f>
      </x:c>
      <x:c r="N426" s="12" t="str">
        <x:f>IF(OR(A426="",I426=""),"",IF(M426="Retard",'Tableau de bord'!$F$5-I426,0))</x:f>
      </x:c>
      <x:c r="O426" s="9"/>
      <x:c r="P426" s="12" t="str">
        <x:f>IF(A426="","",IF(OR(B426="",G426="",H426="",E426=""),"À compléter",IF(COUNTIFS($A$6:$A$505,A426,$B$6:$B$505,B426)&gt;1,"Doublon ID",IF(AND(ISNUMBER(J426),J426&lt;E426),"Incohérent",""))))</x:f>
      </x:c>
    </x:row>
    <x:row r="427" ht="23" customHeight="1">
      <x:c r="A427" s="9"/>
      <x:c r="B427" s="9"/>
      <x:c r="C427" s="9"/>
      <x:c r="D427" s="9"/>
      <x:c r="E427" s="11"/>
      <x:c r="F427" s="9"/>
      <x:c r="G427" s="9"/>
      <x:c r="H427" s="9"/>
      <x:c r="I427" s="11"/>
      <x:c r="J427" s="11"/>
      <x:c r="K427" s="9"/>
      <x:c r="L427" s="9"/>
      <x:c r="M427" s="12" t="str">
        <x:f>IF(A427="","",IF(G427="","À compléter",IF(AND(ISNUMBER(J427),J427&lt;='Tableau de bord'!$F$5),"Réalisée",IF(I427="","À compléter",IF(I427&lt;'Tableau de bord'!$F$5,"Retard","À venir")))))</x:f>
      </x:c>
      <x:c r="N427" s="12" t="str">
        <x:f>IF(OR(A427="",I427=""),"",IF(M427="Retard",'Tableau de bord'!$F$5-I427,0))</x:f>
      </x:c>
      <x:c r="O427" s="9"/>
      <x:c r="P427" s="12" t="str">
        <x:f>IF(A427="","",IF(OR(B427="",G427="",H427="",E427=""),"À compléter",IF(COUNTIFS($A$6:$A$505,A427,$B$6:$B$505,B427)&gt;1,"Doublon ID",IF(AND(ISNUMBER(J427),J427&lt;E427),"Incohérent",""))))</x:f>
      </x:c>
    </x:row>
    <x:row r="428" ht="23" customHeight="1">
      <x:c r="A428" s="9"/>
      <x:c r="B428" s="9"/>
      <x:c r="C428" s="9"/>
      <x:c r="D428" s="9"/>
      <x:c r="E428" s="11"/>
      <x:c r="F428" s="9"/>
      <x:c r="G428" s="9"/>
      <x:c r="H428" s="9"/>
      <x:c r="I428" s="11"/>
      <x:c r="J428" s="11"/>
      <x:c r="K428" s="9"/>
      <x:c r="L428" s="9"/>
      <x:c r="M428" s="12" t="str">
        <x:f>IF(A428="","",IF(G428="","À compléter",IF(AND(ISNUMBER(J428),J428&lt;='Tableau de bord'!$F$5),"Réalisée",IF(I428="","À compléter",IF(I428&lt;'Tableau de bord'!$F$5,"Retard","À venir")))))</x:f>
      </x:c>
      <x:c r="N428" s="12" t="str">
        <x:f>IF(OR(A428="",I428=""),"",IF(M428="Retard",'Tableau de bord'!$F$5-I428,0))</x:f>
      </x:c>
      <x:c r="O428" s="9"/>
      <x:c r="P428" s="12" t="str">
        <x:f>IF(A428="","",IF(OR(B428="",G428="",H428="",E428=""),"À compléter",IF(COUNTIFS($A$6:$A$505,A428,$B$6:$B$505,B428)&gt;1,"Doublon ID",IF(AND(ISNUMBER(J428),J428&lt;E428),"Incohérent",""))))</x:f>
      </x:c>
    </x:row>
    <x:row r="429" ht="23" customHeight="1">
      <x:c r="A429" s="9"/>
      <x:c r="B429" s="9"/>
      <x:c r="C429" s="9"/>
      <x:c r="D429" s="9"/>
      <x:c r="E429" s="11"/>
      <x:c r="F429" s="9"/>
      <x:c r="G429" s="9"/>
      <x:c r="H429" s="9"/>
      <x:c r="I429" s="11"/>
      <x:c r="J429" s="11"/>
      <x:c r="K429" s="9"/>
      <x:c r="L429" s="9"/>
      <x:c r="M429" s="12" t="str">
        <x:f>IF(A429="","",IF(G429="","À compléter",IF(AND(ISNUMBER(J429),J429&lt;='Tableau de bord'!$F$5),"Réalisée",IF(I429="","À compléter",IF(I429&lt;'Tableau de bord'!$F$5,"Retard","À venir")))))</x:f>
      </x:c>
      <x:c r="N429" s="12" t="str">
        <x:f>IF(OR(A429="",I429=""),"",IF(M429="Retard",'Tableau de bord'!$F$5-I429,0))</x:f>
      </x:c>
      <x:c r="O429" s="9"/>
      <x:c r="P429" s="12" t="str">
        <x:f>IF(A429="","",IF(OR(B429="",G429="",H429="",E429=""),"À compléter",IF(COUNTIFS($A$6:$A$505,A429,$B$6:$B$505,B429)&gt;1,"Doublon ID",IF(AND(ISNUMBER(J429),J429&lt;E429),"Incohérent",""))))</x:f>
      </x:c>
    </x:row>
    <x:row r="430" ht="23" customHeight="1">
      <x:c r="A430" s="9"/>
      <x:c r="B430" s="9"/>
      <x:c r="C430" s="9"/>
      <x:c r="D430" s="9"/>
      <x:c r="E430" s="11"/>
      <x:c r="F430" s="9"/>
      <x:c r="G430" s="9"/>
      <x:c r="H430" s="9"/>
      <x:c r="I430" s="11"/>
      <x:c r="J430" s="11"/>
      <x:c r="K430" s="9"/>
      <x:c r="L430" s="9"/>
      <x:c r="M430" s="12" t="str">
        <x:f>IF(A430="","",IF(G430="","À compléter",IF(AND(ISNUMBER(J430),J430&lt;='Tableau de bord'!$F$5),"Réalisée",IF(I430="","À compléter",IF(I430&lt;'Tableau de bord'!$F$5,"Retard","À venir")))))</x:f>
      </x:c>
      <x:c r="N430" s="12" t="str">
        <x:f>IF(OR(A430="",I430=""),"",IF(M430="Retard",'Tableau de bord'!$F$5-I430,0))</x:f>
      </x:c>
      <x:c r="O430" s="9"/>
      <x:c r="P430" s="12" t="str">
        <x:f>IF(A430="","",IF(OR(B430="",G430="",H430="",E430=""),"À compléter",IF(COUNTIFS($A$6:$A$505,A430,$B$6:$B$505,B430)&gt;1,"Doublon ID",IF(AND(ISNUMBER(J430),J430&lt;E430),"Incohérent",""))))</x:f>
      </x:c>
    </x:row>
    <x:row r="431" ht="23" customHeight="1">
      <x:c r="A431" s="9"/>
      <x:c r="B431" s="9"/>
      <x:c r="C431" s="9"/>
      <x:c r="D431" s="9"/>
      <x:c r="E431" s="11"/>
      <x:c r="F431" s="9"/>
      <x:c r="G431" s="9"/>
      <x:c r="H431" s="9"/>
      <x:c r="I431" s="11"/>
      <x:c r="J431" s="11"/>
      <x:c r="K431" s="9"/>
      <x:c r="L431" s="9"/>
      <x:c r="M431" s="12" t="str">
        <x:f>IF(A431="","",IF(G431="","À compléter",IF(AND(ISNUMBER(J431),J431&lt;='Tableau de bord'!$F$5),"Réalisée",IF(I431="","À compléter",IF(I431&lt;'Tableau de bord'!$F$5,"Retard","À venir")))))</x:f>
      </x:c>
      <x:c r="N431" s="12" t="str">
        <x:f>IF(OR(A431="",I431=""),"",IF(M431="Retard",'Tableau de bord'!$F$5-I431,0))</x:f>
      </x:c>
      <x:c r="O431" s="9"/>
      <x:c r="P431" s="12" t="str">
        <x:f>IF(A431="","",IF(OR(B431="",G431="",H431="",E431=""),"À compléter",IF(COUNTIFS($A$6:$A$505,A431,$B$6:$B$505,B431)&gt;1,"Doublon ID",IF(AND(ISNUMBER(J431),J431&lt;E431),"Incohérent",""))))</x:f>
      </x:c>
    </x:row>
    <x:row r="432" ht="23" customHeight="1">
      <x:c r="A432" s="9"/>
      <x:c r="B432" s="9"/>
      <x:c r="C432" s="9"/>
      <x:c r="D432" s="9"/>
      <x:c r="E432" s="11"/>
      <x:c r="F432" s="9"/>
      <x:c r="G432" s="9"/>
      <x:c r="H432" s="9"/>
      <x:c r="I432" s="11"/>
      <x:c r="J432" s="11"/>
      <x:c r="K432" s="9"/>
      <x:c r="L432" s="9"/>
      <x:c r="M432" s="12" t="str">
        <x:f>IF(A432="","",IF(G432="","À compléter",IF(AND(ISNUMBER(J432),J432&lt;='Tableau de bord'!$F$5),"Réalisée",IF(I432="","À compléter",IF(I432&lt;'Tableau de bord'!$F$5,"Retard","À venir")))))</x:f>
      </x:c>
      <x:c r="N432" s="12" t="str">
        <x:f>IF(OR(A432="",I432=""),"",IF(M432="Retard",'Tableau de bord'!$F$5-I432,0))</x:f>
      </x:c>
      <x:c r="O432" s="9"/>
      <x:c r="P432" s="12" t="str">
        <x:f>IF(A432="","",IF(OR(B432="",G432="",H432="",E432=""),"À compléter",IF(COUNTIFS($A$6:$A$505,A432,$B$6:$B$505,B432)&gt;1,"Doublon ID",IF(AND(ISNUMBER(J432),J432&lt;E432),"Incohérent",""))))</x:f>
      </x:c>
    </x:row>
    <x:row r="433" ht="23" customHeight="1">
      <x:c r="A433" s="9"/>
      <x:c r="B433" s="9"/>
      <x:c r="C433" s="9"/>
      <x:c r="D433" s="9"/>
      <x:c r="E433" s="11"/>
      <x:c r="F433" s="9"/>
      <x:c r="G433" s="9"/>
      <x:c r="H433" s="9"/>
      <x:c r="I433" s="11"/>
      <x:c r="J433" s="11"/>
      <x:c r="K433" s="9"/>
      <x:c r="L433" s="9"/>
      <x:c r="M433" s="12" t="str">
        <x:f>IF(A433="","",IF(G433="","À compléter",IF(AND(ISNUMBER(J433),J433&lt;='Tableau de bord'!$F$5),"Réalisée",IF(I433="","À compléter",IF(I433&lt;'Tableau de bord'!$F$5,"Retard","À venir")))))</x:f>
      </x:c>
      <x:c r="N433" s="12" t="str">
        <x:f>IF(OR(A433="",I433=""),"",IF(M433="Retard",'Tableau de bord'!$F$5-I433,0))</x:f>
      </x:c>
      <x:c r="O433" s="9"/>
      <x:c r="P433" s="12" t="str">
        <x:f>IF(A433="","",IF(OR(B433="",G433="",H433="",E433=""),"À compléter",IF(COUNTIFS($A$6:$A$505,A433,$B$6:$B$505,B433)&gt;1,"Doublon ID",IF(AND(ISNUMBER(J433),J433&lt;E433),"Incohérent",""))))</x:f>
      </x:c>
    </x:row>
    <x:row r="434" ht="23" customHeight="1">
      <x:c r="A434" s="9"/>
      <x:c r="B434" s="9"/>
      <x:c r="C434" s="9"/>
      <x:c r="D434" s="9"/>
      <x:c r="E434" s="11"/>
      <x:c r="F434" s="9"/>
      <x:c r="G434" s="9"/>
      <x:c r="H434" s="9"/>
      <x:c r="I434" s="11"/>
      <x:c r="J434" s="11"/>
      <x:c r="K434" s="9"/>
      <x:c r="L434" s="9"/>
      <x:c r="M434" s="12" t="str">
        <x:f>IF(A434="","",IF(G434="","À compléter",IF(AND(ISNUMBER(J434),J434&lt;='Tableau de bord'!$F$5),"Réalisée",IF(I434="","À compléter",IF(I434&lt;'Tableau de bord'!$F$5,"Retard","À venir")))))</x:f>
      </x:c>
      <x:c r="N434" s="12" t="str">
        <x:f>IF(OR(A434="",I434=""),"",IF(M434="Retard",'Tableau de bord'!$F$5-I434,0))</x:f>
      </x:c>
      <x:c r="O434" s="9"/>
      <x:c r="P434" s="12" t="str">
        <x:f>IF(A434="","",IF(OR(B434="",G434="",H434="",E434=""),"À compléter",IF(COUNTIFS($A$6:$A$505,A434,$B$6:$B$505,B434)&gt;1,"Doublon ID",IF(AND(ISNUMBER(J434),J434&lt;E434),"Incohérent",""))))</x:f>
      </x:c>
    </x:row>
    <x:row r="435" ht="23" customHeight="1">
      <x:c r="A435" s="9"/>
      <x:c r="B435" s="9"/>
      <x:c r="C435" s="9"/>
      <x:c r="D435" s="9"/>
      <x:c r="E435" s="11"/>
      <x:c r="F435" s="9"/>
      <x:c r="G435" s="9"/>
      <x:c r="H435" s="9"/>
      <x:c r="I435" s="11"/>
      <x:c r="J435" s="11"/>
      <x:c r="K435" s="9"/>
      <x:c r="L435" s="9"/>
      <x:c r="M435" s="12" t="str">
        <x:f>IF(A435="","",IF(G435="","À compléter",IF(AND(ISNUMBER(J435),J435&lt;='Tableau de bord'!$F$5),"Réalisée",IF(I435="","À compléter",IF(I435&lt;'Tableau de bord'!$F$5,"Retard","À venir")))))</x:f>
      </x:c>
      <x:c r="N435" s="12" t="str">
        <x:f>IF(OR(A435="",I435=""),"",IF(M435="Retard",'Tableau de bord'!$F$5-I435,0))</x:f>
      </x:c>
      <x:c r="O435" s="9"/>
      <x:c r="P435" s="12" t="str">
        <x:f>IF(A435="","",IF(OR(B435="",G435="",H435="",E435=""),"À compléter",IF(COUNTIFS($A$6:$A$505,A435,$B$6:$B$505,B435)&gt;1,"Doublon ID",IF(AND(ISNUMBER(J435),J435&lt;E435),"Incohérent",""))))</x:f>
      </x:c>
    </x:row>
    <x:row r="436" ht="23" customHeight="1">
      <x:c r="A436" s="9"/>
      <x:c r="B436" s="9"/>
      <x:c r="C436" s="9"/>
      <x:c r="D436" s="9"/>
      <x:c r="E436" s="11"/>
      <x:c r="F436" s="9"/>
      <x:c r="G436" s="9"/>
      <x:c r="H436" s="9"/>
      <x:c r="I436" s="11"/>
      <x:c r="J436" s="11"/>
      <x:c r="K436" s="9"/>
      <x:c r="L436" s="9"/>
      <x:c r="M436" s="12" t="str">
        <x:f>IF(A436="","",IF(G436="","À compléter",IF(AND(ISNUMBER(J436),J436&lt;='Tableau de bord'!$F$5),"Réalisée",IF(I436="","À compléter",IF(I436&lt;'Tableau de bord'!$F$5,"Retard","À venir")))))</x:f>
      </x:c>
      <x:c r="N436" s="12" t="str">
        <x:f>IF(OR(A436="",I436=""),"",IF(M436="Retard",'Tableau de bord'!$F$5-I436,0))</x:f>
      </x:c>
      <x:c r="O436" s="9"/>
      <x:c r="P436" s="12" t="str">
        <x:f>IF(A436="","",IF(OR(B436="",G436="",H436="",E436=""),"À compléter",IF(COUNTIFS($A$6:$A$505,A436,$B$6:$B$505,B436)&gt;1,"Doublon ID",IF(AND(ISNUMBER(J436),J436&lt;E436),"Incohérent",""))))</x:f>
      </x:c>
    </x:row>
    <x:row r="437" ht="23" customHeight="1">
      <x:c r="A437" s="9"/>
      <x:c r="B437" s="9"/>
      <x:c r="C437" s="9"/>
      <x:c r="D437" s="9"/>
      <x:c r="E437" s="11"/>
      <x:c r="F437" s="9"/>
      <x:c r="G437" s="9"/>
      <x:c r="H437" s="9"/>
      <x:c r="I437" s="11"/>
      <x:c r="J437" s="11"/>
      <x:c r="K437" s="9"/>
      <x:c r="L437" s="9"/>
      <x:c r="M437" s="12" t="str">
        <x:f>IF(A437="","",IF(G437="","À compléter",IF(AND(ISNUMBER(J437),J437&lt;='Tableau de bord'!$F$5),"Réalisée",IF(I437="","À compléter",IF(I437&lt;'Tableau de bord'!$F$5,"Retard","À venir")))))</x:f>
      </x:c>
      <x:c r="N437" s="12" t="str">
        <x:f>IF(OR(A437="",I437=""),"",IF(M437="Retard",'Tableau de bord'!$F$5-I437,0))</x:f>
      </x:c>
      <x:c r="O437" s="9"/>
      <x:c r="P437" s="12" t="str">
        <x:f>IF(A437="","",IF(OR(B437="",G437="",H437="",E437=""),"À compléter",IF(COUNTIFS($A$6:$A$505,A437,$B$6:$B$505,B437)&gt;1,"Doublon ID",IF(AND(ISNUMBER(J437),J437&lt;E437),"Incohérent",""))))</x:f>
      </x:c>
    </x:row>
    <x:row r="438" ht="23" customHeight="1">
      <x:c r="A438" s="9"/>
      <x:c r="B438" s="9"/>
      <x:c r="C438" s="9"/>
      <x:c r="D438" s="9"/>
      <x:c r="E438" s="11"/>
      <x:c r="F438" s="9"/>
      <x:c r="G438" s="9"/>
      <x:c r="H438" s="9"/>
      <x:c r="I438" s="11"/>
      <x:c r="J438" s="11"/>
      <x:c r="K438" s="9"/>
      <x:c r="L438" s="9"/>
      <x:c r="M438" s="12" t="str">
        <x:f>IF(A438="","",IF(G438="","À compléter",IF(AND(ISNUMBER(J438),J438&lt;='Tableau de bord'!$F$5),"Réalisée",IF(I438="","À compléter",IF(I438&lt;'Tableau de bord'!$F$5,"Retard","À venir")))))</x:f>
      </x:c>
      <x:c r="N438" s="12" t="str">
        <x:f>IF(OR(A438="",I438=""),"",IF(M438="Retard",'Tableau de bord'!$F$5-I438,0))</x:f>
      </x:c>
      <x:c r="O438" s="9"/>
      <x:c r="P438" s="12" t="str">
        <x:f>IF(A438="","",IF(OR(B438="",G438="",H438="",E438=""),"À compléter",IF(COUNTIFS($A$6:$A$505,A438,$B$6:$B$505,B438)&gt;1,"Doublon ID",IF(AND(ISNUMBER(J438),J438&lt;E438),"Incohérent",""))))</x:f>
      </x:c>
    </x:row>
    <x:row r="439" ht="23" customHeight="1">
      <x:c r="A439" s="9"/>
      <x:c r="B439" s="9"/>
      <x:c r="C439" s="9"/>
      <x:c r="D439" s="9"/>
      <x:c r="E439" s="11"/>
      <x:c r="F439" s="9"/>
      <x:c r="G439" s="9"/>
      <x:c r="H439" s="9"/>
      <x:c r="I439" s="11"/>
      <x:c r="J439" s="11"/>
      <x:c r="K439" s="9"/>
      <x:c r="L439" s="9"/>
      <x:c r="M439" s="12" t="str">
        <x:f>IF(A439="","",IF(G439="","À compléter",IF(AND(ISNUMBER(J439),J439&lt;='Tableau de bord'!$F$5),"Réalisée",IF(I439="","À compléter",IF(I439&lt;'Tableau de bord'!$F$5,"Retard","À venir")))))</x:f>
      </x:c>
      <x:c r="N439" s="12" t="str">
        <x:f>IF(OR(A439="",I439=""),"",IF(M439="Retard",'Tableau de bord'!$F$5-I439,0))</x:f>
      </x:c>
      <x:c r="O439" s="9"/>
      <x:c r="P439" s="12" t="str">
        <x:f>IF(A439="","",IF(OR(B439="",G439="",H439="",E439=""),"À compléter",IF(COUNTIFS($A$6:$A$505,A439,$B$6:$B$505,B439)&gt;1,"Doublon ID",IF(AND(ISNUMBER(J439),J439&lt;E439),"Incohérent",""))))</x:f>
      </x:c>
    </x:row>
    <x:row r="440" ht="23" customHeight="1">
      <x:c r="A440" s="9"/>
      <x:c r="B440" s="9"/>
      <x:c r="C440" s="9"/>
      <x:c r="D440" s="9"/>
      <x:c r="E440" s="11"/>
      <x:c r="F440" s="9"/>
      <x:c r="G440" s="9"/>
      <x:c r="H440" s="9"/>
      <x:c r="I440" s="11"/>
      <x:c r="J440" s="11"/>
      <x:c r="K440" s="9"/>
      <x:c r="L440" s="9"/>
      <x:c r="M440" s="12" t="str">
        <x:f>IF(A440="","",IF(G440="","À compléter",IF(AND(ISNUMBER(J440),J440&lt;='Tableau de bord'!$F$5),"Réalisée",IF(I440="","À compléter",IF(I440&lt;'Tableau de bord'!$F$5,"Retard","À venir")))))</x:f>
      </x:c>
      <x:c r="N440" s="12" t="str">
        <x:f>IF(OR(A440="",I440=""),"",IF(M440="Retard",'Tableau de bord'!$F$5-I440,0))</x:f>
      </x:c>
      <x:c r="O440" s="9"/>
      <x:c r="P440" s="12" t="str">
        <x:f>IF(A440="","",IF(OR(B440="",G440="",H440="",E440=""),"À compléter",IF(COUNTIFS($A$6:$A$505,A440,$B$6:$B$505,B440)&gt;1,"Doublon ID",IF(AND(ISNUMBER(J440),J440&lt;E440),"Incohérent",""))))</x:f>
      </x:c>
    </x:row>
    <x:row r="441" ht="23" customHeight="1">
      <x:c r="A441" s="9"/>
      <x:c r="B441" s="9"/>
      <x:c r="C441" s="9"/>
      <x:c r="D441" s="9"/>
      <x:c r="E441" s="11"/>
      <x:c r="F441" s="9"/>
      <x:c r="G441" s="9"/>
      <x:c r="H441" s="9"/>
      <x:c r="I441" s="11"/>
      <x:c r="J441" s="11"/>
      <x:c r="K441" s="9"/>
      <x:c r="L441" s="9"/>
      <x:c r="M441" s="12" t="str">
        <x:f>IF(A441="","",IF(G441="","À compléter",IF(AND(ISNUMBER(J441),J441&lt;='Tableau de bord'!$F$5),"Réalisée",IF(I441="","À compléter",IF(I441&lt;'Tableau de bord'!$F$5,"Retard","À venir")))))</x:f>
      </x:c>
      <x:c r="N441" s="12" t="str">
        <x:f>IF(OR(A441="",I441=""),"",IF(M441="Retard",'Tableau de bord'!$F$5-I441,0))</x:f>
      </x:c>
      <x:c r="O441" s="9"/>
      <x:c r="P441" s="12" t="str">
        <x:f>IF(A441="","",IF(OR(B441="",G441="",H441="",E441=""),"À compléter",IF(COUNTIFS($A$6:$A$505,A441,$B$6:$B$505,B441)&gt;1,"Doublon ID",IF(AND(ISNUMBER(J441),J441&lt;E441),"Incohérent",""))))</x:f>
      </x:c>
    </x:row>
    <x:row r="442" ht="23" customHeight="1">
      <x:c r="A442" s="9"/>
      <x:c r="B442" s="9"/>
      <x:c r="C442" s="9"/>
      <x:c r="D442" s="9"/>
      <x:c r="E442" s="11"/>
      <x:c r="F442" s="9"/>
      <x:c r="G442" s="9"/>
      <x:c r="H442" s="9"/>
      <x:c r="I442" s="11"/>
      <x:c r="J442" s="11"/>
      <x:c r="K442" s="9"/>
      <x:c r="L442" s="9"/>
      <x:c r="M442" s="12" t="str">
        <x:f>IF(A442="","",IF(G442="","À compléter",IF(AND(ISNUMBER(J442),J442&lt;='Tableau de bord'!$F$5),"Réalisée",IF(I442="","À compléter",IF(I442&lt;'Tableau de bord'!$F$5,"Retard","À venir")))))</x:f>
      </x:c>
      <x:c r="N442" s="12" t="str">
        <x:f>IF(OR(A442="",I442=""),"",IF(M442="Retard",'Tableau de bord'!$F$5-I442,0))</x:f>
      </x:c>
      <x:c r="O442" s="9"/>
      <x:c r="P442" s="12" t="str">
        <x:f>IF(A442="","",IF(OR(B442="",G442="",H442="",E442=""),"À compléter",IF(COUNTIFS($A$6:$A$505,A442,$B$6:$B$505,B442)&gt;1,"Doublon ID",IF(AND(ISNUMBER(J442),J442&lt;E442),"Incohérent",""))))</x:f>
      </x:c>
    </x:row>
    <x:row r="443" ht="23" customHeight="1">
      <x:c r="A443" s="9"/>
      <x:c r="B443" s="9"/>
      <x:c r="C443" s="9"/>
      <x:c r="D443" s="9"/>
      <x:c r="E443" s="11"/>
      <x:c r="F443" s="9"/>
      <x:c r="G443" s="9"/>
      <x:c r="H443" s="9"/>
      <x:c r="I443" s="11"/>
      <x:c r="J443" s="11"/>
      <x:c r="K443" s="9"/>
      <x:c r="L443" s="9"/>
      <x:c r="M443" s="12" t="str">
        <x:f>IF(A443="","",IF(G443="","À compléter",IF(AND(ISNUMBER(J443),J443&lt;='Tableau de bord'!$F$5),"Réalisée",IF(I443="","À compléter",IF(I443&lt;'Tableau de bord'!$F$5,"Retard","À venir")))))</x:f>
      </x:c>
      <x:c r="N443" s="12" t="str">
        <x:f>IF(OR(A443="",I443=""),"",IF(M443="Retard",'Tableau de bord'!$F$5-I443,0))</x:f>
      </x:c>
      <x:c r="O443" s="9"/>
      <x:c r="P443" s="12" t="str">
        <x:f>IF(A443="","",IF(OR(B443="",G443="",H443="",E443=""),"À compléter",IF(COUNTIFS($A$6:$A$505,A443,$B$6:$B$505,B443)&gt;1,"Doublon ID",IF(AND(ISNUMBER(J443),J443&lt;E443),"Incohérent",""))))</x:f>
      </x:c>
    </x:row>
    <x:row r="444" ht="23" customHeight="1">
      <x:c r="A444" s="9"/>
      <x:c r="B444" s="9"/>
      <x:c r="C444" s="9"/>
      <x:c r="D444" s="9"/>
      <x:c r="E444" s="11"/>
      <x:c r="F444" s="9"/>
      <x:c r="G444" s="9"/>
      <x:c r="H444" s="9"/>
      <x:c r="I444" s="11"/>
      <x:c r="J444" s="11"/>
      <x:c r="K444" s="9"/>
      <x:c r="L444" s="9"/>
      <x:c r="M444" s="12" t="str">
        <x:f>IF(A444="","",IF(G444="","À compléter",IF(AND(ISNUMBER(J444),J444&lt;='Tableau de bord'!$F$5),"Réalisée",IF(I444="","À compléter",IF(I444&lt;'Tableau de bord'!$F$5,"Retard","À venir")))))</x:f>
      </x:c>
      <x:c r="N444" s="12" t="str">
        <x:f>IF(OR(A444="",I444=""),"",IF(M444="Retard",'Tableau de bord'!$F$5-I444,0))</x:f>
      </x:c>
      <x:c r="O444" s="9"/>
      <x:c r="P444" s="12" t="str">
        <x:f>IF(A444="","",IF(OR(B444="",G444="",H444="",E444=""),"À compléter",IF(COUNTIFS($A$6:$A$505,A444,$B$6:$B$505,B444)&gt;1,"Doublon ID",IF(AND(ISNUMBER(J444),J444&lt;E444),"Incohérent",""))))</x:f>
      </x:c>
    </x:row>
    <x:row r="445" ht="23" customHeight="1">
      <x:c r="A445" s="9"/>
      <x:c r="B445" s="9"/>
      <x:c r="C445" s="9"/>
      <x:c r="D445" s="9"/>
      <x:c r="E445" s="11"/>
      <x:c r="F445" s="9"/>
      <x:c r="G445" s="9"/>
      <x:c r="H445" s="9"/>
      <x:c r="I445" s="11"/>
      <x:c r="J445" s="11"/>
      <x:c r="K445" s="9"/>
      <x:c r="L445" s="9"/>
      <x:c r="M445" s="12" t="str">
        <x:f>IF(A445="","",IF(G445="","À compléter",IF(AND(ISNUMBER(J445),J445&lt;='Tableau de bord'!$F$5),"Réalisée",IF(I445="","À compléter",IF(I445&lt;'Tableau de bord'!$F$5,"Retard","À venir")))))</x:f>
      </x:c>
      <x:c r="N445" s="12" t="str">
        <x:f>IF(OR(A445="",I445=""),"",IF(M445="Retard",'Tableau de bord'!$F$5-I445,0))</x:f>
      </x:c>
      <x:c r="O445" s="9"/>
      <x:c r="P445" s="12" t="str">
        <x:f>IF(A445="","",IF(OR(B445="",G445="",H445="",E445=""),"À compléter",IF(COUNTIFS($A$6:$A$505,A445,$B$6:$B$505,B445)&gt;1,"Doublon ID",IF(AND(ISNUMBER(J445),J445&lt;E445),"Incohérent",""))))</x:f>
      </x:c>
    </x:row>
    <x:row r="446" ht="23" customHeight="1">
      <x:c r="A446" s="9"/>
      <x:c r="B446" s="9"/>
      <x:c r="C446" s="9"/>
      <x:c r="D446" s="9"/>
      <x:c r="E446" s="11"/>
      <x:c r="F446" s="9"/>
      <x:c r="G446" s="9"/>
      <x:c r="H446" s="9"/>
      <x:c r="I446" s="11"/>
      <x:c r="J446" s="11"/>
      <x:c r="K446" s="9"/>
      <x:c r="L446" s="9"/>
      <x:c r="M446" s="12" t="str">
        <x:f>IF(A446="","",IF(G446="","À compléter",IF(AND(ISNUMBER(J446),J446&lt;='Tableau de bord'!$F$5),"Réalisée",IF(I446="","À compléter",IF(I446&lt;'Tableau de bord'!$F$5,"Retard","À venir")))))</x:f>
      </x:c>
      <x:c r="N446" s="12" t="str">
        <x:f>IF(OR(A446="",I446=""),"",IF(M446="Retard",'Tableau de bord'!$F$5-I446,0))</x:f>
      </x:c>
      <x:c r="O446" s="9"/>
      <x:c r="P446" s="12" t="str">
        <x:f>IF(A446="","",IF(OR(B446="",G446="",H446="",E446=""),"À compléter",IF(COUNTIFS($A$6:$A$505,A446,$B$6:$B$505,B446)&gt;1,"Doublon ID",IF(AND(ISNUMBER(J446),J446&lt;E446),"Incohérent",""))))</x:f>
      </x:c>
    </x:row>
    <x:row r="447" ht="23" customHeight="1">
      <x:c r="A447" s="9"/>
      <x:c r="B447" s="9"/>
      <x:c r="C447" s="9"/>
      <x:c r="D447" s="9"/>
      <x:c r="E447" s="11"/>
      <x:c r="F447" s="9"/>
      <x:c r="G447" s="9"/>
      <x:c r="H447" s="9"/>
      <x:c r="I447" s="11"/>
      <x:c r="J447" s="11"/>
      <x:c r="K447" s="9"/>
      <x:c r="L447" s="9"/>
      <x:c r="M447" s="12" t="str">
        <x:f>IF(A447="","",IF(G447="","À compléter",IF(AND(ISNUMBER(J447),J447&lt;='Tableau de bord'!$F$5),"Réalisée",IF(I447="","À compléter",IF(I447&lt;'Tableau de bord'!$F$5,"Retard","À venir")))))</x:f>
      </x:c>
      <x:c r="N447" s="12" t="str">
        <x:f>IF(OR(A447="",I447=""),"",IF(M447="Retard",'Tableau de bord'!$F$5-I447,0))</x:f>
      </x:c>
      <x:c r="O447" s="9"/>
      <x:c r="P447" s="12" t="str">
        <x:f>IF(A447="","",IF(OR(B447="",G447="",H447="",E447=""),"À compléter",IF(COUNTIFS($A$6:$A$505,A447,$B$6:$B$505,B447)&gt;1,"Doublon ID",IF(AND(ISNUMBER(J447),J447&lt;E447),"Incohérent",""))))</x:f>
      </x:c>
    </x:row>
    <x:row r="448" ht="23" customHeight="1">
      <x:c r="A448" s="9"/>
      <x:c r="B448" s="9"/>
      <x:c r="C448" s="9"/>
      <x:c r="D448" s="9"/>
      <x:c r="E448" s="11"/>
      <x:c r="F448" s="9"/>
      <x:c r="G448" s="9"/>
      <x:c r="H448" s="9"/>
      <x:c r="I448" s="11"/>
      <x:c r="J448" s="11"/>
      <x:c r="K448" s="9"/>
      <x:c r="L448" s="9"/>
      <x:c r="M448" s="12" t="str">
        <x:f>IF(A448="","",IF(G448="","À compléter",IF(AND(ISNUMBER(J448),J448&lt;='Tableau de bord'!$F$5),"Réalisée",IF(I448="","À compléter",IF(I448&lt;'Tableau de bord'!$F$5,"Retard","À venir")))))</x:f>
      </x:c>
      <x:c r="N448" s="12" t="str">
        <x:f>IF(OR(A448="",I448=""),"",IF(M448="Retard",'Tableau de bord'!$F$5-I448,0))</x:f>
      </x:c>
      <x:c r="O448" s="9"/>
      <x:c r="P448" s="12" t="str">
        <x:f>IF(A448="","",IF(OR(B448="",G448="",H448="",E448=""),"À compléter",IF(COUNTIFS($A$6:$A$505,A448,$B$6:$B$505,B448)&gt;1,"Doublon ID",IF(AND(ISNUMBER(J448),J448&lt;E448),"Incohérent",""))))</x:f>
      </x:c>
    </x:row>
    <x:row r="449" ht="23" customHeight="1">
      <x:c r="A449" s="9"/>
      <x:c r="B449" s="9"/>
      <x:c r="C449" s="9"/>
      <x:c r="D449" s="9"/>
      <x:c r="E449" s="11"/>
      <x:c r="F449" s="9"/>
      <x:c r="G449" s="9"/>
      <x:c r="H449" s="9"/>
      <x:c r="I449" s="11"/>
      <x:c r="J449" s="11"/>
      <x:c r="K449" s="9"/>
      <x:c r="L449" s="9"/>
      <x:c r="M449" s="12" t="str">
        <x:f>IF(A449="","",IF(G449="","À compléter",IF(AND(ISNUMBER(J449),J449&lt;='Tableau de bord'!$F$5),"Réalisée",IF(I449="","À compléter",IF(I449&lt;'Tableau de bord'!$F$5,"Retard","À venir")))))</x:f>
      </x:c>
      <x:c r="N449" s="12" t="str">
        <x:f>IF(OR(A449="",I449=""),"",IF(M449="Retard",'Tableau de bord'!$F$5-I449,0))</x:f>
      </x:c>
      <x:c r="O449" s="9"/>
      <x:c r="P449" s="12" t="str">
        <x:f>IF(A449="","",IF(OR(B449="",G449="",H449="",E449=""),"À compléter",IF(COUNTIFS($A$6:$A$505,A449,$B$6:$B$505,B449)&gt;1,"Doublon ID",IF(AND(ISNUMBER(J449),J449&lt;E449),"Incohérent",""))))</x:f>
      </x:c>
    </x:row>
    <x:row r="450" ht="23" customHeight="1">
      <x:c r="A450" s="9"/>
      <x:c r="B450" s="9"/>
      <x:c r="C450" s="9"/>
      <x:c r="D450" s="9"/>
      <x:c r="E450" s="11"/>
      <x:c r="F450" s="9"/>
      <x:c r="G450" s="9"/>
      <x:c r="H450" s="9"/>
      <x:c r="I450" s="11"/>
      <x:c r="J450" s="11"/>
      <x:c r="K450" s="9"/>
      <x:c r="L450" s="9"/>
      <x:c r="M450" s="12" t="str">
        <x:f>IF(A450="","",IF(G450="","À compléter",IF(AND(ISNUMBER(J450),J450&lt;='Tableau de bord'!$F$5),"Réalisée",IF(I450="","À compléter",IF(I450&lt;'Tableau de bord'!$F$5,"Retard","À venir")))))</x:f>
      </x:c>
      <x:c r="N450" s="12" t="str">
        <x:f>IF(OR(A450="",I450=""),"",IF(M450="Retard",'Tableau de bord'!$F$5-I450,0))</x:f>
      </x:c>
      <x:c r="O450" s="9"/>
      <x:c r="P450" s="12" t="str">
        <x:f>IF(A450="","",IF(OR(B450="",G450="",H450="",E450=""),"À compléter",IF(COUNTIFS($A$6:$A$505,A450,$B$6:$B$505,B450)&gt;1,"Doublon ID",IF(AND(ISNUMBER(J450),J450&lt;E450),"Incohérent",""))))</x:f>
      </x:c>
    </x:row>
    <x:row r="451" ht="23" customHeight="1">
      <x:c r="A451" s="9"/>
      <x:c r="B451" s="9"/>
      <x:c r="C451" s="9"/>
      <x:c r="D451" s="9"/>
      <x:c r="E451" s="11"/>
      <x:c r="F451" s="9"/>
      <x:c r="G451" s="9"/>
      <x:c r="H451" s="9"/>
      <x:c r="I451" s="11"/>
      <x:c r="J451" s="11"/>
      <x:c r="K451" s="9"/>
      <x:c r="L451" s="9"/>
      <x:c r="M451" s="12" t="str">
        <x:f>IF(A451="","",IF(G451="","À compléter",IF(AND(ISNUMBER(J451),J451&lt;='Tableau de bord'!$F$5),"Réalisée",IF(I451="","À compléter",IF(I451&lt;'Tableau de bord'!$F$5,"Retard","À venir")))))</x:f>
      </x:c>
      <x:c r="N451" s="12" t="str">
        <x:f>IF(OR(A451="",I451=""),"",IF(M451="Retard",'Tableau de bord'!$F$5-I451,0))</x:f>
      </x:c>
      <x:c r="O451" s="9"/>
      <x:c r="P451" s="12" t="str">
        <x:f>IF(A451="","",IF(OR(B451="",G451="",H451="",E451=""),"À compléter",IF(COUNTIFS($A$6:$A$505,A451,$B$6:$B$505,B451)&gt;1,"Doublon ID",IF(AND(ISNUMBER(J451),J451&lt;E451),"Incohérent",""))))</x:f>
      </x:c>
    </x:row>
    <x:row r="452" ht="23" customHeight="1">
      <x:c r="A452" s="9"/>
      <x:c r="B452" s="9"/>
      <x:c r="C452" s="9"/>
      <x:c r="D452" s="9"/>
      <x:c r="E452" s="11"/>
      <x:c r="F452" s="9"/>
      <x:c r="G452" s="9"/>
      <x:c r="H452" s="9"/>
      <x:c r="I452" s="11"/>
      <x:c r="J452" s="11"/>
      <x:c r="K452" s="9"/>
      <x:c r="L452" s="9"/>
      <x:c r="M452" s="12" t="str">
        <x:f>IF(A452="","",IF(G452="","À compléter",IF(AND(ISNUMBER(J452),J452&lt;='Tableau de bord'!$F$5),"Réalisée",IF(I452="","À compléter",IF(I452&lt;'Tableau de bord'!$F$5,"Retard","À venir")))))</x:f>
      </x:c>
      <x:c r="N452" s="12" t="str">
        <x:f>IF(OR(A452="",I452=""),"",IF(M452="Retard",'Tableau de bord'!$F$5-I452,0))</x:f>
      </x:c>
      <x:c r="O452" s="9"/>
      <x:c r="P452" s="12" t="str">
        <x:f>IF(A452="","",IF(OR(B452="",G452="",H452="",E452=""),"À compléter",IF(COUNTIFS($A$6:$A$505,A452,$B$6:$B$505,B452)&gt;1,"Doublon ID",IF(AND(ISNUMBER(J452),J452&lt;E452),"Incohérent",""))))</x:f>
      </x:c>
    </x:row>
    <x:row r="453" ht="23" customHeight="1">
      <x:c r="A453" s="9"/>
      <x:c r="B453" s="9"/>
      <x:c r="C453" s="9"/>
      <x:c r="D453" s="9"/>
      <x:c r="E453" s="11"/>
      <x:c r="F453" s="9"/>
      <x:c r="G453" s="9"/>
      <x:c r="H453" s="9"/>
      <x:c r="I453" s="11"/>
      <x:c r="J453" s="11"/>
      <x:c r="K453" s="9"/>
      <x:c r="L453" s="9"/>
      <x:c r="M453" s="12" t="str">
        <x:f>IF(A453="","",IF(G453="","À compléter",IF(AND(ISNUMBER(J453),J453&lt;='Tableau de bord'!$F$5),"Réalisée",IF(I453="","À compléter",IF(I453&lt;'Tableau de bord'!$F$5,"Retard","À venir")))))</x:f>
      </x:c>
      <x:c r="N453" s="12" t="str">
        <x:f>IF(OR(A453="",I453=""),"",IF(M453="Retard",'Tableau de bord'!$F$5-I453,0))</x:f>
      </x:c>
      <x:c r="O453" s="9"/>
      <x:c r="P453" s="12" t="str">
        <x:f>IF(A453="","",IF(OR(B453="",G453="",H453="",E453=""),"À compléter",IF(COUNTIFS($A$6:$A$505,A453,$B$6:$B$505,B453)&gt;1,"Doublon ID",IF(AND(ISNUMBER(J453),J453&lt;E453),"Incohérent",""))))</x:f>
      </x:c>
    </x:row>
    <x:row r="454" ht="23" customHeight="1">
      <x:c r="A454" s="9"/>
      <x:c r="B454" s="9"/>
      <x:c r="C454" s="9"/>
      <x:c r="D454" s="9"/>
      <x:c r="E454" s="11"/>
      <x:c r="F454" s="9"/>
      <x:c r="G454" s="9"/>
      <x:c r="H454" s="9"/>
      <x:c r="I454" s="11"/>
      <x:c r="J454" s="11"/>
      <x:c r="K454" s="9"/>
      <x:c r="L454" s="9"/>
      <x:c r="M454" s="12" t="str">
        <x:f>IF(A454="","",IF(G454="","À compléter",IF(AND(ISNUMBER(J454),J454&lt;='Tableau de bord'!$F$5),"Réalisée",IF(I454="","À compléter",IF(I454&lt;'Tableau de bord'!$F$5,"Retard","À venir")))))</x:f>
      </x:c>
      <x:c r="N454" s="12" t="str">
        <x:f>IF(OR(A454="",I454=""),"",IF(M454="Retard",'Tableau de bord'!$F$5-I454,0))</x:f>
      </x:c>
      <x:c r="O454" s="9"/>
      <x:c r="P454" s="12" t="str">
        <x:f>IF(A454="","",IF(OR(B454="",G454="",H454="",E454=""),"À compléter",IF(COUNTIFS($A$6:$A$505,A454,$B$6:$B$505,B454)&gt;1,"Doublon ID",IF(AND(ISNUMBER(J454),J454&lt;E454),"Incohérent",""))))</x:f>
      </x:c>
    </x:row>
    <x:row r="455" ht="23" customHeight="1">
      <x:c r="A455" s="9"/>
      <x:c r="B455" s="9"/>
      <x:c r="C455" s="9"/>
      <x:c r="D455" s="9"/>
      <x:c r="E455" s="11"/>
      <x:c r="F455" s="9"/>
      <x:c r="G455" s="9"/>
      <x:c r="H455" s="9"/>
      <x:c r="I455" s="11"/>
      <x:c r="J455" s="11"/>
      <x:c r="K455" s="9"/>
      <x:c r="L455" s="9"/>
      <x:c r="M455" s="12" t="str">
        <x:f>IF(A455="","",IF(G455="","À compléter",IF(AND(ISNUMBER(J455),J455&lt;='Tableau de bord'!$F$5),"Réalisée",IF(I455="","À compléter",IF(I455&lt;'Tableau de bord'!$F$5,"Retard","À venir")))))</x:f>
      </x:c>
      <x:c r="N455" s="12" t="str">
        <x:f>IF(OR(A455="",I455=""),"",IF(M455="Retard",'Tableau de bord'!$F$5-I455,0))</x:f>
      </x:c>
      <x:c r="O455" s="9"/>
      <x:c r="P455" s="12" t="str">
        <x:f>IF(A455="","",IF(OR(B455="",G455="",H455="",E455=""),"À compléter",IF(COUNTIFS($A$6:$A$505,A455,$B$6:$B$505,B455)&gt;1,"Doublon ID",IF(AND(ISNUMBER(J455),J455&lt;E455),"Incohérent",""))))</x:f>
      </x:c>
    </x:row>
    <x:row r="456" ht="23" customHeight="1">
      <x:c r="A456" s="9"/>
      <x:c r="B456" s="9"/>
      <x:c r="C456" s="9"/>
      <x:c r="D456" s="9"/>
      <x:c r="E456" s="11"/>
      <x:c r="F456" s="9"/>
      <x:c r="G456" s="9"/>
      <x:c r="H456" s="9"/>
      <x:c r="I456" s="11"/>
      <x:c r="J456" s="11"/>
      <x:c r="K456" s="9"/>
      <x:c r="L456" s="9"/>
      <x:c r="M456" s="12" t="str">
        <x:f>IF(A456="","",IF(G456="","À compléter",IF(AND(ISNUMBER(J456),J456&lt;='Tableau de bord'!$F$5),"Réalisée",IF(I456="","À compléter",IF(I456&lt;'Tableau de bord'!$F$5,"Retard","À venir")))))</x:f>
      </x:c>
      <x:c r="N456" s="12" t="str">
        <x:f>IF(OR(A456="",I456=""),"",IF(M456="Retard",'Tableau de bord'!$F$5-I456,0))</x:f>
      </x:c>
      <x:c r="O456" s="9"/>
      <x:c r="P456" s="12" t="str">
        <x:f>IF(A456="","",IF(OR(B456="",G456="",H456="",E456=""),"À compléter",IF(COUNTIFS($A$6:$A$505,A456,$B$6:$B$505,B456)&gt;1,"Doublon ID",IF(AND(ISNUMBER(J456),J456&lt;E456),"Incohérent",""))))</x:f>
      </x:c>
    </x:row>
    <x:row r="457" ht="23" customHeight="1">
      <x:c r="A457" s="9"/>
      <x:c r="B457" s="9"/>
      <x:c r="C457" s="9"/>
      <x:c r="D457" s="9"/>
      <x:c r="E457" s="11"/>
      <x:c r="F457" s="9"/>
      <x:c r="G457" s="9"/>
      <x:c r="H457" s="9"/>
      <x:c r="I457" s="11"/>
      <x:c r="J457" s="11"/>
      <x:c r="K457" s="9"/>
      <x:c r="L457" s="9"/>
      <x:c r="M457" s="12" t="str">
        <x:f>IF(A457="","",IF(G457="","À compléter",IF(AND(ISNUMBER(J457),J457&lt;='Tableau de bord'!$F$5),"Réalisée",IF(I457="","À compléter",IF(I457&lt;'Tableau de bord'!$F$5,"Retard","À venir")))))</x:f>
      </x:c>
      <x:c r="N457" s="12" t="str">
        <x:f>IF(OR(A457="",I457=""),"",IF(M457="Retard",'Tableau de bord'!$F$5-I457,0))</x:f>
      </x:c>
      <x:c r="O457" s="9"/>
      <x:c r="P457" s="12" t="str">
        <x:f>IF(A457="","",IF(OR(B457="",G457="",H457="",E457=""),"À compléter",IF(COUNTIFS($A$6:$A$505,A457,$B$6:$B$505,B457)&gt;1,"Doublon ID",IF(AND(ISNUMBER(J457),J457&lt;E457),"Incohérent",""))))</x:f>
      </x:c>
    </x:row>
    <x:row r="458" ht="23" customHeight="1">
      <x:c r="A458" s="9"/>
      <x:c r="B458" s="9"/>
      <x:c r="C458" s="9"/>
      <x:c r="D458" s="9"/>
      <x:c r="E458" s="11"/>
      <x:c r="F458" s="9"/>
      <x:c r="G458" s="9"/>
      <x:c r="H458" s="9"/>
      <x:c r="I458" s="11"/>
      <x:c r="J458" s="11"/>
      <x:c r="K458" s="9"/>
      <x:c r="L458" s="9"/>
      <x:c r="M458" s="12" t="str">
        <x:f>IF(A458="","",IF(G458="","À compléter",IF(AND(ISNUMBER(J458),J458&lt;='Tableau de bord'!$F$5),"Réalisée",IF(I458="","À compléter",IF(I458&lt;'Tableau de bord'!$F$5,"Retard","À venir")))))</x:f>
      </x:c>
      <x:c r="N458" s="12" t="str">
        <x:f>IF(OR(A458="",I458=""),"",IF(M458="Retard",'Tableau de bord'!$F$5-I458,0))</x:f>
      </x:c>
      <x:c r="O458" s="9"/>
      <x:c r="P458" s="12" t="str">
        <x:f>IF(A458="","",IF(OR(B458="",G458="",H458="",E458=""),"À compléter",IF(COUNTIFS($A$6:$A$505,A458,$B$6:$B$505,B458)&gt;1,"Doublon ID",IF(AND(ISNUMBER(J458),J458&lt;E458),"Incohérent",""))))</x:f>
      </x:c>
    </x:row>
    <x:row r="459" ht="23" customHeight="1">
      <x:c r="A459" s="9"/>
      <x:c r="B459" s="9"/>
      <x:c r="C459" s="9"/>
      <x:c r="D459" s="9"/>
      <x:c r="E459" s="11"/>
      <x:c r="F459" s="9"/>
      <x:c r="G459" s="9"/>
      <x:c r="H459" s="9"/>
      <x:c r="I459" s="11"/>
      <x:c r="J459" s="11"/>
      <x:c r="K459" s="9"/>
      <x:c r="L459" s="9"/>
      <x:c r="M459" s="12" t="str">
        <x:f>IF(A459="","",IF(G459="","À compléter",IF(AND(ISNUMBER(J459),J459&lt;='Tableau de bord'!$F$5),"Réalisée",IF(I459="","À compléter",IF(I459&lt;'Tableau de bord'!$F$5,"Retard","À venir")))))</x:f>
      </x:c>
      <x:c r="N459" s="12" t="str">
        <x:f>IF(OR(A459="",I459=""),"",IF(M459="Retard",'Tableau de bord'!$F$5-I459,0))</x:f>
      </x:c>
      <x:c r="O459" s="9"/>
      <x:c r="P459" s="12" t="str">
        <x:f>IF(A459="","",IF(OR(B459="",G459="",H459="",E459=""),"À compléter",IF(COUNTIFS($A$6:$A$505,A459,$B$6:$B$505,B459)&gt;1,"Doublon ID",IF(AND(ISNUMBER(J459),J459&lt;E459),"Incohérent",""))))</x:f>
      </x:c>
    </x:row>
    <x:row r="460" ht="23" customHeight="1">
      <x:c r="A460" s="9"/>
      <x:c r="B460" s="9"/>
      <x:c r="C460" s="9"/>
      <x:c r="D460" s="9"/>
      <x:c r="E460" s="11"/>
      <x:c r="F460" s="9"/>
      <x:c r="G460" s="9"/>
      <x:c r="H460" s="9"/>
      <x:c r="I460" s="11"/>
      <x:c r="J460" s="11"/>
      <x:c r="K460" s="9"/>
      <x:c r="L460" s="9"/>
      <x:c r="M460" s="12" t="str">
        <x:f>IF(A460="","",IF(G460="","À compléter",IF(AND(ISNUMBER(J460),J460&lt;='Tableau de bord'!$F$5),"Réalisée",IF(I460="","À compléter",IF(I460&lt;'Tableau de bord'!$F$5,"Retard","À venir")))))</x:f>
      </x:c>
      <x:c r="N460" s="12" t="str">
        <x:f>IF(OR(A460="",I460=""),"",IF(M460="Retard",'Tableau de bord'!$F$5-I460,0))</x:f>
      </x:c>
      <x:c r="O460" s="9"/>
      <x:c r="P460" s="12" t="str">
        <x:f>IF(A460="","",IF(OR(B460="",G460="",H460="",E460=""),"À compléter",IF(COUNTIFS($A$6:$A$505,A460,$B$6:$B$505,B460)&gt;1,"Doublon ID",IF(AND(ISNUMBER(J460),J460&lt;E460),"Incohérent",""))))</x:f>
      </x:c>
    </x:row>
    <x:row r="461" ht="23" customHeight="1">
      <x:c r="A461" s="9"/>
      <x:c r="B461" s="9"/>
      <x:c r="C461" s="9"/>
      <x:c r="D461" s="9"/>
      <x:c r="E461" s="11"/>
      <x:c r="F461" s="9"/>
      <x:c r="G461" s="9"/>
      <x:c r="H461" s="9"/>
      <x:c r="I461" s="11"/>
      <x:c r="J461" s="11"/>
      <x:c r="K461" s="9"/>
      <x:c r="L461" s="9"/>
      <x:c r="M461" s="12" t="str">
        <x:f>IF(A461="","",IF(G461="","À compléter",IF(AND(ISNUMBER(J461),J461&lt;='Tableau de bord'!$F$5),"Réalisée",IF(I461="","À compléter",IF(I461&lt;'Tableau de bord'!$F$5,"Retard","À venir")))))</x:f>
      </x:c>
      <x:c r="N461" s="12" t="str">
        <x:f>IF(OR(A461="",I461=""),"",IF(M461="Retard",'Tableau de bord'!$F$5-I461,0))</x:f>
      </x:c>
      <x:c r="O461" s="9"/>
      <x:c r="P461" s="12" t="str">
        <x:f>IF(A461="","",IF(OR(B461="",G461="",H461="",E461=""),"À compléter",IF(COUNTIFS($A$6:$A$505,A461,$B$6:$B$505,B461)&gt;1,"Doublon ID",IF(AND(ISNUMBER(J461),J461&lt;E461),"Incohérent",""))))</x:f>
      </x:c>
    </x:row>
    <x:row r="462" ht="23" customHeight="1">
      <x:c r="A462" s="9"/>
      <x:c r="B462" s="9"/>
      <x:c r="C462" s="9"/>
      <x:c r="D462" s="9"/>
      <x:c r="E462" s="11"/>
      <x:c r="F462" s="9"/>
      <x:c r="G462" s="9"/>
      <x:c r="H462" s="9"/>
      <x:c r="I462" s="11"/>
      <x:c r="J462" s="11"/>
      <x:c r="K462" s="9"/>
      <x:c r="L462" s="9"/>
      <x:c r="M462" s="12" t="str">
        <x:f>IF(A462="","",IF(G462="","À compléter",IF(AND(ISNUMBER(J462),J462&lt;='Tableau de bord'!$F$5),"Réalisée",IF(I462="","À compléter",IF(I462&lt;'Tableau de bord'!$F$5,"Retard","À venir")))))</x:f>
      </x:c>
      <x:c r="N462" s="12" t="str">
        <x:f>IF(OR(A462="",I462=""),"",IF(M462="Retard",'Tableau de bord'!$F$5-I462,0))</x:f>
      </x:c>
      <x:c r="O462" s="9"/>
      <x:c r="P462" s="12" t="str">
        <x:f>IF(A462="","",IF(OR(B462="",G462="",H462="",E462=""),"À compléter",IF(COUNTIFS($A$6:$A$505,A462,$B$6:$B$505,B462)&gt;1,"Doublon ID",IF(AND(ISNUMBER(J462),J462&lt;E462),"Incohérent",""))))</x:f>
      </x:c>
    </x:row>
    <x:row r="463" ht="23" customHeight="1">
      <x:c r="A463" s="9"/>
      <x:c r="B463" s="9"/>
      <x:c r="C463" s="9"/>
      <x:c r="D463" s="9"/>
      <x:c r="E463" s="11"/>
      <x:c r="F463" s="9"/>
      <x:c r="G463" s="9"/>
      <x:c r="H463" s="9"/>
      <x:c r="I463" s="11"/>
      <x:c r="J463" s="11"/>
      <x:c r="K463" s="9"/>
      <x:c r="L463" s="9"/>
      <x:c r="M463" s="12" t="str">
        <x:f>IF(A463="","",IF(G463="","À compléter",IF(AND(ISNUMBER(J463),J463&lt;='Tableau de bord'!$F$5),"Réalisée",IF(I463="","À compléter",IF(I463&lt;'Tableau de bord'!$F$5,"Retard","À venir")))))</x:f>
      </x:c>
      <x:c r="N463" s="12" t="str">
        <x:f>IF(OR(A463="",I463=""),"",IF(M463="Retard",'Tableau de bord'!$F$5-I463,0))</x:f>
      </x:c>
      <x:c r="O463" s="9"/>
      <x:c r="P463" s="12" t="str">
        <x:f>IF(A463="","",IF(OR(B463="",G463="",H463="",E463=""),"À compléter",IF(COUNTIFS($A$6:$A$505,A463,$B$6:$B$505,B463)&gt;1,"Doublon ID",IF(AND(ISNUMBER(J463),J463&lt;E463),"Incohérent",""))))</x:f>
      </x:c>
    </x:row>
    <x:row r="464" ht="23" customHeight="1">
      <x:c r="A464" s="9"/>
      <x:c r="B464" s="9"/>
      <x:c r="C464" s="9"/>
      <x:c r="D464" s="9"/>
      <x:c r="E464" s="11"/>
      <x:c r="F464" s="9"/>
      <x:c r="G464" s="9"/>
      <x:c r="H464" s="9"/>
      <x:c r="I464" s="11"/>
      <x:c r="J464" s="11"/>
      <x:c r="K464" s="9"/>
      <x:c r="L464" s="9"/>
      <x:c r="M464" s="12" t="str">
        <x:f>IF(A464="","",IF(G464="","À compléter",IF(AND(ISNUMBER(J464),J464&lt;='Tableau de bord'!$F$5),"Réalisée",IF(I464="","À compléter",IF(I464&lt;'Tableau de bord'!$F$5,"Retard","À venir")))))</x:f>
      </x:c>
      <x:c r="N464" s="12" t="str">
        <x:f>IF(OR(A464="",I464=""),"",IF(M464="Retard",'Tableau de bord'!$F$5-I464,0))</x:f>
      </x:c>
      <x:c r="O464" s="9"/>
      <x:c r="P464" s="12" t="str">
        <x:f>IF(A464="","",IF(OR(B464="",G464="",H464="",E464=""),"À compléter",IF(COUNTIFS($A$6:$A$505,A464,$B$6:$B$505,B464)&gt;1,"Doublon ID",IF(AND(ISNUMBER(J464),J464&lt;E464),"Incohérent",""))))</x:f>
      </x:c>
    </x:row>
    <x:row r="465" ht="23" customHeight="1">
      <x:c r="A465" s="9"/>
      <x:c r="B465" s="9"/>
      <x:c r="C465" s="9"/>
      <x:c r="D465" s="9"/>
      <x:c r="E465" s="11"/>
      <x:c r="F465" s="9"/>
      <x:c r="G465" s="9"/>
      <x:c r="H465" s="9"/>
      <x:c r="I465" s="11"/>
      <x:c r="J465" s="11"/>
      <x:c r="K465" s="9"/>
      <x:c r="L465" s="9"/>
      <x:c r="M465" s="12" t="str">
        <x:f>IF(A465="","",IF(G465="","À compléter",IF(AND(ISNUMBER(J465),J465&lt;='Tableau de bord'!$F$5),"Réalisée",IF(I465="","À compléter",IF(I465&lt;'Tableau de bord'!$F$5,"Retard","À venir")))))</x:f>
      </x:c>
      <x:c r="N465" s="12" t="str">
        <x:f>IF(OR(A465="",I465=""),"",IF(M465="Retard",'Tableau de bord'!$F$5-I465,0))</x:f>
      </x:c>
      <x:c r="O465" s="9"/>
      <x:c r="P465" s="12" t="str">
        <x:f>IF(A465="","",IF(OR(B465="",G465="",H465="",E465=""),"À compléter",IF(COUNTIFS($A$6:$A$505,A465,$B$6:$B$505,B465)&gt;1,"Doublon ID",IF(AND(ISNUMBER(J465),J465&lt;E465),"Incohérent",""))))</x:f>
      </x:c>
    </x:row>
    <x:row r="466" ht="23" customHeight="1">
      <x:c r="A466" s="9"/>
      <x:c r="B466" s="9"/>
      <x:c r="C466" s="9"/>
      <x:c r="D466" s="9"/>
      <x:c r="E466" s="11"/>
      <x:c r="F466" s="9"/>
      <x:c r="G466" s="9"/>
      <x:c r="H466" s="9"/>
      <x:c r="I466" s="11"/>
      <x:c r="J466" s="11"/>
      <x:c r="K466" s="9"/>
      <x:c r="L466" s="9"/>
      <x:c r="M466" s="12" t="str">
        <x:f>IF(A466="","",IF(G466="","À compléter",IF(AND(ISNUMBER(J466),J466&lt;='Tableau de bord'!$F$5),"Réalisée",IF(I466="","À compléter",IF(I466&lt;'Tableau de bord'!$F$5,"Retard","À venir")))))</x:f>
      </x:c>
      <x:c r="N466" s="12" t="str">
        <x:f>IF(OR(A466="",I466=""),"",IF(M466="Retard",'Tableau de bord'!$F$5-I466,0))</x:f>
      </x:c>
      <x:c r="O466" s="9"/>
      <x:c r="P466" s="12" t="str">
        <x:f>IF(A466="","",IF(OR(B466="",G466="",H466="",E466=""),"À compléter",IF(COUNTIFS($A$6:$A$505,A466,$B$6:$B$505,B466)&gt;1,"Doublon ID",IF(AND(ISNUMBER(J466),J466&lt;E466),"Incohérent",""))))</x:f>
      </x:c>
    </x:row>
    <x:row r="467" ht="23" customHeight="1">
      <x:c r="A467" s="9"/>
      <x:c r="B467" s="9"/>
      <x:c r="C467" s="9"/>
      <x:c r="D467" s="9"/>
      <x:c r="E467" s="11"/>
      <x:c r="F467" s="9"/>
      <x:c r="G467" s="9"/>
      <x:c r="H467" s="9"/>
      <x:c r="I467" s="11"/>
      <x:c r="J467" s="11"/>
      <x:c r="K467" s="9"/>
      <x:c r="L467" s="9"/>
      <x:c r="M467" s="12" t="str">
        <x:f>IF(A467="","",IF(G467="","À compléter",IF(AND(ISNUMBER(J467),J467&lt;='Tableau de bord'!$F$5),"Réalisée",IF(I467="","À compléter",IF(I467&lt;'Tableau de bord'!$F$5,"Retard","À venir")))))</x:f>
      </x:c>
      <x:c r="N467" s="12" t="str">
        <x:f>IF(OR(A467="",I467=""),"",IF(M467="Retard",'Tableau de bord'!$F$5-I467,0))</x:f>
      </x:c>
      <x:c r="O467" s="9"/>
      <x:c r="P467" s="12" t="str">
        <x:f>IF(A467="","",IF(OR(B467="",G467="",H467="",E467=""),"À compléter",IF(COUNTIFS($A$6:$A$505,A467,$B$6:$B$505,B467)&gt;1,"Doublon ID",IF(AND(ISNUMBER(J467),J467&lt;E467),"Incohérent",""))))</x:f>
      </x:c>
    </x:row>
    <x:row r="468" ht="23" customHeight="1">
      <x:c r="A468" s="9"/>
      <x:c r="B468" s="9"/>
      <x:c r="C468" s="9"/>
      <x:c r="D468" s="9"/>
      <x:c r="E468" s="11"/>
      <x:c r="F468" s="9"/>
      <x:c r="G468" s="9"/>
      <x:c r="H468" s="9"/>
      <x:c r="I468" s="11"/>
      <x:c r="J468" s="11"/>
      <x:c r="K468" s="9"/>
      <x:c r="L468" s="9"/>
      <x:c r="M468" s="12" t="str">
        <x:f>IF(A468="","",IF(G468="","À compléter",IF(AND(ISNUMBER(J468),J468&lt;='Tableau de bord'!$F$5),"Réalisée",IF(I468="","À compléter",IF(I468&lt;'Tableau de bord'!$F$5,"Retard","À venir")))))</x:f>
      </x:c>
      <x:c r="N468" s="12" t="str">
        <x:f>IF(OR(A468="",I468=""),"",IF(M468="Retard",'Tableau de bord'!$F$5-I468,0))</x:f>
      </x:c>
      <x:c r="O468" s="9"/>
      <x:c r="P468" s="12" t="str">
        <x:f>IF(A468="","",IF(OR(B468="",G468="",H468="",E468=""),"À compléter",IF(COUNTIFS($A$6:$A$505,A468,$B$6:$B$505,B468)&gt;1,"Doublon ID",IF(AND(ISNUMBER(J468),J468&lt;E468),"Incohérent",""))))</x:f>
      </x:c>
    </x:row>
    <x:row r="469" ht="23" customHeight="1">
      <x:c r="A469" s="9"/>
      <x:c r="B469" s="9"/>
      <x:c r="C469" s="9"/>
      <x:c r="D469" s="9"/>
      <x:c r="E469" s="11"/>
      <x:c r="F469" s="9"/>
      <x:c r="G469" s="9"/>
      <x:c r="H469" s="9"/>
      <x:c r="I469" s="11"/>
      <x:c r="J469" s="11"/>
      <x:c r="K469" s="9"/>
      <x:c r="L469" s="9"/>
      <x:c r="M469" s="12" t="str">
        <x:f>IF(A469="","",IF(G469="","À compléter",IF(AND(ISNUMBER(J469),J469&lt;='Tableau de bord'!$F$5),"Réalisée",IF(I469="","À compléter",IF(I469&lt;'Tableau de bord'!$F$5,"Retard","À venir")))))</x:f>
      </x:c>
      <x:c r="N469" s="12" t="str">
        <x:f>IF(OR(A469="",I469=""),"",IF(M469="Retard",'Tableau de bord'!$F$5-I469,0))</x:f>
      </x:c>
      <x:c r="O469" s="9"/>
      <x:c r="P469" s="12" t="str">
        <x:f>IF(A469="","",IF(OR(B469="",G469="",H469="",E469=""),"À compléter",IF(COUNTIFS($A$6:$A$505,A469,$B$6:$B$505,B469)&gt;1,"Doublon ID",IF(AND(ISNUMBER(J469),J469&lt;E469),"Incohérent",""))))</x:f>
      </x:c>
    </x:row>
    <x:row r="470" ht="23" customHeight="1">
      <x:c r="A470" s="9"/>
      <x:c r="B470" s="9"/>
      <x:c r="C470" s="9"/>
      <x:c r="D470" s="9"/>
      <x:c r="E470" s="11"/>
      <x:c r="F470" s="9"/>
      <x:c r="G470" s="9"/>
      <x:c r="H470" s="9"/>
      <x:c r="I470" s="11"/>
      <x:c r="J470" s="11"/>
      <x:c r="K470" s="9"/>
      <x:c r="L470" s="9"/>
      <x:c r="M470" s="12" t="str">
        <x:f>IF(A470="","",IF(G470="","À compléter",IF(AND(ISNUMBER(J470),J470&lt;='Tableau de bord'!$F$5),"Réalisée",IF(I470="","À compléter",IF(I470&lt;'Tableau de bord'!$F$5,"Retard","À venir")))))</x:f>
      </x:c>
      <x:c r="N470" s="12" t="str">
        <x:f>IF(OR(A470="",I470=""),"",IF(M470="Retard",'Tableau de bord'!$F$5-I470,0))</x:f>
      </x:c>
      <x:c r="O470" s="9"/>
      <x:c r="P470" s="12" t="str">
        <x:f>IF(A470="","",IF(OR(B470="",G470="",H470="",E470=""),"À compléter",IF(COUNTIFS($A$6:$A$505,A470,$B$6:$B$505,B470)&gt;1,"Doublon ID",IF(AND(ISNUMBER(J470),J470&lt;E470),"Incohérent",""))))</x:f>
      </x:c>
    </x:row>
    <x:row r="471" ht="23" customHeight="1">
      <x:c r="A471" s="9"/>
      <x:c r="B471" s="9"/>
      <x:c r="C471" s="9"/>
      <x:c r="D471" s="9"/>
      <x:c r="E471" s="11"/>
      <x:c r="F471" s="9"/>
      <x:c r="G471" s="9"/>
      <x:c r="H471" s="9"/>
      <x:c r="I471" s="11"/>
      <x:c r="J471" s="11"/>
      <x:c r="K471" s="9"/>
      <x:c r="L471" s="9"/>
      <x:c r="M471" s="12" t="str">
        <x:f>IF(A471="","",IF(G471="","À compléter",IF(AND(ISNUMBER(J471),J471&lt;='Tableau de bord'!$F$5),"Réalisée",IF(I471="","À compléter",IF(I471&lt;'Tableau de bord'!$F$5,"Retard","À venir")))))</x:f>
      </x:c>
      <x:c r="N471" s="12" t="str">
        <x:f>IF(OR(A471="",I471=""),"",IF(M471="Retard",'Tableau de bord'!$F$5-I471,0))</x:f>
      </x:c>
      <x:c r="O471" s="9"/>
      <x:c r="P471" s="12" t="str">
        <x:f>IF(A471="","",IF(OR(B471="",G471="",H471="",E471=""),"À compléter",IF(COUNTIFS($A$6:$A$505,A471,$B$6:$B$505,B471)&gt;1,"Doublon ID",IF(AND(ISNUMBER(J471),J471&lt;E471),"Incohérent",""))))</x:f>
      </x:c>
    </x:row>
    <x:row r="472" ht="23" customHeight="1">
      <x:c r="A472" s="9"/>
      <x:c r="B472" s="9"/>
      <x:c r="C472" s="9"/>
      <x:c r="D472" s="9"/>
      <x:c r="E472" s="11"/>
      <x:c r="F472" s="9"/>
      <x:c r="G472" s="9"/>
      <x:c r="H472" s="9"/>
      <x:c r="I472" s="11"/>
      <x:c r="J472" s="11"/>
      <x:c r="K472" s="9"/>
      <x:c r="L472" s="9"/>
      <x:c r="M472" s="12" t="str">
        <x:f>IF(A472="","",IF(G472="","À compléter",IF(AND(ISNUMBER(J472),J472&lt;='Tableau de bord'!$F$5),"Réalisée",IF(I472="","À compléter",IF(I472&lt;'Tableau de bord'!$F$5,"Retard","À venir")))))</x:f>
      </x:c>
      <x:c r="N472" s="12" t="str">
        <x:f>IF(OR(A472="",I472=""),"",IF(M472="Retard",'Tableau de bord'!$F$5-I472,0))</x:f>
      </x:c>
      <x:c r="O472" s="9"/>
      <x:c r="P472" s="12" t="str">
        <x:f>IF(A472="","",IF(OR(B472="",G472="",H472="",E472=""),"À compléter",IF(COUNTIFS($A$6:$A$505,A472,$B$6:$B$505,B472)&gt;1,"Doublon ID",IF(AND(ISNUMBER(J472),J472&lt;E472),"Incohérent",""))))</x:f>
      </x:c>
    </x:row>
    <x:row r="473" ht="23" customHeight="1">
      <x:c r="A473" s="9"/>
      <x:c r="B473" s="9"/>
      <x:c r="C473" s="9"/>
      <x:c r="D473" s="9"/>
      <x:c r="E473" s="11"/>
      <x:c r="F473" s="9"/>
      <x:c r="G473" s="9"/>
      <x:c r="H473" s="9"/>
      <x:c r="I473" s="11"/>
      <x:c r="J473" s="11"/>
      <x:c r="K473" s="9"/>
      <x:c r="L473" s="9"/>
      <x:c r="M473" s="12" t="str">
        <x:f>IF(A473="","",IF(G473="","À compléter",IF(AND(ISNUMBER(J473),J473&lt;='Tableau de bord'!$F$5),"Réalisée",IF(I473="","À compléter",IF(I473&lt;'Tableau de bord'!$F$5,"Retard","À venir")))))</x:f>
      </x:c>
      <x:c r="N473" s="12" t="str">
        <x:f>IF(OR(A473="",I473=""),"",IF(M473="Retard",'Tableau de bord'!$F$5-I473,0))</x:f>
      </x:c>
      <x:c r="O473" s="9"/>
      <x:c r="P473" s="12" t="str">
        <x:f>IF(A473="","",IF(OR(B473="",G473="",H473="",E473=""),"À compléter",IF(COUNTIFS($A$6:$A$505,A473,$B$6:$B$505,B473)&gt;1,"Doublon ID",IF(AND(ISNUMBER(J473),J473&lt;E473),"Incohérent",""))))</x:f>
      </x:c>
    </x:row>
    <x:row r="474" ht="23" customHeight="1">
      <x:c r="A474" s="9"/>
      <x:c r="B474" s="9"/>
      <x:c r="C474" s="9"/>
      <x:c r="D474" s="9"/>
      <x:c r="E474" s="11"/>
      <x:c r="F474" s="9"/>
      <x:c r="G474" s="9"/>
      <x:c r="H474" s="9"/>
      <x:c r="I474" s="11"/>
      <x:c r="J474" s="11"/>
      <x:c r="K474" s="9"/>
      <x:c r="L474" s="9"/>
      <x:c r="M474" s="12" t="str">
        <x:f>IF(A474="","",IF(G474="","À compléter",IF(AND(ISNUMBER(J474),J474&lt;='Tableau de bord'!$F$5),"Réalisée",IF(I474="","À compléter",IF(I474&lt;'Tableau de bord'!$F$5,"Retard","À venir")))))</x:f>
      </x:c>
      <x:c r="N474" s="12" t="str">
        <x:f>IF(OR(A474="",I474=""),"",IF(M474="Retard",'Tableau de bord'!$F$5-I474,0))</x:f>
      </x:c>
      <x:c r="O474" s="9"/>
      <x:c r="P474" s="12" t="str">
        <x:f>IF(A474="","",IF(OR(B474="",G474="",H474="",E474=""),"À compléter",IF(COUNTIFS($A$6:$A$505,A474,$B$6:$B$505,B474)&gt;1,"Doublon ID",IF(AND(ISNUMBER(J474),J474&lt;E474),"Incohérent",""))))</x:f>
      </x:c>
    </x:row>
    <x:row r="475" ht="23" customHeight="1">
      <x:c r="A475" s="9"/>
      <x:c r="B475" s="9"/>
      <x:c r="C475" s="9"/>
      <x:c r="D475" s="9"/>
      <x:c r="E475" s="11"/>
      <x:c r="F475" s="9"/>
      <x:c r="G475" s="9"/>
      <x:c r="H475" s="9"/>
      <x:c r="I475" s="11"/>
      <x:c r="J475" s="11"/>
      <x:c r="K475" s="9"/>
      <x:c r="L475" s="9"/>
      <x:c r="M475" s="12" t="str">
        <x:f>IF(A475="","",IF(G475="","À compléter",IF(AND(ISNUMBER(J475),J475&lt;='Tableau de bord'!$F$5),"Réalisée",IF(I475="","À compléter",IF(I475&lt;'Tableau de bord'!$F$5,"Retard","À venir")))))</x:f>
      </x:c>
      <x:c r="N475" s="12" t="str">
        <x:f>IF(OR(A475="",I475=""),"",IF(M475="Retard",'Tableau de bord'!$F$5-I475,0))</x:f>
      </x:c>
      <x:c r="O475" s="9"/>
      <x:c r="P475" s="12" t="str">
        <x:f>IF(A475="","",IF(OR(B475="",G475="",H475="",E475=""),"À compléter",IF(COUNTIFS($A$6:$A$505,A475,$B$6:$B$505,B475)&gt;1,"Doublon ID",IF(AND(ISNUMBER(J475),J475&lt;E475),"Incohérent",""))))</x:f>
      </x:c>
    </x:row>
    <x:row r="476" ht="23" customHeight="1">
      <x:c r="A476" s="9"/>
      <x:c r="B476" s="9"/>
      <x:c r="C476" s="9"/>
      <x:c r="D476" s="9"/>
      <x:c r="E476" s="11"/>
      <x:c r="F476" s="9"/>
      <x:c r="G476" s="9"/>
      <x:c r="H476" s="9"/>
      <x:c r="I476" s="11"/>
      <x:c r="J476" s="11"/>
      <x:c r="K476" s="9"/>
      <x:c r="L476" s="9"/>
      <x:c r="M476" s="12" t="str">
        <x:f>IF(A476="","",IF(G476="","À compléter",IF(AND(ISNUMBER(J476),J476&lt;='Tableau de bord'!$F$5),"Réalisée",IF(I476="","À compléter",IF(I476&lt;'Tableau de bord'!$F$5,"Retard","À venir")))))</x:f>
      </x:c>
      <x:c r="N476" s="12" t="str">
        <x:f>IF(OR(A476="",I476=""),"",IF(M476="Retard",'Tableau de bord'!$F$5-I476,0))</x:f>
      </x:c>
      <x:c r="O476" s="9"/>
      <x:c r="P476" s="12" t="str">
        <x:f>IF(A476="","",IF(OR(B476="",G476="",H476="",E476=""),"À compléter",IF(COUNTIFS($A$6:$A$505,A476,$B$6:$B$505,B476)&gt;1,"Doublon ID",IF(AND(ISNUMBER(J476),J476&lt;E476),"Incohérent",""))))</x:f>
      </x:c>
    </x:row>
    <x:row r="477" ht="23" customHeight="1">
      <x:c r="A477" s="9"/>
      <x:c r="B477" s="9"/>
      <x:c r="C477" s="9"/>
      <x:c r="D477" s="9"/>
      <x:c r="E477" s="11"/>
      <x:c r="F477" s="9"/>
      <x:c r="G477" s="9"/>
      <x:c r="H477" s="9"/>
      <x:c r="I477" s="11"/>
      <x:c r="J477" s="11"/>
      <x:c r="K477" s="9"/>
      <x:c r="L477" s="9"/>
      <x:c r="M477" s="12" t="str">
        <x:f>IF(A477="","",IF(G477="","À compléter",IF(AND(ISNUMBER(J477),J477&lt;='Tableau de bord'!$F$5),"Réalisée",IF(I477="","À compléter",IF(I477&lt;'Tableau de bord'!$F$5,"Retard","À venir")))))</x:f>
      </x:c>
      <x:c r="N477" s="12" t="str">
        <x:f>IF(OR(A477="",I477=""),"",IF(M477="Retard",'Tableau de bord'!$F$5-I477,0))</x:f>
      </x:c>
      <x:c r="O477" s="9"/>
      <x:c r="P477" s="12" t="str">
        <x:f>IF(A477="","",IF(OR(B477="",G477="",H477="",E477=""),"À compléter",IF(COUNTIFS($A$6:$A$505,A477,$B$6:$B$505,B477)&gt;1,"Doublon ID",IF(AND(ISNUMBER(J477),J477&lt;E477),"Incohérent",""))))</x:f>
      </x:c>
    </x:row>
    <x:row r="478" ht="23" customHeight="1">
      <x:c r="A478" s="9"/>
      <x:c r="B478" s="9"/>
      <x:c r="C478" s="9"/>
      <x:c r="D478" s="9"/>
      <x:c r="E478" s="11"/>
      <x:c r="F478" s="9"/>
      <x:c r="G478" s="9"/>
      <x:c r="H478" s="9"/>
      <x:c r="I478" s="11"/>
      <x:c r="J478" s="11"/>
      <x:c r="K478" s="9"/>
      <x:c r="L478" s="9"/>
      <x:c r="M478" s="12" t="str">
        <x:f>IF(A478="","",IF(G478="","À compléter",IF(AND(ISNUMBER(J478),J478&lt;='Tableau de bord'!$F$5),"Réalisée",IF(I478="","À compléter",IF(I478&lt;'Tableau de bord'!$F$5,"Retard","À venir")))))</x:f>
      </x:c>
      <x:c r="N478" s="12" t="str">
        <x:f>IF(OR(A478="",I478=""),"",IF(M478="Retard",'Tableau de bord'!$F$5-I478,0))</x:f>
      </x:c>
      <x:c r="O478" s="9"/>
      <x:c r="P478" s="12" t="str">
        <x:f>IF(A478="","",IF(OR(B478="",G478="",H478="",E478=""),"À compléter",IF(COUNTIFS($A$6:$A$505,A478,$B$6:$B$505,B478)&gt;1,"Doublon ID",IF(AND(ISNUMBER(J478),J478&lt;E478),"Incohérent",""))))</x:f>
      </x:c>
    </x:row>
    <x:row r="479" ht="23" customHeight="1">
      <x:c r="A479" s="9"/>
      <x:c r="B479" s="9"/>
      <x:c r="C479" s="9"/>
      <x:c r="D479" s="9"/>
      <x:c r="E479" s="11"/>
      <x:c r="F479" s="9"/>
      <x:c r="G479" s="9"/>
      <x:c r="H479" s="9"/>
      <x:c r="I479" s="11"/>
      <x:c r="J479" s="11"/>
      <x:c r="K479" s="9"/>
      <x:c r="L479" s="9"/>
      <x:c r="M479" s="12" t="str">
        <x:f>IF(A479="","",IF(G479="","À compléter",IF(AND(ISNUMBER(J479),J479&lt;='Tableau de bord'!$F$5),"Réalisée",IF(I479="","À compléter",IF(I479&lt;'Tableau de bord'!$F$5,"Retard","À venir")))))</x:f>
      </x:c>
      <x:c r="N479" s="12" t="str">
        <x:f>IF(OR(A479="",I479=""),"",IF(M479="Retard",'Tableau de bord'!$F$5-I479,0))</x:f>
      </x:c>
      <x:c r="O479" s="9"/>
      <x:c r="P479" s="12" t="str">
        <x:f>IF(A479="","",IF(OR(B479="",G479="",H479="",E479=""),"À compléter",IF(COUNTIFS($A$6:$A$505,A479,$B$6:$B$505,B479)&gt;1,"Doublon ID",IF(AND(ISNUMBER(J479),J479&lt;E479),"Incohérent",""))))</x:f>
      </x:c>
    </x:row>
    <x:row r="480" ht="23" customHeight="1">
      <x:c r="A480" s="9"/>
      <x:c r="B480" s="9"/>
      <x:c r="C480" s="9"/>
      <x:c r="D480" s="9"/>
      <x:c r="E480" s="11"/>
      <x:c r="F480" s="9"/>
      <x:c r="G480" s="9"/>
      <x:c r="H480" s="9"/>
      <x:c r="I480" s="11"/>
      <x:c r="J480" s="11"/>
      <x:c r="K480" s="9"/>
      <x:c r="L480" s="9"/>
      <x:c r="M480" s="12" t="str">
        <x:f>IF(A480="","",IF(G480="","À compléter",IF(AND(ISNUMBER(J480),J480&lt;='Tableau de bord'!$F$5),"Réalisée",IF(I480="","À compléter",IF(I480&lt;'Tableau de bord'!$F$5,"Retard","À venir")))))</x:f>
      </x:c>
      <x:c r="N480" s="12" t="str">
        <x:f>IF(OR(A480="",I480=""),"",IF(M480="Retard",'Tableau de bord'!$F$5-I480,0))</x:f>
      </x:c>
      <x:c r="O480" s="9"/>
      <x:c r="P480" s="12" t="str">
        <x:f>IF(A480="","",IF(OR(B480="",G480="",H480="",E480=""),"À compléter",IF(COUNTIFS($A$6:$A$505,A480,$B$6:$B$505,B480)&gt;1,"Doublon ID",IF(AND(ISNUMBER(J480),J480&lt;E480),"Incohérent",""))))</x:f>
      </x:c>
    </x:row>
    <x:row r="481" ht="23" customHeight="1">
      <x:c r="A481" s="9"/>
      <x:c r="B481" s="9"/>
      <x:c r="C481" s="9"/>
      <x:c r="D481" s="9"/>
      <x:c r="E481" s="11"/>
      <x:c r="F481" s="9"/>
      <x:c r="G481" s="9"/>
      <x:c r="H481" s="9"/>
      <x:c r="I481" s="11"/>
      <x:c r="J481" s="11"/>
      <x:c r="K481" s="9"/>
      <x:c r="L481" s="9"/>
      <x:c r="M481" s="12" t="str">
        <x:f>IF(A481="","",IF(G481="","À compléter",IF(AND(ISNUMBER(J481),J481&lt;='Tableau de bord'!$F$5),"Réalisée",IF(I481="","À compléter",IF(I481&lt;'Tableau de bord'!$F$5,"Retard","À venir")))))</x:f>
      </x:c>
      <x:c r="N481" s="12" t="str">
        <x:f>IF(OR(A481="",I481=""),"",IF(M481="Retard",'Tableau de bord'!$F$5-I481,0))</x:f>
      </x:c>
      <x:c r="O481" s="9"/>
      <x:c r="P481" s="12" t="str">
        <x:f>IF(A481="","",IF(OR(B481="",G481="",H481="",E481=""),"À compléter",IF(COUNTIFS($A$6:$A$505,A481,$B$6:$B$505,B481)&gt;1,"Doublon ID",IF(AND(ISNUMBER(J481),J481&lt;E481),"Incohérent",""))))</x:f>
      </x:c>
    </x:row>
    <x:row r="482" ht="23" customHeight="1">
      <x:c r="A482" s="9"/>
      <x:c r="B482" s="9"/>
      <x:c r="C482" s="9"/>
      <x:c r="D482" s="9"/>
      <x:c r="E482" s="11"/>
      <x:c r="F482" s="9"/>
      <x:c r="G482" s="9"/>
      <x:c r="H482" s="9"/>
      <x:c r="I482" s="11"/>
      <x:c r="J482" s="11"/>
      <x:c r="K482" s="9"/>
      <x:c r="L482" s="9"/>
      <x:c r="M482" s="12" t="str">
        <x:f>IF(A482="","",IF(G482="","À compléter",IF(AND(ISNUMBER(J482),J482&lt;='Tableau de bord'!$F$5),"Réalisée",IF(I482="","À compléter",IF(I482&lt;'Tableau de bord'!$F$5,"Retard","À venir")))))</x:f>
      </x:c>
      <x:c r="N482" s="12" t="str">
        <x:f>IF(OR(A482="",I482=""),"",IF(M482="Retard",'Tableau de bord'!$F$5-I482,0))</x:f>
      </x:c>
      <x:c r="O482" s="9"/>
      <x:c r="P482" s="12" t="str">
        <x:f>IF(A482="","",IF(OR(B482="",G482="",H482="",E482=""),"À compléter",IF(COUNTIFS($A$6:$A$505,A482,$B$6:$B$505,B482)&gt;1,"Doublon ID",IF(AND(ISNUMBER(J482),J482&lt;E482),"Incohérent",""))))</x:f>
      </x:c>
    </x:row>
    <x:row r="483" ht="23" customHeight="1">
      <x:c r="A483" s="9"/>
      <x:c r="B483" s="9"/>
      <x:c r="C483" s="9"/>
      <x:c r="D483" s="9"/>
      <x:c r="E483" s="11"/>
      <x:c r="F483" s="9"/>
      <x:c r="G483" s="9"/>
      <x:c r="H483" s="9"/>
      <x:c r="I483" s="11"/>
      <x:c r="J483" s="11"/>
      <x:c r="K483" s="9"/>
      <x:c r="L483" s="9"/>
      <x:c r="M483" s="12" t="str">
        <x:f>IF(A483="","",IF(G483="","À compléter",IF(AND(ISNUMBER(J483),J483&lt;='Tableau de bord'!$F$5),"Réalisée",IF(I483="","À compléter",IF(I483&lt;'Tableau de bord'!$F$5,"Retard","À venir")))))</x:f>
      </x:c>
      <x:c r="N483" s="12" t="str">
        <x:f>IF(OR(A483="",I483=""),"",IF(M483="Retard",'Tableau de bord'!$F$5-I483,0))</x:f>
      </x:c>
      <x:c r="O483" s="9"/>
      <x:c r="P483" s="12" t="str">
        <x:f>IF(A483="","",IF(OR(B483="",G483="",H483="",E483=""),"À compléter",IF(COUNTIFS($A$6:$A$505,A483,$B$6:$B$505,B483)&gt;1,"Doublon ID",IF(AND(ISNUMBER(J483),J483&lt;E483),"Incohérent",""))))</x:f>
      </x:c>
    </x:row>
    <x:row r="484" ht="23" customHeight="1">
      <x:c r="A484" s="9"/>
      <x:c r="B484" s="9"/>
      <x:c r="C484" s="9"/>
      <x:c r="D484" s="9"/>
      <x:c r="E484" s="11"/>
      <x:c r="F484" s="9"/>
      <x:c r="G484" s="9"/>
      <x:c r="H484" s="9"/>
      <x:c r="I484" s="11"/>
      <x:c r="J484" s="11"/>
      <x:c r="K484" s="9"/>
      <x:c r="L484" s="9"/>
      <x:c r="M484" s="12" t="str">
        <x:f>IF(A484="","",IF(G484="","À compléter",IF(AND(ISNUMBER(J484),J484&lt;='Tableau de bord'!$F$5),"Réalisée",IF(I484="","À compléter",IF(I484&lt;'Tableau de bord'!$F$5,"Retard","À venir")))))</x:f>
      </x:c>
      <x:c r="N484" s="12" t="str">
        <x:f>IF(OR(A484="",I484=""),"",IF(M484="Retard",'Tableau de bord'!$F$5-I484,0))</x:f>
      </x:c>
      <x:c r="O484" s="9"/>
      <x:c r="P484" s="12" t="str">
        <x:f>IF(A484="","",IF(OR(B484="",G484="",H484="",E484=""),"À compléter",IF(COUNTIFS($A$6:$A$505,A484,$B$6:$B$505,B484)&gt;1,"Doublon ID",IF(AND(ISNUMBER(J484),J484&lt;E484),"Incohérent",""))))</x:f>
      </x:c>
    </x:row>
    <x:row r="485" ht="23" customHeight="1">
      <x:c r="A485" s="9"/>
      <x:c r="B485" s="9"/>
      <x:c r="C485" s="9"/>
      <x:c r="D485" s="9"/>
      <x:c r="E485" s="11"/>
      <x:c r="F485" s="9"/>
      <x:c r="G485" s="9"/>
      <x:c r="H485" s="9"/>
      <x:c r="I485" s="11"/>
      <x:c r="J485" s="11"/>
      <x:c r="K485" s="9"/>
      <x:c r="L485" s="9"/>
      <x:c r="M485" s="12" t="str">
        <x:f>IF(A485="","",IF(G485="","À compléter",IF(AND(ISNUMBER(J485),J485&lt;='Tableau de bord'!$F$5),"Réalisée",IF(I485="","À compléter",IF(I485&lt;'Tableau de bord'!$F$5,"Retard","À venir")))))</x:f>
      </x:c>
      <x:c r="N485" s="12" t="str">
        <x:f>IF(OR(A485="",I485=""),"",IF(M485="Retard",'Tableau de bord'!$F$5-I485,0))</x:f>
      </x:c>
      <x:c r="O485" s="9"/>
      <x:c r="P485" s="12" t="str">
        <x:f>IF(A485="","",IF(OR(B485="",G485="",H485="",E485=""),"À compléter",IF(COUNTIFS($A$6:$A$505,A485,$B$6:$B$505,B485)&gt;1,"Doublon ID",IF(AND(ISNUMBER(J485),J485&lt;E485),"Incohérent",""))))</x:f>
      </x:c>
    </x:row>
    <x:row r="486" ht="23" customHeight="1">
      <x:c r="A486" s="9"/>
      <x:c r="B486" s="9"/>
      <x:c r="C486" s="9"/>
      <x:c r="D486" s="9"/>
      <x:c r="E486" s="11"/>
      <x:c r="F486" s="9"/>
      <x:c r="G486" s="9"/>
      <x:c r="H486" s="9"/>
      <x:c r="I486" s="11"/>
      <x:c r="J486" s="11"/>
      <x:c r="K486" s="9"/>
      <x:c r="L486" s="9"/>
      <x:c r="M486" s="12" t="str">
        <x:f>IF(A486="","",IF(G486="","À compléter",IF(AND(ISNUMBER(J486),J486&lt;='Tableau de bord'!$F$5),"Réalisée",IF(I486="","À compléter",IF(I486&lt;'Tableau de bord'!$F$5,"Retard","À venir")))))</x:f>
      </x:c>
      <x:c r="N486" s="12" t="str">
        <x:f>IF(OR(A486="",I486=""),"",IF(M486="Retard",'Tableau de bord'!$F$5-I486,0))</x:f>
      </x:c>
      <x:c r="O486" s="9"/>
      <x:c r="P486" s="12" t="str">
        <x:f>IF(A486="","",IF(OR(B486="",G486="",H486="",E486=""),"À compléter",IF(COUNTIFS($A$6:$A$505,A486,$B$6:$B$505,B486)&gt;1,"Doublon ID",IF(AND(ISNUMBER(J486),J486&lt;E486),"Incohérent",""))))</x:f>
      </x:c>
    </x:row>
    <x:row r="487" ht="23" customHeight="1">
      <x:c r="A487" s="9"/>
      <x:c r="B487" s="9"/>
      <x:c r="C487" s="9"/>
      <x:c r="D487" s="9"/>
      <x:c r="E487" s="11"/>
      <x:c r="F487" s="9"/>
      <x:c r="G487" s="9"/>
      <x:c r="H487" s="9"/>
      <x:c r="I487" s="11"/>
      <x:c r="J487" s="11"/>
      <x:c r="K487" s="9"/>
      <x:c r="L487" s="9"/>
      <x:c r="M487" s="12" t="str">
        <x:f>IF(A487="","",IF(G487="","À compléter",IF(AND(ISNUMBER(J487),J487&lt;='Tableau de bord'!$F$5),"Réalisée",IF(I487="","À compléter",IF(I487&lt;'Tableau de bord'!$F$5,"Retard","À venir")))))</x:f>
      </x:c>
      <x:c r="N487" s="12" t="str">
        <x:f>IF(OR(A487="",I487=""),"",IF(M487="Retard",'Tableau de bord'!$F$5-I487,0))</x:f>
      </x:c>
      <x:c r="O487" s="9"/>
      <x:c r="P487" s="12" t="str">
        <x:f>IF(A487="","",IF(OR(B487="",G487="",H487="",E487=""),"À compléter",IF(COUNTIFS($A$6:$A$505,A487,$B$6:$B$505,B487)&gt;1,"Doublon ID",IF(AND(ISNUMBER(J487),J487&lt;E487),"Incohérent",""))))</x:f>
      </x:c>
    </x:row>
    <x:row r="488" ht="23" customHeight="1">
      <x:c r="A488" s="9"/>
      <x:c r="B488" s="9"/>
      <x:c r="C488" s="9"/>
      <x:c r="D488" s="9"/>
      <x:c r="E488" s="11"/>
      <x:c r="F488" s="9"/>
      <x:c r="G488" s="9"/>
      <x:c r="H488" s="9"/>
      <x:c r="I488" s="11"/>
      <x:c r="J488" s="11"/>
      <x:c r="K488" s="9"/>
      <x:c r="L488" s="9"/>
      <x:c r="M488" s="12" t="str">
        <x:f>IF(A488="","",IF(G488="","À compléter",IF(AND(ISNUMBER(J488),J488&lt;='Tableau de bord'!$F$5),"Réalisée",IF(I488="","À compléter",IF(I488&lt;'Tableau de bord'!$F$5,"Retard","À venir")))))</x:f>
      </x:c>
      <x:c r="N488" s="12" t="str">
        <x:f>IF(OR(A488="",I488=""),"",IF(M488="Retard",'Tableau de bord'!$F$5-I488,0))</x:f>
      </x:c>
      <x:c r="O488" s="9"/>
      <x:c r="P488" s="12" t="str">
        <x:f>IF(A488="","",IF(OR(B488="",G488="",H488="",E488=""),"À compléter",IF(COUNTIFS($A$6:$A$505,A488,$B$6:$B$505,B488)&gt;1,"Doublon ID",IF(AND(ISNUMBER(J488),J488&lt;E488),"Incohérent",""))))</x:f>
      </x:c>
    </x:row>
    <x:row r="489" ht="23" customHeight="1">
      <x:c r="A489" s="9"/>
      <x:c r="B489" s="9"/>
      <x:c r="C489" s="9"/>
      <x:c r="D489" s="9"/>
      <x:c r="E489" s="11"/>
      <x:c r="F489" s="9"/>
      <x:c r="G489" s="9"/>
      <x:c r="H489" s="9"/>
      <x:c r="I489" s="11"/>
      <x:c r="J489" s="11"/>
      <x:c r="K489" s="9"/>
      <x:c r="L489" s="9"/>
      <x:c r="M489" s="12" t="str">
        <x:f>IF(A489="","",IF(G489="","À compléter",IF(AND(ISNUMBER(J489),J489&lt;='Tableau de bord'!$F$5),"Réalisée",IF(I489="","À compléter",IF(I489&lt;'Tableau de bord'!$F$5,"Retard","À venir")))))</x:f>
      </x:c>
      <x:c r="N489" s="12" t="str">
        <x:f>IF(OR(A489="",I489=""),"",IF(M489="Retard",'Tableau de bord'!$F$5-I489,0))</x:f>
      </x:c>
      <x:c r="O489" s="9"/>
      <x:c r="P489" s="12" t="str">
        <x:f>IF(A489="","",IF(OR(B489="",G489="",H489="",E489=""),"À compléter",IF(COUNTIFS($A$6:$A$505,A489,$B$6:$B$505,B489)&gt;1,"Doublon ID",IF(AND(ISNUMBER(J489),J489&lt;E489),"Incohérent",""))))</x:f>
      </x:c>
    </x:row>
    <x:row r="490" ht="23" customHeight="1">
      <x:c r="A490" s="9"/>
      <x:c r="B490" s="9"/>
      <x:c r="C490" s="9"/>
      <x:c r="D490" s="9"/>
      <x:c r="E490" s="11"/>
      <x:c r="F490" s="9"/>
      <x:c r="G490" s="9"/>
      <x:c r="H490" s="9"/>
      <x:c r="I490" s="11"/>
      <x:c r="J490" s="11"/>
      <x:c r="K490" s="9"/>
      <x:c r="L490" s="9"/>
      <x:c r="M490" s="12" t="str">
        <x:f>IF(A490="","",IF(G490="","À compléter",IF(AND(ISNUMBER(J490),J490&lt;='Tableau de bord'!$F$5),"Réalisée",IF(I490="","À compléter",IF(I490&lt;'Tableau de bord'!$F$5,"Retard","À venir")))))</x:f>
      </x:c>
      <x:c r="N490" s="12" t="str">
        <x:f>IF(OR(A490="",I490=""),"",IF(M490="Retard",'Tableau de bord'!$F$5-I490,0))</x:f>
      </x:c>
      <x:c r="O490" s="9"/>
      <x:c r="P490" s="12" t="str">
        <x:f>IF(A490="","",IF(OR(B490="",G490="",H490="",E490=""),"À compléter",IF(COUNTIFS($A$6:$A$505,A490,$B$6:$B$505,B490)&gt;1,"Doublon ID",IF(AND(ISNUMBER(J490),J490&lt;E490),"Incohérent",""))))</x:f>
      </x:c>
    </x:row>
    <x:row r="491" ht="23" customHeight="1">
      <x:c r="A491" s="9"/>
      <x:c r="B491" s="9"/>
      <x:c r="C491" s="9"/>
      <x:c r="D491" s="9"/>
      <x:c r="E491" s="11"/>
      <x:c r="F491" s="9"/>
      <x:c r="G491" s="9"/>
      <x:c r="H491" s="9"/>
      <x:c r="I491" s="11"/>
      <x:c r="J491" s="11"/>
      <x:c r="K491" s="9"/>
      <x:c r="L491" s="9"/>
      <x:c r="M491" s="12" t="str">
        <x:f>IF(A491="","",IF(G491="","À compléter",IF(AND(ISNUMBER(J491),J491&lt;='Tableau de bord'!$F$5),"Réalisée",IF(I491="","À compléter",IF(I491&lt;'Tableau de bord'!$F$5,"Retard","À venir")))))</x:f>
      </x:c>
      <x:c r="N491" s="12" t="str">
        <x:f>IF(OR(A491="",I491=""),"",IF(M491="Retard",'Tableau de bord'!$F$5-I491,0))</x:f>
      </x:c>
      <x:c r="O491" s="9"/>
      <x:c r="P491" s="12" t="str">
        <x:f>IF(A491="","",IF(OR(B491="",G491="",H491="",E491=""),"À compléter",IF(COUNTIFS($A$6:$A$505,A491,$B$6:$B$505,B491)&gt;1,"Doublon ID",IF(AND(ISNUMBER(J491),J491&lt;E491),"Incohérent",""))))</x:f>
      </x:c>
    </x:row>
    <x:row r="492" ht="23" customHeight="1">
      <x:c r="A492" s="9"/>
      <x:c r="B492" s="9"/>
      <x:c r="C492" s="9"/>
      <x:c r="D492" s="9"/>
      <x:c r="E492" s="11"/>
      <x:c r="F492" s="9"/>
      <x:c r="G492" s="9"/>
      <x:c r="H492" s="9"/>
      <x:c r="I492" s="11"/>
      <x:c r="J492" s="11"/>
      <x:c r="K492" s="9"/>
      <x:c r="L492" s="9"/>
      <x:c r="M492" s="12" t="str">
        <x:f>IF(A492="","",IF(G492="","À compléter",IF(AND(ISNUMBER(J492),J492&lt;='Tableau de bord'!$F$5),"Réalisée",IF(I492="","À compléter",IF(I492&lt;'Tableau de bord'!$F$5,"Retard","À venir")))))</x:f>
      </x:c>
      <x:c r="N492" s="12" t="str">
        <x:f>IF(OR(A492="",I492=""),"",IF(M492="Retard",'Tableau de bord'!$F$5-I492,0))</x:f>
      </x:c>
      <x:c r="O492" s="9"/>
      <x:c r="P492" s="12" t="str">
        <x:f>IF(A492="","",IF(OR(B492="",G492="",H492="",E492=""),"À compléter",IF(COUNTIFS($A$6:$A$505,A492,$B$6:$B$505,B492)&gt;1,"Doublon ID",IF(AND(ISNUMBER(J492),J492&lt;E492),"Incohérent",""))))</x:f>
      </x:c>
    </x:row>
    <x:row r="493" ht="23" customHeight="1">
      <x:c r="A493" s="9"/>
      <x:c r="B493" s="9"/>
      <x:c r="C493" s="9"/>
      <x:c r="D493" s="9"/>
      <x:c r="E493" s="11"/>
      <x:c r="F493" s="9"/>
      <x:c r="G493" s="9"/>
      <x:c r="H493" s="9"/>
      <x:c r="I493" s="11"/>
      <x:c r="J493" s="11"/>
      <x:c r="K493" s="9"/>
      <x:c r="L493" s="9"/>
      <x:c r="M493" s="12" t="str">
        <x:f>IF(A493="","",IF(G493="","À compléter",IF(AND(ISNUMBER(J493),J493&lt;='Tableau de bord'!$F$5),"Réalisée",IF(I493="","À compléter",IF(I493&lt;'Tableau de bord'!$F$5,"Retard","À venir")))))</x:f>
      </x:c>
      <x:c r="N493" s="12" t="str">
        <x:f>IF(OR(A493="",I493=""),"",IF(M493="Retard",'Tableau de bord'!$F$5-I493,0))</x:f>
      </x:c>
      <x:c r="O493" s="9"/>
      <x:c r="P493" s="12" t="str">
        <x:f>IF(A493="","",IF(OR(B493="",G493="",H493="",E493=""),"À compléter",IF(COUNTIFS($A$6:$A$505,A493,$B$6:$B$505,B493)&gt;1,"Doublon ID",IF(AND(ISNUMBER(J493),J493&lt;E493),"Incohérent",""))))</x:f>
      </x:c>
    </x:row>
    <x:row r="494" ht="23" customHeight="1">
      <x:c r="A494" s="9"/>
      <x:c r="B494" s="9"/>
      <x:c r="C494" s="9"/>
      <x:c r="D494" s="9"/>
      <x:c r="E494" s="11"/>
      <x:c r="F494" s="9"/>
      <x:c r="G494" s="9"/>
      <x:c r="H494" s="9"/>
      <x:c r="I494" s="11"/>
      <x:c r="J494" s="11"/>
      <x:c r="K494" s="9"/>
      <x:c r="L494" s="9"/>
      <x:c r="M494" s="12" t="str">
        <x:f>IF(A494="","",IF(G494="","À compléter",IF(AND(ISNUMBER(J494),J494&lt;='Tableau de bord'!$F$5),"Réalisée",IF(I494="","À compléter",IF(I494&lt;'Tableau de bord'!$F$5,"Retard","À venir")))))</x:f>
      </x:c>
      <x:c r="N494" s="12" t="str">
        <x:f>IF(OR(A494="",I494=""),"",IF(M494="Retard",'Tableau de bord'!$F$5-I494,0))</x:f>
      </x:c>
      <x:c r="O494" s="9"/>
      <x:c r="P494" s="12" t="str">
        <x:f>IF(A494="","",IF(OR(B494="",G494="",H494="",E494=""),"À compléter",IF(COUNTIFS($A$6:$A$505,A494,$B$6:$B$505,B494)&gt;1,"Doublon ID",IF(AND(ISNUMBER(J494),J494&lt;E494),"Incohérent",""))))</x:f>
      </x:c>
    </x:row>
    <x:row r="495" ht="23" customHeight="1">
      <x:c r="A495" s="9"/>
      <x:c r="B495" s="9"/>
      <x:c r="C495" s="9"/>
      <x:c r="D495" s="9"/>
      <x:c r="E495" s="11"/>
      <x:c r="F495" s="9"/>
      <x:c r="G495" s="9"/>
      <x:c r="H495" s="9"/>
      <x:c r="I495" s="11"/>
      <x:c r="J495" s="11"/>
      <x:c r="K495" s="9"/>
      <x:c r="L495" s="9"/>
      <x:c r="M495" s="12" t="str">
        <x:f>IF(A495="","",IF(G495="","À compléter",IF(AND(ISNUMBER(J495),J495&lt;='Tableau de bord'!$F$5),"Réalisée",IF(I495="","À compléter",IF(I495&lt;'Tableau de bord'!$F$5,"Retard","À venir")))))</x:f>
      </x:c>
      <x:c r="N495" s="12" t="str">
        <x:f>IF(OR(A495="",I495=""),"",IF(M495="Retard",'Tableau de bord'!$F$5-I495,0))</x:f>
      </x:c>
      <x:c r="O495" s="9"/>
      <x:c r="P495" s="12" t="str">
        <x:f>IF(A495="","",IF(OR(B495="",G495="",H495="",E495=""),"À compléter",IF(COUNTIFS($A$6:$A$505,A495,$B$6:$B$505,B495)&gt;1,"Doublon ID",IF(AND(ISNUMBER(J495),J495&lt;E495),"Incohérent",""))))</x:f>
      </x:c>
    </x:row>
    <x:row r="496" ht="23" customHeight="1">
      <x:c r="A496" s="9"/>
      <x:c r="B496" s="9"/>
      <x:c r="C496" s="9"/>
      <x:c r="D496" s="9"/>
      <x:c r="E496" s="11"/>
      <x:c r="F496" s="9"/>
      <x:c r="G496" s="9"/>
      <x:c r="H496" s="9"/>
      <x:c r="I496" s="11"/>
      <x:c r="J496" s="11"/>
      <x:c r="K496" s="9"/>
      <x:c r="L496" s="9"/>
      <x:c r="M496" s="12" t="str">
        <x:f>IF(A496="","",IF(G496="","À compléter",IF(AND(ISNUMBER(J496),J496&lt;='Tableau de bord'!$F$5),"Réalisée",IF(I496="","À compléter",IF(I496&lt;'Tableau de bord'!$F$5,"Retard","À venir")))))</x:f>
      </x:c>
      <x:c r="N496" s="12" t="str">
        <x:f>IF(OR(A496="",I496=""),"",IF(M496="Retard",'Tableau de bord'!$F$5-I496,0))</x:f>
      </x:c>
      <x:c r="O496" s="9"/>
      <x:c r="P496" s="12" t="str">
        <x:f>IF(A496="","",IF(OR(B496="",G496="",H496="",E496=""),"À compléter",IF(COUNTIFS($A$6:$A$505,A496,$B$6:$B$505,B496)&gt;1,"Doublon ID",IF(AND(ISNUMBER(J496),J496&lt;E496),"Incohérent",""))))</x:f>
      </x:c>
    </x:row>
    <x:row r="497" ht="23" customHeight="1">
      <x:c r="A497" s="9"/>
      <x:c r="B497" s="9"/>
      <x:c r="C497" s="9"/>
      <x:c r="D497" s="9"/>
      <x:c r="E497" s="11"/>
      <x:c r="F497" s="9"/>
      <x:c r="G497" s="9"/>
      <x:c r="H497" s="9"/>
      <x:c r="I497" s="11"/>
      <x:c r="J497" s="11"/>
      <x:c r="K497" s="9"/>
      <x:c r="L497" s="9"/>
      <x:c r="M497" s="12" t="str">
        <x:f>IF(A497="","",IF(G497="","À compléter",IF(AND(ISNUMBER(J497),J497&lt;='Tableau de bord'!$F$5),"Réalisée",IF(I497="","À compléter",IF(I497&lt;'Tableau de bord'!$F$5,"Retard","À venir")))))</x:f>
      </x:c>
      <x:c r="N497" s="12" t="str">
        <x:f>IF(OR(A497="",I497=""),"",IF(M497="Retard",'Tableau de bord'!$F$5-I497,0))</x:f>
      </x:c>
      <x:c r="O497" s="9"/>
      <x:c r="P497" s="12" t="str">
        <x:f>IF(A497="","",IF(OR(B497="",G497="",H497="",E497=""),"À compléter",IF(COUNTIFS($A$6:$A$505,A497,$B$6:$B$505,B497)&gt;1,"Doublon ID",IF(AND(ISNUMBER(J497),J497&lt;E497),"Incohérent",""))))</x:f>
      </x:c>
    </x:row>
    <x:row r="498" ht="23" customHeight="1">
      <x:c r="A498" s="9"/>
      <x:c r="B498" s="9"/>
      <x:c r="C498" s="9"/>
      <x:c r="D498" s="9"/>
      <x:c r="E498" s="11"/>
      <x:c r="F498" s="9"/>
      <x:c r="G498" s="9"/>
      <x:c r="H498" s="9"/>
      <x:c r="I498" s="11"/>
      <x:c r="J498" s="11"/>
      <x:c r="K498" s="9"/>
      <x:c r="L498" s="9"/>
      <x:c r="M498" s="12" t="str">
        <x:f>IF(A498="","",IF(G498="","À compléter",IF(AND(ISNUMBER(J498),J498&lt;='Tableau de bord'!$F$5),"Réalisée",IF(I498="","À compléter",IF(I498&lt;'Tableau de bord'!$F$5,"Retard","À venir")))))</x:f>
      </x:c>
      <x:c r="N498" s="12" t="str">
        <x:f>IF(OR(A498="",I498=""),"",IF(M498="Retard",'Tableau de bord'!$F$5-I498,0))</x:f>
      </x:c>
      <x:c r="O498" s="9"/>
      <x:c r="P498" s="12" t="str">
        <x:f>IF(A498="","",IF(OR(B498="",G498="",H498="",E498=""),"À compléter",IF(COUNTIFS($A$6:$A$505,A498,$B$6:$B$505,B498)&gt;1,"Doublon ID",IF(AND(ISNUMBER(J498),J498&lt;E498),"Incohérent",""))))</x:f>
      </x:c>
    </x:row>
    <x:row r="499" ht="23" customHeight="1">
      <x:c r="A499" s="9"/>
      <x:c r="B499" s="9"/>
      <x:c r="C499" s="9"/>
      <x:c r="D499" s="9"/>
      <x:c r="E499" s="11"/>
      <x:c r="F499" s="9"/>
      <x:c r="G499" s="9"/>
      <x:c r="H499" s="9"/>
      <x:c r="I499" s="11"/>
      <x:c r="J499" s="11"/>
      <x:c r="K499" s="9"/>
      <x:c r="L499" s="9"/>
      <x:c r="M499" s="12" t="str">
        <x:f>IF(A499="","",IF(G499="","À compléter",IF(AND(ISNUMBER(J499),J499&lt;='Tableau de bord'!$F$5),"Réalisée",IF(I499="","À compléter",IF(I499&lt;'Tableau de bord'!$F$5,"Retard","À venir")))))</x:f>
      </x:c>
      <x:c r="N499" s="12" t="str">
        <x:f>IF(OR(A499="",I499=""),"",IF(M499="Retard",'Tableau de bord'!$F$5-I499,0))</x:f>
      </x:c>
      <x:c r="O499" s="9"/>
      <x:c r="P499" s="12" t="str">
        <x:f>IF(A499="","",IF(OR(B499="",G499="",H499="",E499=""),"À compléter",IF(COUNTIFS($A$6:$A$505,A499,$B$6:$B$505,B499)&gt;1,"Doublon ID",IF(AND(ISNUMBER(J499),J499&lt;E499),"Incohérent",""))))</x:f>
      </x:c>
    </x:row>
    <x:row r="500" ht="23" customHeight="1">
      <x:c r="A500" s="9"/>
      <x:c r="B500" s="9"/>
      <x:c r="C500" s="9"/>
      <x:c r="D500" s="9"/>
      <x:c r="E500" s="11"/>
      <x:c r="F500" s="9"/>
      <x:c r="G500" s="9"/>
      <x:c r="H500" s="9"/>
      <x:c r="I500" s="11"/>
      <x:c r="J500" s="11"/>
      <x:c r="K500" s="9"/>
      <x:c r="L500" s="9"/>
      <x:c r="M500" s="12" t="str">
        <x:f>IF(A500="","",IF(G500="","À compléter",IF(AND(ISNUMBER(J500),J500&lt;='Tableau de bord'!$F$5),"Réalisée",IF(I500="","À compléter",IF(I500&lt;'Tableau de bord'!$F$5,"Retard","À venir")))))</x:f>
      </x:c>
      <x:c r="N500" s="12" t="str">
        <x:f>IF(OR(A500="",I500=""),"",IF(M500="Retard",'Tableau de bord'!$F$5-I500,0))</x:f>
      </x:c>
      <x:c r="O500" s="9"/>
      <x:c r="P500" s="12" t="str">
        <x:f>IF(A500="","",IF(OR(B500="",G500="",H500="",E500=""),"À compléter",IF(COUNTIFS($A$6:$A$505,A500,$B$6:$B$505,B500)&gt;1,"Doublon ID",IF(AND(ISNUMBER(J500),J500&lt;E500),"Incohérent",""))))</x:f>
      </x:c>
    </x:row>
    <x:row r="501" ht="23" customHeight="1">
      <x:c r="A501" s="9"/>
      <x:c r="B501" s="9"/>
      <x:c r="C501" s="9"/>
      <x:c r="D501" s="9"/>
      <x:c r="E501" s="11"/>
      <x:c r="F501" s="9"/>
      <x:c r="G501" s="9"/>
      <x:c r="H501" s="9"/>
      <x:c r="I501" s="11"/>
      <x:c r="J501" s="11"/>
      <x:c r="K501" s="9"/>
      <x:c r="L501" s="9"/>
      <x:c r="M501" s="12" t="str">
        <x:f>IF(A501="","",IF(G501="","À compléter",IF(AND(ISNUMBER(J501),J501&lt;='Tableau de bord'!$F$5),"Réalisée",IF(I501="","À compléter",IF(I501&lt;'Tableau de bord'!$F$5,"Retard","À venir")))))</x:f>
      </x:c>
      <x:c r="N501" s="12" t="str">
        <x:f>IF(OR(A501="",I501=""),"",IF(M501="Retard",'Tableau de bord'!$F$5-I501,0))</x:f>
      </x:c>
      <x:c r="O501" s="9"/>
      <x:c r="P501" s="12" t="str">
        <x:f>IF(A501="","",IF(OR(B501="",G501="",H501="",E501=""),"À compléter",IF(COUNTIFS($A$6:$A$505,A501,$B$6:$B$505,B501)&gt;1,"Doublon ID",IF(AND(ISNUMBER(J501),J501&lt;E501),"Incohérent",""))))</x:f>
      </x:c>
    </x:row>
    <x:row r="502" ht="23" customHeight="1">
      <x:c r="A502" s="9"/>
      <x:c r="B502" s="9"/>
      <x:c r="C502" s="9"/>
      <x:c r="D502" s="9"/>
      <x:c r="E502" s="11"/>
      <x:c r="F502" s="9"/>
      <x:c r="G502" s="9"/>
      <x:c r="H502" s="9"/>
      <x:c r="I502" s="11"/>
      <x:c r="J502" s="11"/>
      <x:c r="K502" s="9"/>
      <x:c r="L502" s="9"/>
      <x:c r="M502" s="12" t="str">
        <x:f>IF(A502="","",IF(G502="","À compléter",IF(AND(ISNUMBER(J502),J502&lt;='Tableau de bord'!$F$5),"Réalisée",IF(I502="","À compléter",IF(I502&lt;'Tableau de bord'!$F$5,"Retard","À venir")))))</x:f>
      </x:c>
      <x:c r="N502" s="12" t="str">
        <x:f>IF(OR(A502="",I502=""),"",IF(M502="Retard",'Tableau de bord'!$F$5-I502,0))</x:f>
      </x:c>
      <x:c r="O502" s="9"/>
      <x:c r="P502" s="12" t="str">
        <x:f>IF(A502="","",IF(OR(B502="",G502="",H502="",E502=""),"À compléter",IF(COUNTIFS($A$6:$A$505,A502,$B$6:$B$505,B502)&gt;1,"Doublon ID",IF(AND(ISNUMBER(J502),J502&lt;E502),"Incohérent",""))))</x:f>
      </x:c>
    </x:row>
    <x:row r="503" ht="23" customHeight="1">
      <x:c r="A503" s="9"/>
      <x:c r="B503" s="9"/>
      <x:c r="C503" s="9"/>
      <x:c r="D503" s="9"/>
      <x:c r="E503" s="11"/>
      <x:c r="F503" s="9"/>
      <x:c r="G503" s="9"/>
      <x:c r="H503" s="9"/>
      <x:c r="I503" s="11"/>
      <x:c r="J503" s="11"/>
      <x:c r="K503" s="9"/>
      <x:c r="L503" s="9"/>
      <x:c r="M503" s="12" t="str">
        <x:f>IF(A503="","",IF(G503="","À compléter",IF(AND(ISNUMBER(J503),J503&lt;='Tableau de bord'!$F$5),"Réalisée",IF(I503="","À compléter",IF(I503&lt;'Tableau de bord'!$F$5,"Retard","À venir")))))</x:f>
      </x:c>
      <x:c r="N503" s="12" t="str">
        <x:f>IF(OR(A503="",I503=""),"",IF(M503="Retard",'Tableau de bord'!$F$5-I503,0))</x:f>
      </x:c>
      <x:c r="O503" s="9"/>
      <x:c r="P503" s="12" t="str">
        <x:f>IF(A503="","",IF(OR(B503="",G503="",H503="",E503=""),"À compléter",IF(COUNTIFS($A$6:$A$505,A503,$B$6:$B$505,B503)&gt;1,"Doublon ID",IF(AND(ISNUMBER(J503),J503&lt;E503),"Incohérent",""))))</x:f>
      </x:c>
    </x:row>
    <x:row r="504" ht="23" customHeight="1">
      <x:c r="A504" s="9"/>
      <x:c r="B504" s="9"/>
      <x:c r="C504" s="9"/>
      <x:c r="D504" s="9"/>
      <x:c r="E504" s="11"/>
      <x:c r="F504" s="9"/>
      <x:c r="G504" s="9"/>
      <x:c r="H504" s="9"/>
      <x:c r="I504" s="11"/>
      <x:c r="J504" s="11"/>
      <x:c r="K504" s="9"/>
      <x:c r="L504" s="9"/>
      <x:c r="M504" s="12" t="str">
        <x:f>IF(A504="","",IF(G504="","À compléter",IF(AND(ISNUMBER(J504),J504&lt;='Tableau de bord'!$F$5),"Réalisée",IF(I504="","À compléter",IF(I504&lt;'Tableau de bord'!$F$5,"Retard","À venir")))))</x:f>
      </x:c>
      <x:c r="N504" s="12" t="str">
        <x:f>IF(OR(A504="",I504=""),"",IF(M504="Retard",'Tableau de bord'!$F$5-I504,0))</x:f>
      </x:c>
      <x:c r="O504" s="9"/>
      <x:c r="P504" s="12" t="str">
        <x:f>IF(A504="","",IF(OR(B504="",G504="",H504="",E504=""),"À compléter",IF(COUNTIFS($A$6:$A$505,A504,$B$6:$B$505,B504)&gt;1,"Doublon ID",IF(AND(ISNUMBER(J504),J504&lt;E504),"Incohérent",""))))</x:f>
      </x:c>
    </x:row>
    <x:row r="505" ht="23" customHeight="1">
      <x:c r="A505" s="9"/>
      <x:c r="B505" s="9"/>
      <x:c r="C505" s="9"/>
      <x:c r="D505" s="9"/>
      <x:c r="E505" s="11"/>
      <x:c r="F505" s="9"/>
      <x:c r="G505" s="9"/>
      <x:c r="H505" s="9"/>
      <x:c r="I505" s="11"/>
      <x:c r="J505" s="11"/>
      <x:c r="K505" s="9"/>
      <x:c r="L505" s="9"/>
      <x:c r="M505" s="12" t="str">
        <x:f>IF(A505="","",IF(G505="","À compléter",IF(AND(ISNUMBER(J505),J505&lt;='Tableau de bord'!$F$5),"Réalisée",IF(I505="","À compléter",IF(I505&lt;'Tableau de bord'!$F$5,"Retard","À venir")))))</x:f>
      </x:c>
      <x:c r="N505" s="12" t="str">
        <x:f>IF(OR(A505="",I505=""),"",IF(M505="Retard",'Tableau de bord'!$F$5-I505,0))</x:f>
      </x:c>
      <x:c r="O505" s="9"/>
      <x:c r="P505" s="12" t="str">
        <x:f>IF(A505="","",IF(OR(B505="",G505="",H505="",E505=""),"À compléter",IF(COUNTIFS($A$6:$A$505,A505,$B$6:$B$505,B505)&gt;1,"Doublon ID",IF(AND(ISNUMBER(J505),J505&lt;E505),"Incohérent",""))))</x:f>
      </x:c>
    </x:row>
  </x:sheetData>
  <x:conditionalFormatting sqref="M6:M505">
    <x:cfRule type="containsText" dxfId="6" priority="1" operator="containsText" text="Retard"/>
    <x:cfRule type="containsText" dxfId="7" priority="2" operator="containsText" text="Expiré"/>
    <x:cfRule type="containsText" dxfId="8" priority="3" operator="containsText" text="À compléter"/>
    <x:cfRule type="containsText" dxfId="9" priority="4" operator="containsText" text="Incohérent"/>
    <x:cfRule type="containsText" dxfId="10" priority="5" operator="containsText" text="Doublon"/>
    <x:cfRule type="containsText" dxfId="11" priority="6" operator="containsText" text="À renouveler"/>
  </x:conditionalFormatting>
  <x:conditionalFormatting sqref="P6:P505">
    <x:cfRule type="containsText" dxfId="12" priority="7" operator="containsText" text="Retard"/>
    <x:cfRule type="containsText" dxfId="13" priority="8" operator="containsText" text="Expiré"/>
    <x:cfRule type="containsText" dxfId="14" priority="9" operator="containsText" text="À compléter"/>
    <x:cfRule type="containsText" dxfId="15" priority="10" operator="containsText" text="Incohérent"/>
    <x:cfRule type="containsText" dxfId="16" priority="11" operator="containsText" text="Doublon"/>
    <x:cfRule type="containsText" dxfId="17" priority="12" operator="containsText" text="À renouveler"/>
  </x:conditionalFormatting>
  <x:dataValidations count="2">
    <x:dataValidation type="list" sqref="K6:K505">
      <x:formula1>"Non vérifiée,Efficace,A revoir"</x:formula1>
    </x:dataValidation>
    <x:dataValidation type="list" sqref="A6:A505">
      <x:formula1>'Paramètres'!$A$6:$A$25</x:formula1>
    </x:dataValidation>
  </x:dataValidations>
  <x:pageMargins left="0.7" right="0.7" top="0.75" bottom="0.75" header="0.3" footer="0.3"/>
  <x:tableParts count="1">
    <x:tablePart xmlns:r="http://schemas.openxmlformats.org/officeDocument/2006/relationships" r:id="R3d8bbd6241174be3"/>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15" hidden="0" customWidth="1"/>
    <x:col min="3" max="3" width="18" hidden="0" customWidth="1"/>
    <x:col min="4" max="4" width="43" hidden="0" customWidth="1"/>
    <x:col min="5" max="5" width="21" hidden="0" customWidth="1"/>
    <x:col min="6" max="6" width="18" hidden="0" customWidth="1"/>
    <x:col min="7" max="7" width="17" hidden="0" customWidth="1"/>
    <x:col min="8" max="8" width="18" hidden="0" customWidth="1"/>
    <x:col min="9" max="9" width="17" hidden="0" customWidth="1"/>
    <x:col min="10" max="10" width="17" hidden="0" customWidth="1"/>
    <x:col min="11" max="11" width="20" hidden="0" customWidth="1"/>
    <x:col min="12" max="12" width="14" hidden="0" customWidth="1"/>
    <x:col min="13" max="13" width="52" hidden="0" customWidth="1"/>
    <x:col min="14" max="14" width="17" hidden="0" customWidth="1"/>
    <x:col min="15" max="15" width="24" hidden="0" customWidth="1"/>
    <x:col min="16" max="16" width="18" hidden="0" customWidth="1"/>
    <x:col min="17" max="17" width="33" hidden="0" customWidth="1"/>
    <x:col min="18" max="18" width="24" hidden="0" customWidth="1"/>
  </x:cols>
  <x:sheetData>
    <x:row r="1" ht="23" customHeight="1">
      <x:c r="A1" s="2"/>
      <x:c r="B1" s="2"/>
      <x:c r="C1" s="2"/>
      <x:c r="D1" s="2"/>
      <x:c r="E1" s="2"/>
      <x:c r="F1" s="2"/>
      <x:c r="G1" s="2"/>
      <x:c r="H1" s="2"/>
      <x:c r="I1" s="2"/>
      <x:c r="J1" s="2"/>
      <x:c r="K1" s="2"/>
      <x:c r="L1" s="2"/>
      <x:c r="M1" s="2"/>
      <x:c r="N1" s="2"/>
      <x:c r="O1" s="2"/>
      <x:c r="P1" s="2"/>
      <x:c r="Q1" s="2"/>
      <x:c r="R1" s="2"/>
    </x:row>
    <x:row r="2" ht="23" customHeight="1">
      <x:c r="A2" s="3" t="str">
        <x:v>Plans de prévention</x:v>
      </x:c>
      <x:c r="B2" s="2"/>
      <x:c r="C2" s="2"/>
      <x:c r="D2" s="2"/>
      <x:c r="E2" s="2"/>
      <x:c r="F2" s="2"/>
      <x:c r="G2" s="2"/>
      <x:c r="H2" s="2"/>
      <x:c r="I2" s="2"/>
      <x:c r="J2" s="2"/>
      <x:c r="K2" s="2"/>
      <x:c r="L2" s="2"/>
      <x:c r="M2" s="2"/>
      <x:c r="N2" s="2"/>
      <x:c r="O2" s="2"/>
      <x:c r="P2" s="2"/>
      <x:c r="Q2" s="2"/>
      <x:c r="R2" s="2"/>
    </x:row>
    <x:row r="3" ht="23" customHeight="1">
      <x:c r="A3" s="4"/>
      <x:c r="B3" s="4"/>
      <x:c r="C3" s="4"/>
      <x:c r="D3" s="4"/>
      <x:c r="E3" s="4"/>
      <x:c r="F3" s="4"/>
      <x:c r="G3" s="4"/>
      <x:c r="H3" s="4"/>
      <x:c r="I3" s="4"/>
      <x:c r="J3" s="4"/>
      <x:c r="K3" s="4"/>
      <x:c r="L3" s="4"/>
      <x:c r="M3" s="4"/>
      <x:c r="N3" s="4"/>
      <x:c r="O3" s="4"/>
      <x:c r="P3" s="4"/>
      <x:c r="Q3" s="4"/>
      <x:c r="R3" s="4"/>
    </x:row>
    <x:row r="4" ht="23" customHeight="1">
      <x:c r="A4" s="2" t="str">
        <x:v>Source : Lille_TDB QSE.xlsm. Saisie jaune, calculs gris. 500 lignes extensibles. Filtrer Ville.</x:v>
      </x:c>
      <x:c r="B4" s="2"/>
      <x:c r="C4" s="2"/>
      <x:c r="D4" s="2"/>
      <x:c r="E4" s="2"/>
      <x:c r="F4" s="2"/>
      <x:c r="G4" s="2"/>
      <x:c r="H4" s="2"/>
      <x:c r="I4" s="2"/>
      <x:c r="J4" s="2"/>
      <x:c r="K4" s="2"/>
      <x:c r="L4" s="2"/>
      <x:c r="M4" s="2"/>
      <x:c r="N4" s="2"/>
      <x:c r="O4" s="2"/>
      <x:c r="P4" s="2"/>
      <x:c r="Q4" s="2"/>
      <x:c r="R4" s="2"/>
    </x:row>
    <x:row r="5" ht="38" customHeight="1">
      <x:c r="A5" s="8" t="str">
        <x:v>Ville</x:v>
      </x:c>
      <x:c r="B5" s="8" t="str">
        <x:v>ID suivi</x:v>
      </x:c>
      <x:c r="C5" s="8" t="str">
        <x:v>OTP</x:v>
      </x:c>
      <x:c r="D5" s="8" t="str">
        <x:v>Client / site</x:v>
      </x:c>
      <x:c r="E5" s="8" t="str">
        <x:v>Responsable</x:v>
      </x:c>
      <x:c r="F5" s="8" t="str">
        <x:v>Échéance source</x:v>
      </x:c>
      <x:c r="G5" s="8" t="str">
        <x:v>Analyse faite</x:v>
      </x:c>
      <x:c r="H5" s="8" t="str">
        <x:v>Analyse envoyée</x:v>
      </x:c>
      <x:c r="I5" s="8" t="str">
        <x:v>Signé ISOR</x:v>
      </x:c>
      <x:c r="J5" s="8" t="str">
        <x:v>Signé client</x:v>
      </x:c>
      <x:c r="K5" s="8" t="str">
        <x:v>Commenté agents</x:v>
      </x:c>
      <x:c r="L5" s="8" t="str">
        <x:v>DTA</x:v>
      </x:c>
      <x:c r="M5" s="8" t="str">
        <x:v>Commentaires</x:v>
      </x:c>
      <x:c r="N5" s="8" t="str">
        <x:v>Jours restants</x:v>
      </x:c>
      <x:c r="O5" s="8" t="str">
        <x:v>État échéance</x:v>
      </x:c>
      <x:c r="P5" s="8" t="str">
        <x:v>PdP complet</x:v>
      </x:c>
      <x:c r="Q5" s="8" t="str">
        <x:v>Source</x:v>
      </x:c>
      <x:c r="R5" s="8" t="str">
        <x:v>Contrôle OTP</x:v>
      </x:c>
    </x:row>
    <x:row r="6" ht="23" customHeight="1">
      <x:c r="A6" s="9" t="str">
        <x:v>Lille</x:v>
      </x:c>
      <x:c r="B6" s="9" t="str">
        <x:v>PDP-12</x:v>
      </x:c>
      <x:c r="C6" s="9" t="str">
        <x:v>P110/006009</x:v>
      </x:c>
      <x:c r="D6" s="9" t="str">
        <x:v>AGENCE LILLE</x:v>
      </x:c>
      <x:c r="E6" s="9" t="str">
        <x:v>CA</x:v>
      </x:c>
      <x:c r="F6" s="11" t="n">
        <x:v>72663</x:v>
      </x:c>
      <x:c r="G6" s="9" t="str">
        <x:v>Oui</x:v>
      </x:c>
      <x:c r="H6" s="9" t="str">
        <x:v>Oui</x:v>
      </x:c>
      <x:c r="I6" s="9" t="str">
        <x:v>Oui</x:v>
      </x:c>
      <x:c r="J6" s="9" t="str">
        <x:v>Oui</x:v>
      </x:c>
      <x:c r="K6" s="9" t="str">
        <x:v>Oui</x:v>
      </x:c>
      <x:c r="L6" s="9" t="str">
        <x:v>NC</x:v>
      </x:c>
      <x:c r="M6" s="9"/>
      <x:c r="N6" s="12" t="n">
        <x:f>IF(A6="","",IF(ISNUMBER(F6),F6-'Tableau de bord'!$F$5,""))</x:f>
        <x:v>26384</x:v>
      </x:c>
      <x:c r="O6" s="12" t="str">
        <x:f>IF(A6="","",IF(ISNUMBER(F6),IF(N6&lt;0,"Expiré",IF(N6&lt;='Paramètres'!$E$6,"À renouveler","À jour")),"À compléter"))</x:f>
        <x:v>À jour</x:v>
      </x:c>
      <x:c r="P6" s="12" t="n">
        <x:f>IF(A6="","",IF(AND(ISNUMBER(F6),F6&gt;'Tableau de bord'!$F$5,G6="Oui",H6="Oui",I6="Oui",J6="Oui",K6="Oui"),1,0))</x:f>
        <x:v>1</x:v>
      </x:c>
      <x:c r="Q6" s="9" t="str">
        <x:v>Suivi PdP!A12:X12</x:v>
      </x:c>
      <x:c r="R6" s="12" t="str">
        <x:f>IF(A6="","",IF(C6="","OTP manquant",IF(COUNTIFS($A$6:$A$505,A6,$C$6:$C$505,C6)&gt;1,"Doublon OTP","")))</x:f>
      </x:c>
    </x:row>
    <x:row r="7" ht="23" customHeight="1">
      <x:c r="A7" s="9" t="str">
        <x:v>Lille</x:v>
      </x:c>
      <x:c r="B7" s="9" t="str">
        <x:v>PDP-13</x:v>
      </x:c>
      <x:c r="C7" s="9" t="str">
        <x:v>P110/006700</x:v>
      </x:c>
      <x:c r="D7" s="9" t="str">
        <x:v>ARMATIS FRANCE - LILLE</x:v>
      </x:c>
      <x:c r="E7" s="9" t="str">
        <x:v>CS 2</x:v>
      </x:c>
      <x:c r="F7" s="11" t="n">
        <x:v>46965</x:v>
      </x:c>
      <x:c r="G7" s="9" t="str">
        <x:v>Oui</x:v>
      </x:c>
      <x:c r="H7" s="9" t="str">
        <x:v>Oui</x:v>
      </x:c>
      <x:c r="I7" s="9" t="str">
        <x:v>Oui</x:v>
      </x:c>
      <x:c r="J7" s="9" t="str">
        <x:v>Oui</x:v>
      </x:c>
      <x:c r="K7" s="9" t="str">
        <x:v>Non</x:v>
      </x:c>
      <x:c r="L7" s="9" t="str">
        <x:v>NC</x:v>
      </x:c>
      <x:c r="M7" s="9"/>
      <x:c r="N7" s="12" t="n">
        <x:f>IF(A7="","",IF(ISNUMBER(F7),F7-'Tableau de bord'!$F$5,""))</x:f>
        <x:v>686</x:v>
      </x:c>
      <x:c r="O7" s="12" t="str">
        <x:f>IF(A7="","",IF(ISNUMBER(F7),IF(N7&lt;0,"Expiré",IF(N7&lt;='Paramètres'!$E$6,"À renouveler","À jour")),"À compléter"))</x:f>
        <x:v>À jour</x:v>
      </x:c>
      <x:c r="P7" s="12" t="n">
        <x:f>IF(A7="","",IF(AND(ISNUMBER(F7),F7&gt;'Tableau de bord'!$F$5,G7="Oui",H7="Oui",I7="Oui",J7="Oui",K7="Oui"),1,0))</x:f>
        <x:v>0</x:v>
      </x:c>
      <x:c r="Q7" s="9" t="str">
        <x:v>Suivi PdP!A13:X13</x:v>
      </x:c>
      <x:c r="R7" s="12" t="str">
        <x:f>IF(A7="","",IF(C7="","OTP manquant",IF(COUNTIFS($A$6:$A$505,A7,$C$6:$C$505,C7)&gt;1,"Doublon OTP","")))</x:f>
      </x:c>
    </x:row>
    <x:row r="8" ht="23" customHeight="1">
      <x:c r="A8" s="9" t="str">
        <x:v>Lille</x:v>
      </x:c>
      <x:c r="B8" s="9" t="str">
        <x:v>PDP-14</x:v>
      </x:c>
      <x:c r="C8" s="9"/>
      <x:c r="D8" s="9" t="str">
        <x:v>ARMONIA - AXA</x:v>
      </x:c>
      <x:c r="E8" s="9" t="str">
        <x:v>CS 2</x:v>
      </x:c>
      <x:c r="F8" s="11" t="n">
        <x:v>46996</x:v>
      </x:c>
      <x:c r="G8" s="9" t="str">
        <x:v>Oui</x:v>
      </x:c>
      <x:c r="H8" s="9" t="str">
        <x:v>Oui</x:v>
      </x:c>
      <x:c r="I8" s="9" t="str">
        <x:v>Oui</x:v>
      </x:c>
      <x:c r="J8" s="9" t="str">
        <x:v>Oui</x:v>
      </x:c>
      <x:c r="K8" s="9" t="str">
        <x:v>Oui</x:v>
      </x:c>
      <x:c r="L8" s="9" t="str">
        <x:v>NC</x:v>
      </x:c>
      <x:c r="M8" s="9"/>
      <x:c r="N8" s="12" t="n">
        <x:f>IF(A8="","",IF(ISNUMBER(F8),F8-'Tableau de bord'!$F$5,""))</x:f>
        <x:v>717</x:v>
      </x:c>
      <x:c r="O8" s="12" t="str">
        <x:f>IF(A8="","",IF(ISNUMBER(F8),IF(N8&lt;0,"Expiré",IF(N8&lt;='Paramètres'!$E$6,"À renouveler","À jour")),"À compléter"))</x:f>
        <x:v>À jour</x:v>
      </x:c>
      <x:c r="P8" s="12" t="n">
        <x:f>IF(A8="","",IF(AND(ISNUMBER(F8),F8&gt;'Tableau de bord'!$F$5,G8="Oui",H8="Oui",I8="Oui",J8="Oui",K8="Oui"),1,0))</x:f>
        <x:v>1</x:v>
      </x:c>
      <x:c r="Q8" s="9" t="str">
        <x:v>Suivi PdP!A14:X14</x:v>
      </x:c>
      <x:c r="R8" s="12" t="str">
        <x:f>IF(A8="","",IF(C8="","OTP manquant",IF(COUNTIFS($A$6:$A$505,A8,$C$6:$C$505,C8)&gt;1,"Doublon OTP","")))</x:f>
        <x:v>OTP manquant</x:v>
      </x:c>
    </x:row>
    <x:row r="9" ht="23" customHeight="1">
      <x:c r="A9" s="9" t="str">
        <x:v>Lille</x:v>
      </x:c>
      <x:c r="B9" s="9" t="str">
        <x:v>PDP-15</x:v>
      </x:c>
      <x:c r="C9" s="9"/>
      <x:c r="D9" s="9" t="str">
        <x:v>ARMONIA - AXA BIC</x:v>
      </x:c>
      <x:c r="E9" s="9" t="str">
        <x:v>CS 3</x:v>
      </x:c>
      <x:c r="F9" s="11" t="n">
        <x:v>46996</x:v>
      </x:c>
      <x:c r="G9" s="9" t="str">
        <x:v>Oui</x:v>
      </x:c>
      <x:c r="H9" s="9" t="str">
        <x:v>Oui</x:v>
      </x:c>
      <x:c r="I9" s="9" t="str">
        <x:v>Oui</x:v>
      </x:c>
      <x:c r="J9" s="9" t="str">
        <x:v>Oui</x:v>
      </x:c>
      <x:c r="K9" s="9" t="str">
        <x:v>Oui</x:v>
      </x:c>
      <x:c r="L9" s="9" t="str">
        <x:v>NC</x:v>
      </x:c>
      <x:c r="M9" s="9"/>
      <x:c r="N9" s="12" t="n">
        <x:f>IF(A9="","",IF(ISNUMBER(F9),F9-'Tableau de bord'!$F$5,""))</x:f>
        <x:v>717</x:v>
      </x:c>
      <x:c r="O9" s="12" t="str">
        <x:f>IF(A9="","",IF(ISNUMBER(F9),IF(N9&lt;0,"Expiré",IF(N9&lt;='Paramètres'!$E$6,"À renouveler","À jour")),"À compléter"))</x:f>
        <x:v>À jour</x:v>
      </x:c>
      <x:c r="P9" s="12" t="n">
        <x:f>IF(A9="","",IF(AND(ISNUMBER(F9),F9&gt;'Tableau de bord'!$F$5,G9="Oui",H9="Oui",I9="Oui",J9="Oui",K9="Oui"),1,0))</x:f>
        <x:v>1</x:v>
      </x:c>
      <x:c r="Q9" s="9" t="str">
        <x:v>Suivi PdP!A15:X15</x:v>
      </x:c>
      <x:c r="R9" s="12" t="str">
        <x:f>IF(A9="","",IF(C9="","OTP manquant",IF(COUNTIFS($A$6:$A$505,A9,$C$6:$C$505,C9)&gt;1,"Doublon OTP","")))</x:f>
        <x:v>OTP manquant</x:v>
      </x:c>
    </x:row>
    <x:row r="10" ht="23" customHeight="1">
      <x:c r="A10" s="9" t="str">
        <x:v>Lille</x:v>
      </x:c>
      <x:c r="B10" s="9" t="str">
        <x:v>PDP-16</x:v>
      </x:c>
      <x:c r="C10" s="9" t="str">
        <x:v>P110/006492</x:v>
      </x:c>
      <x:c r="D10" s="9" t="str">
        <x:v>BASIC FIT LILLE CS3</x:v>
      </x:c>
      <x:c r="E10" s="9" t="str">
        <x:v>CS 3</x:v>
      </x:c>
      <x:c r="F10" s="11" t="n">
        <x:v>46641</x:v>
      </x:c>
      <x:c r="G10" s="9" t="str">
        <x:v>Oui</x:v>
      </x:c>
      <x:c r="H10" s="9" t="str">
        <x:v>Oui</x:v>
      </x:c>
      <x:c r="I10" s="9" t="str">
        <x:v>Oui</x:v>
      </x:c>
      <x:c r="J10" s="9" t="str">
        <x:v>Oui</x:v>
      </x:c>
      <x:c r="K10" s="9" t="str">
        <x:v>Non</x:v>
      </x:c>
      <x:c r="L10" s="9" t="str">
        <x:v>NC</x:v>
      </x:c>
      <x:c r="M10" s="9"/>
      <x:c r="N10" s="12" t="n">
        <x:f>IF(A10="","",IF(ISNUMBER(F10),F10-'Tableau de bord'!$F$5,""))</x:f>
        <x:v>362</x:v>
      </x:c>
      <x:c r="O10" s="12" t="str">
        <x:f>IF(A10="","",IF(ISNUMBER(F10),IF(N10&lt;0,"Expiré",IF(N10&lt;='Paramètres'!$E$6,"À renouveler","À jour")),"À compléter"))</x:f>
        <x:v>À jour</x:v>
      </x:c>
      <x:c r="P10" s="12" t="n">
        <x:f>IF(A10="","",IF(AND(ISNUMBER(F10),F10&gt;'Tableau de bord'!$F$5,G10="Oui",H10="Oui",I10="Oui",J10="Oui",K10="Oui"),1,0))</x:f>
        <x:v>0</x:v>
      </x:c>
      <x:c r="Q10" s="9" t="str">
        <x:v>Suivi PdP!A16:X16</x:v>
      </x:c>
      <x:c r="R10" s="12" t="str">
        <x:f>IF(A10="","",IF(C10="","OTP manquant",IF(COUNTIFS($A$6:$A$505,A10,$C$6:$C$505,C10)&gt;1,"Doublon OTP","")))</x:f>
      </x:c>
    </x:row>
    <x:row r="11" ht="23" customHeight="1">
      <x:c r="A11" s="9" t="str">
        <x:v>Lille</x:v>
      </x:c>
      <x:c r="B11" s="9" t="str">
        <x:v>PDP-17</x:v>
      </x:c>
      <x:c r="C11" s="9" t="str">
        <x:v>C/005471</x:v>
      </x:c>
      <x:c r="D11" s="9" t="str">
        <x:v>CBRE TYCO LESQUIN</x:v>
      </x:c>
      <x:c r="E11" s="9" t="str">
        <x:v>CS 3</x:v>
      </x:c>
      <x:c r="F11" s="11" t="n">
        <x:v>45657</x:v>
      </x:c>
      <x:c r="G11" s="9" t="str">
        <x:v>Non</x:v>
      </x:c>
      <x:c r="H11" s="9" t="str">
        <x:v>Oui</x:v>
      </x:c>
      <x:c r="I11" s="9" t="str">
        <x:v>Oui</x:v>
      </x:c>
      <x:c r="J11" s="9" t="str">
        <x:v>Oui</x:v>
      </x:c>
      <x:c r="K11" s="9" t="str">
        <x:v>Non</x:v>
      </x:c>
      <x:c r="L11" s="9" t="str">
        <x:v>NC</x:v>
      </x:c>
      <x:c r="M11" s="9"/>
      <x:c r="N11" s="12" t="n">
        <x:f>IF(A11="","",IF(ISNUMBER(F11),F11-'Tableau de bord'!$F$5,""))</x:f>
        <x:v>-622</x:v>
      </x:c>
      <x:c r="O11" s="12" t="str">
        <x:f>IF(A11="","",IF(ISNUMBER(F11),IF(N11&lt;0,"Expiré",IF(N11&lt;='Paramètres'!$E$6,"À renouveler","À jour")),"À compléter"))</x:f>
        <x:v>Expiré</x:v>
      </x:c>
      <x:c r="P11" s="12" t="n">
        <x:f>IF(A11="","",IF(AND(ISNUMBER(F11),F11&gt;'Tableau de bord'!$F$5,G11="Oui",H11="Oui",I11="Oui",J11="Oui",K11="Oui"),1,0))</x:f>
        <x:v>0</x:v>
      </x:c>
      <x:c r="Q11" s="9" t="str">
        <x:v>Suivi PdP!A17:X17</x:v>
      </x:c>
      <x:c r="R11" s="12" t="str">
        <x:f>IF(A11="","",IF(C11="","OTP manquant",IF(COUNTIFS($A$6:$A$505,A11,$C$6:$C$505,C11)&gt;1,"Doublon OTP","")))</x:f>
      </x:c>
    </x:row>
    <x:row r="12" ht="23" customHeight="1">
      <x:c r="A12" s="9" t="str">
        <x:v>Lille</x:v>
      </x:c>
      <x:c r="B12" s="9" t="str">
        <x:v>PDP-18</x:v>
      </x:c>
      <x:c r="C12" s="9"/>
      <x:c r="D12" s="9" t="str">
        <x:v>CEVA LOGISTICS CALAIS</x:v>
      </x:c>
      <x:c r="E12" s="9" t="str">
        <x:v>CS 1</x:v>
      </x:c>
      <x:c r="F12" s="11" t="n">
        <x:v>46493</x:v>
      </x:c>
      <x:c r="G12" s="9" t="str">
        <x:v>Oui</x:v>
      </x:c>
      <x:c r="H12" s="9" t="str">
        <x:v>Oui</x:v>
      </x:c>
      <x:c r="I12" s="9" t="str">
        <x:v>Oui</x:v>
      </x:c>
      <x:c r="J12" s="9" t="str">
        <x:v>Oui</x:v>
      </x:c>
      <x:c r="K12" s="9" t="str">
        <x:v>Non</x:v>
      </x:c>
      <x:c r="L12" s="9" t="str">
        <x:v>NC</x:v>
      </x:c>
      <x:c r="M12" s="9"/>
      <x:c r="N12" s="12" t="n">
        <x:f>IF(A12="","",IF(ISNUMBER(F12),F12-'Tableau de bord'!$F$5,""))</x:f>
        <x:v>214</x:v>
      </x:c>
      <x:c r="O12" s="12" t="str">
        <x:f>IF(A12="","",IF(ISNUMBER(F12),IF(N12&lt;0,"Expiré",IF(N12&lt;='Paramètres'!$E$6,"À renouveler","À jour")),"À compléter"))</x:f>
        <x:v>À jour</x:v>
      </x:c>
      <x:c r="P12" s="12" t="n">
        <x:f>IF(A12="","",IF(AND(ISNUMBER(F12),F12&gt;'Tableau de bord'!$F$5,G12="Oui",H12="Oui",I12="Oui",J12="Oui",K12="Oui"),1,0))</x:f>
        <x:v>0</x:v>
      </x:c>
      <x:c r="Q12" s="9" t="str">
        <x:v>Suivi PdP!A18:X18</x:v>
      </x:c>
      <x:c r="R12" s="12" t="str">
        <x:f>IF(A12="","",IF(C12="","OTP manquant",IF(COUNTIFS($A$6:$A$505,A12,$C$6:$C$505,C12)&gt;1,"Doublon OTP","")))</x:f>
        <x:v>OTP manquant</x:v>
      </x:c>
    </x:row>
    <x:row r="13" ht="23" customHeight="1">
      <x:c r="A13" s="9" t="str">
        <x:v>Lille</x:v>
      </x:c>
      <x:c r="B13" s="9" t="str">
        <x:v>PDP-19</x:v>
      </x:c>
      <x:c r="C13" s="9"/>
      <x:c r="D13" s="9" t="str">
        <x:v>CONGES INTEMPERIES DU BTP</x:v>
      </x:c>
      <x:c r="E13" s="9" t="str">
        <x:v>CS 2</x:v>
      </x:c>
      <x:c r="F13" s="11"/>
      <x:c r="G13" s="9" t="str">
        <x:v>Non</x:v>
      </x:c>
      <x:c r="H13" s="9" t="str">
        <x:v>Oui</x:v>
      </x:c>
      <x:c r="I13" s="9"/>
      <x:c r="J13" s="9"/>
      <x:c r="K13" s="9"/>
      <x:c r="L13" s="9" t="str">
        <x:v>NC</x:v>
      </x:c>
      <x:c r="M13" s="9"/>
      <x:c r="N13" s="12" t="str">
        <x:f>IF(A13="","",IF(ISNUMBER(F13),F13-'Tableau de bord'!$F$5,""))</x:f>
      </x:c>
      <x:c r="O13" s="12" t="str">
        <x:f>IF(A13="","",IF(ISNUMBER(F13),IF(N13&lt;0,"Expiré",IF(N13&lt;='Paramètres'!$E$6,"À renouveler","À jour")),"À compléter"))</x:f>
        <x:v>À compléter</x:v>
      </x:c>
      <x:c r="P13" s="12" t="n">
        <x:f>IF(A13="","",IF(AND(ISNUMBER(F13),F13&gt;'Tableau de bord'!$F$5,G13="Oui",H13="Oui",I13="Oui",J13="Oui",K13="Oui"),1,0))</x:f>
        <x:v>0</x:v>
      </x:c>
      <x:c r="Q13" s="9" t="str">
        <x:v>Suivi PdP!A19:X19</x:v>
      </x:c>
      <x:c r="R13" s="12" t="str">
        <x:f>IF(A13="","",IF(C13="","OTP manquant",IF(COUNTIFS($A$6:$A$505,A13,$C$6:$C$505,C13)&gt;1,"Doublon OTP","")))</x:f>
        <x:v>OTP manquant</x:v>
      </x:c>
    </x:row>
    <x:row r="14" ht="23" customHeight="1">
      <x:c r="A14" s="9" t="str">
        <x:v>Lille</x:v>
      </x:c>
      <x:c r="B14" s="9" t="str">
        <x:v>PDP-20</x:v>
      </x:c>
      <x:c r="C14" s="9" t="str">
        <x:v>C/004137</x:v>
      </x:c>
      <x:c r="D14" s="9" t="str">
        <x:v>CONSEIL REG HDF NVEAU LOT 1</x:v>
      </x:c>
      <x:c r="E14" s="9" t="str">
        <x:v>CS 2</x:v>
      </x:c>
      <x:c r="F14" s="11"/>
      <x:c r="G14" s="9" t="str">
        <x:v>Non</x:v>
      </x:c>
      <x:c r="H14" s="9" t="str">
        <x:v>Oui</x:v>
      </x:c>
      <x:c r="I14" s="9"/>
      <x:c r="J14" s="9"/>
      <x:c r="K14" s="9"/>
      <x:c r="L14" s="9" t="str">
        <x:v>NC</x:v>
      </x:c>
      <x:c r="M14" s="9"/>
      <x:c r="N14" s="12" t="str">
        <x:f>IF(A14="","",IF(ISNUMBER(F14),F14-'Tableau de bord'!$F$5,""))</x:f>
      </x:c>
      <x:c r="O14" s="12" t="str">
        <x:f>IF(A14="","",IF(ISNUMBER(F14),IF(N14&lt;0,"Expiré",IF(N14&lt;='Paramètres'!$E$6,"À renouveler","À jour")),"À compléter"))</x:f>
        <x:v>À compléter</x:v>
      </x:c>
      <x:c r="P14" s="12" t="n">
        <x:f>IF(A14="","",IF(AND(ISNUMBER(F14),F14&gt;'Tableau de bord'!$F$5,G14="Oui",H14="Oui",I14="Oui",J14="Oui",K14="Oui"),1,0))</x:f>
        <x:v>0</x:v>
      </x:c>
      <x:c r="Q14" s="9" t="str">
        <x:v>Suivi PdP!A20:X20</x:v>
      </x:c>
      <x:c r="R14" s="12" t="str">
        <x:f>IF(A14="","",IF(C14="","OTP manquant",IF(COUNTIFS($A$6:$A$505,A14,$C$6:$C$505,C14)&gt;1,"Doublon OTP","")))</x:f>
      </x:c>
    </x:row>
    <x:row r="15" ht="23" customHeight="1">
      <x:c r="A15" s="9" t="str">
        <x:v>Lille</x:v>
      </x:c>
      <x:c r="B15" s="9" t="str">
        <x:v>PDP-21</x:v>
      </x:c>
      <x:c r="C15" s="9" t="str">
        <x:v>C/005862</x:v>
      </x:c>
      <x:c r="D15" s="9" t="str">
        <x:v>CREDIT MUTUEL SIEGE EUROPE LILLE</x:v>
      </x:c>
      <x:c r="E15" s="9" t="str">
        <x:v>CS 3</x:v>
      </x:c>
      <x:c r="F15" s="11" t="n">
        <x:v>46388</x:v>
      </x:c>
      <x:c r="G15" s="9" t="str">
        <x:v>Oui</x:v>
      </x:c>
      <x:c r="H15" s="9" t="str">
        <x:v>Oui</x:v>
      </x:c>
      <x:c r="I15" s="9" t="str">
        <x:v>Oui</x:v>
      </x:c>
      <x:c r="J15" s="9" t="str">
        <x:v>Oui</x:v>
      </x:c>
      <x:c r="K15" s="9" t="str">
        <x:v>Non</x:v>
      </x:c>
      <x:c r="L15" s="9" t="str">
        <x:v>NC</x:v>
      </x:c>
      <x:c r="M15" s="9"/>
      <x:c r="N15" s="12" t="n">
        <x:f>IF(A15="","",IF(ISNUMBER(F15),F15-'Tableau de bord'!$F$5,""))</x:f>
        <x:v>109</x:v>
      </x:c>
      <x:c r="O15" s="12" t="str">
        <x:f>IF(A15="","",IF(ISNUMBER(F15),IF(N15&lt;0,"Expiré",IF(N15&lt;='Paramètres'!$E$6,"À renouveler","À jour")),"À compléter"))</x:f>
        <x:v>À jour</x:v>
      </x:c>
      <x:c r="P15" s="12" t="n">
        <x:f>IF(A15="","",IF(AND(ISNUMBER(F15),F15&gt;'Tableau de bord'!$F$5,G15="Oui",H15="Oui",I15="Oui",J15="Oui",K15="Oui"),1,0))</x:f>
        <x:v>0</x:v>
      </x:c>
      <x:c r="Q15" s="9" t="str">
        <x:v>Suivi PdP!A21:X21</x:v>
      </x:c>
      <x:c r="R15" s="12" t="str">
        <x:f>IF(A15="","",IF(C15="","OTP manquant",IF(COUNTIFS($A$6:$A$505,A15,$C$6:$C$505,C15)&gt;1,"Doublon OTP","")))</x:f>
      </x:c>
    </x:row>
    <x:row r="16" ht="23" customHeight="1">
      <x:c r="A16" s="9" t="str">
        <x:v>Lille</x:v>
      </x:c>
      <x:c r="B16" s="9" t="str">
        <x:v>PDP-22</x:v>
      </x:c>
      <x:c r="C16" s="9" t="str">
        <x:v>C/003162</x:v>
      </x:c>
      <x:c r="D16" s="9" t="str">
        <x:v>DALKIA PICARDIE + PISCINE CHAUNY</x:v>
      </x:c>
      <x:c r="E16" s="9" t="str">
        <x:v>CS 2</x:v>
      </x:c>
      <x:c r="F16" s="11" t="n">
        <x:v>46388</x:v>
      </x:c>
      <x:c r="G16" s="9" t="str">
        <x:v>Oui</x:v>
      </x:c>
      <x:c r="H16" s="9" t="str">
        <x:v>Oui</x:v>
      </x:c>
      <x:c r="I16" s="9"/>
      <x:c r="J16" s="9"/>
      <x:c r="K16" s="9"/>
      <x:c r="L16" s="9" t="str">
        <x:v>NC</x:v>
      </x:c>
      <x:c r="M16" s="9"/>
      <x:c r="N16" s="12" t="n">
        <x:f>IF(A16="","",IF(ISNUMBER(F16),F16-'Tableau de bord'!$F$5,""))</x:f>
        <x:v>109</x:v>
      </x:c>
      <x:c r="O16" s="12" t="str">
        <x:f>IF(A16="","",IF(ISNUMBER(F16),IF(N16&lt;0,"Expiré",IF(N16&lt;='Paramètres'!$E$6,"À renouveler","À jour")),"À compléter"))</x:f>
        <x:v>À jour</x:v>
      </x:c>
      <x:c r="P16" s="12" t="n">
        <x:f>IF(A16="","",IF(AND(ISNUMBER(F16),F16&gt;'Tableau de bord'!$F$5,G16="Oui",H16="Oui",I16="Oui",J16="Oui",K16="Oui"),1,0))</x:f>
        <x:v>0</x:v>
      </x:c>
      <x:c r="Q16" s="9" t="str">
        <x:v>Suivi PdP!A22:X22</x:v>
      </x:c>
      <x:c r="R16" s="12" t="str">
        <x:f>IF(A16="","",IF(C16="","OTP manquant",IF(COUNTIFS($A$6:$A$505,A16,$C$6:$C$505,C16)&gt;1,"Doublon OTP","")))</x:f>
      </x:c>
    </x:row>
    <x:row r="17" ht="23" customHeight="1">
      <x:c r="A17" s="9" t="str">
        <x:v>Lille</x:v>
      </x:c>
      <x:c r="B17" s="9" t="str">
        <x:v>PDP-23</x:v>
      </x:c>
      <x:c r="C17" s="9" t="str">
        <x:v>C/003343</x:v>
      </x:c>
      <x:c r="D17" s="9" t="str">
        <x:v>DHL CRAYWICK</x:v>
      </x:c>
      <x:c r="E17" s="9" t="str">
        <x:v>CS 3</x:v>
      </x:c>
      <x:c r="F17" s="11"/>
      <x:c r="G17" s="9" t="str">
        <x:v>Non</x:v>
      </x:c>
      <x:c r="H17" s="9"/>
      <x:c r="I17" s="9"/>
      <x:c r="J17" s="9"/>
      <x:c r="K17" s="9"/>
      <x:c r="L17" s="9" t="str">
        <x:v>NC</x:v>
      </x:c>
      <x:c r="M17" s="9"/>
      <x:c r="N17" s="12" t="str">
        <x:f>IF(A17="","",IF(ISNUMBER(F17),F17-'Tableau de bord'!$F$5,""))</x:f>
      </x:c>
      <x:c r="O17" s="12" t="str">
        <x:f>IF(A17="","",IF(ISNUMBER(F17),IF(N17&lt;0,"Expiré",IF(N17&lt;='Paramètres'!$E$6,"À renouveler","À jour")),"À compléter"))</x:f>
        <x:v>À compléter</x:v>
      </x:c>
      <x:c r="P17" s="12" t="n">
        <x:f>IF(A17="","",IF(AND(ISNUMBER(F17),F17&gt;'Tableau de bord'!$F$5,G17="Oui",H17="Oui",I17="Oui",J17="Oui",K17="Oui"),1,0))</x:f>
        <x:v>0</x:v>
      </x:c>
      <x:c r="Q17" s="9" t="str">
        <x:v>Suivi PdP!A23:X23</x:v>
      </x:c>
      <x:c r="R17" s="12" t="str">
        <x:f>IF(A17="","",IF(C17="","OTP manquant",IF(COUNTIFS($A$6:$A$505,A17,$C$6:$C$505,C17)&gt;1,"Doublon OTP","")))</x:f>
      </x:c>
    </x:row>
    <x:row r="18" ht="23" customHeight="1">
      <x:c r="A18" s="9" t="str">
        <x:v>Lille</x:v>
      </x:c>
      <x:c r="B18" s="9" t="str">
        <x:v>PDP-24</x:v>
      </x:c>
      <x:c r="C18" s="9"/>
      <x:c r="D18" s="9" t="str">
        <x:v>EFS LOT 1 &amp;2</x:v>
      </x:c>
      <x:c r="E18" s="9" t="str">
        <x:v>CS 1</x:v>
      </x:c>
      <x:c r="F18" s="11" t="n">
        <x:v>46021</x:v>
      </x:c>
      <x:c r="G18" s="9" t="str">
        <x:v>Oui</x:v>
      </x:c>
      <x:c r="H18" s="9" t="str">
        <x:v>Oui</x:v>
      </x:c>
      <x:c r="I18" s="9" t="str">
        <x:v>Oui</x:v>
      </x:c>
      <x:c r="J18" s="9" t="str">
        <x:v>Oui</x:v>
      </x:c>
      <x:c r="K18" s="9" t="str">
        <x:v>Oui</x:v>
      </x:c>
      <x:c r="L18" s="9" t="str">
        <x:v>NC</x:v>
      </x:c>
      <x:c r="M18" s="9"/>
      <x:c r="N18" s="12" t="n">
        <x:f>IF(A18="","",IF(ISNUMBER(F18),F18-'Tableau de bord'!$F$5,""))</x:f>
        <x:v>-258</x:v>
      </x:c>
      <x:c r="O18" s="12" t="str">
        <x:f>IF(A18="","",IF(ISNUMBER(F18),IF(N18&lt;0,"Expiré",IF(N18&lt;='Paramètres'!$E$6,"À renouveler","À jour")),"À compléter"))</x:f>
        <x:v>Expiré</x:v>
      </x:c>
      <x:c r="P18" s="12" t="n">
        <x:f>IF(A18="","",IF(AND(ISNUMBER(F18),F18&gt;'Tableau de bord'!$F$5,G18="Oui",H18="Oui",I18="Oui",J18="Oui",K18="Oui"),1,0))</x:f>
        <x:v>0</x:v>
      </x:c>
      <x:c r="Q18" s="9" t="str">
        <x:v>Suivi PdP!A24:X24</x:v>
      </x:c>
      <x:c r="R18" s="12" t="str">
        <x:f>IF(A18="","",IF(C18="","OTP manquant",IF(COUNTIFS($A$6:$A$505,A18,$C$6:$C$505,C18)&gt;1,"Doublon OTP","")))</x:f>
        <x:v>OTP manquant</x:v>
      </x:c>
    </x:row>
    <x:row r="19" ht="23" customHeight="1">
      <x:c r="A19" s="9" t="str">
        <x:v>Lille</x:v>
      </x:c>
      <x:c r="B19" s="9" t="str">
        <x:v>PDP-25</x:v>
      </x:c>
      <x:c r="C19" s="9" t="str">
        <x:v>C/003942</x:v>
      </x:c>
      <x:c r="D19" s="9" t="str">
        <x:v>EIFFAGE GENIE CIVIL</x:v>
      </x:c>
      <x:c r="E19" s="9" t="str">
        <x:v>CS 3</x:v>
      </x:c>
      <x:c r="F19" s="11" t="n">
        <x:v>46985</x:v>
      </x:c>
      <x:c r="G19" s="9" t="str">
        <x:v>Oui</x:v>
      </x:c>
      <x:c r="H19" s="9" t="str">
        <x:v>Oui</x:v>
      </x:c>
      <x:c r="I19" s="9" t="str">
        <x:v>Oui</x:v>
      </x:c>
      <x:c r="J19" s="9" t="str">
        <x:v>Oui</x:v>
      </x:c>
      <x:c r="K19" s="9" t="str">
        <x:v>Non</x:v>
      </x:c>
      <x:c r="L19" s="9" t="str">
        <x:v>NC</x:v>
      </x:c>
      <x:c r="M19" s="9"/>
      <x:c r="N19" s="12" t="n">
        <x:f>IF(A19="","",IF(ISNUMBER(F19),F19-'Tableau de bord'!$F$5,""))</x:f>
        <x:v>706</x:v>
      </x:c>
      <x:c r="O19" s="12" t="str">
        <x:f>IF(A19="","",IF(ISNUMBER(F19),IF(N19&lt;0,"Expiré",IF(N19&lt;='Paramètres'!$E$6,"À renouveler","À jour")),"À compléter"))</x:f>
        <x:v>À jour</x:v>
      </x:c>
      <x:c r="P19" s="12" t="n">
        <x:f>IF(A19="","",IF(AND(ISNUMBER(F19),F19&gt;'Tableau de bord'!$F$5,G19="Oui",H19="Oui",I19="Oui",J19="Oui",K19="Oui"),1,0))</x:f>
        <x:v>0</x:v>
      </x:c>
      <x:c r="Q19" s="9" t="str">
        <x:v>Suivi PdP!A25:X25</x:v>
      </x:c>
      <x:c r="R19" s="12" t="str">
        <x:f>IF(A19="","",IF(C19="","OTP manquant",IF(COUNTIFS($A$6:$A$505,A19,$C$6:$C$505,C19)&gt;1,"Doublon OTP","")))</x:f>
      </x:c>
    </x:row>
    <x:row r="20" ht="23" customHeight="1">
      <x:c r="A20" s="9" t="str">
        <x:v>Lille</x:v>
      </x:c>
      <x:c r="B20" s="9" t="str">
        <x:v>PDP-26</x:v>
      </x:c>
      <x:c r="C20" s="9" t="str">
        <x:v>C/003967</x:v>
      </x:c>
      <x:c r="D20" s="9" t="str">
        <x:v>EIFFAGE GENIE CIVIL CAMON</x:v>
      </x:c>
      <x:c r="E20" s="9" t="str">
        <x:v>CS 2</x:v>
      </x:c>
      <x:c r="F20" s="11" t="n">
        <x:v>47276</x:v>
      </x:c>
      <x:c r="G20" s="9" t="str">
        <x:v>Oui</x:v>
      </x:c>
      <x:c r="H20" s="9" t="str">
        <x:v>Oui</x:v>
      </x:c>
      <x:c r="I20" s="9" t="str">
        <x:v>Oui</x:v>
      </x:c>
      <x:c r="J20" s="9" t="str">
        <x:v>Oui</x:v>
      </x:c>
      <x:c r="K20" s="9" t="str">
        <x:v>Non</x:v>
      </x:c>
      <x:c r="L20" s="9" t="str">
        <x:v>NC</x:v>
      </x:c>
      <x:c r="M20" s="9" t="str">
        <x:v>Faire signer aux agents</x:v>
      </x:c>
      <x:c r="N20" s="12" t="n">
        <x:f>IF(A20="","",IF(ISNUMBER(F20),F20-'Tableau de bord'!$F$5,""))</x:f>
        <x:v>997</x:v>
      </x:c>
      <x:c r="O20" s="12" t="str">
        <x:f>IF(A20="","",IF(ISNUMBER(F20),IF(N20&lt;0,"Expiré",IF(N20&lt;='Paramètres'!$E$6,"À renouveler","À jour")),"À compléter"))</x:f>
        <x:v>À jour</x:v>
      </x:c>
      <x:c r="P20" s="12" t="n">
        <x:f>IF(A20="","",IF(AND(ISNUMBER(F20),F20&gt;'Tableau de bord'!$F$5,G20="Oui",H20="Oui",I20="Oui",J20="Oui",K20="Oui"),1,0))</x:f>
        <x:v>0</x:v>
      </x:c>
      <x:c r="Q20" s="9" t="str">
        <x:v>Suivi PdP!A26:X26</x:v>
      </x:c>
      <x:c r="R20" s="12" t="str">
        <x:f>IF(A20="","",IF(C20="","OTP manquant",IF(COUNTIFS($A$6:$A$505,A20,$C$6:$C$505,C20)&gt;1,"Doublon OTP","")))</x:f>
      </x:c>
    </x:row>
    <x:row r="21" ht="23" customHeight="1">
      <x:c r="A21" s="9" t="str">
        <x:v>Lille</x:v>
      </x:c>
      <x:c r="B21" s="9" t="str">
        <x:v>PDP-27</x:v>
      </x:c>
      <x:c r="C21" s="9" t="str">
        <x:v>C/001807</x:v>
      </x:c>
      <x:c r="D21" s="9" t="str">
        <x:v>EUROVIA LOOS</x:v>
      </x:c>
      <x:c r="E21" s="9" t="str">
        <x:v>CS 2</x:v>
      </x:c>
      <x:c r="F21" s="11" t="n">
        <x:v>46965</x:v>
      </x:c>
      <x:c r="G21" s="9" t="str">
        <x:v>Oui</x:v>
      </x:c>
      <x:c r="H21" s="9" t="str">
        <x:v>Oui</x:v>
      </x:c>
      <x:c r="I21" s="9" t="str">
        <x:v>Oui</x:v>
      </x:c>
      <x:c r="J21" s="9" t="str">
        <x:v>Non</x:v>
      </x:c>
      <x:c r="K21" s="9" t="str">
        <x:v>Oui</x:v>
      </x:c>
      <x:c r="L21" s="9" t="str">
        <x:v>NC</x:v>
      </x:c>
      <x:c r="M21" s="9"/>
      <x:c r="N21" s="12" t="n">
        <x:f>IF(A21="","",IF(ISNUMBER(F21),F21-'Tableau de bord'!$F$5,""))</x:f>
        <x:v>686</x:v>
      </x:c>
      <x:c r="O21" s="12" t="str">
        <x:f>IF(A21="","",IF(ISNUMBER(F21),IF(N21&lt;0,"Expiré",IF(N21&lt;='Paramètres'!$E$6,"À renouveler","À jour")),"À compléter"))</x:f>
        <x:v>À jour</x:v>
      </x:c>
      <x:c r="P21" s="12" t="n">
        <x:f>IF(A21="","",IF(AND(ISNUMBER(F21),F21&gt;'Tableau de bord'!$F$5,G21="Oui",H21="Oui",I21="Oui",J21="Oui",K21="Oui"),1,0))</x:f>
        <x:v>0</x:v>
      </x:c>
      <x:c r="Q21" s="9" t="str">
        <x:v>Suivi PdP!A27:X27</x:v>
      </x:c>
      <x:c r="R21" s="12" t="str">
        <x:f>IF(A21="","",IF(C21="","OTP manquant",IF(COUNTIFS($A$6:$A$505,A21,$C$6:$C$505,C21)&gt;1,"Doublon OTP","")))</x:f>
      </x:c>
    </x:row>
    <x:row r="22" ht="23" customHeight="1">
      <x:c r="A22" s="9" t="str">
        <x:v>Lille</x:v>
      </x:c>
      <x:c r="B22" s="9" t="str">
        <x:v>PDP-28</x:v>
      </x:c>
      <x:c r="C22" s="9" t="str">
        <x:v>C/005612</x:v>
      </x:c>
      <x:c r="D22" s="9" t="str">
        <x:v>FAVI HALLENCOURT</x:v>
      </x:c>
      <x:c r="E22" s="9" t="str">
        <x:v>CS 2</x:v>
      </x:c>
      <x:c r="F22" s="11" t="n">
        <x:v>46388</x:v>
      </x:c>
      <x:c r="G22" s="9" t="str">
        <x:v>Oui</x:v>
      </x:c>
      <x:c r="H22" s="9" t="str">
        <x:v>Oui</x:v>
      </x:c>
      <x:c r="I22" s="9" t="str">
        <x:v>Oui</x:v>
      </x:c>
      <x:c r="J22" s="9" t="str">
        <x:v>Oui</x:v>
      </x:c>
      <x:c r="K22" s="9" t="str">
        <x:v>Oui</x:v>
      </x:c>
      <x:c r="L22" s="9" t="str">
        <x:v>NC</x:v>
      </x:c>
      <x:c r="M22" s="9"/>
      <x:c r="N22" s="12" t="n">
        <x:f>IF(A22="","",IF(ISNUMBER(F22),F22-'Tableau de bord'!$F$5,""))</x:f>
        <x:v>109</x:v>
      </x:c>
      <x:c r="O22" s="12" t="str">
        <x:f>IF(A22="","",IF(ISNUMBER(F22),IF(N22&lt;0,"Expiré",IF(N22&lt;='Paramètres'!$E$6,"À renouveler","À jour")),"À compléter"))</x:f>
        <x:v>À jour</x:v>
      </x:c>
      <x:c r="P22" s="12" t="n">
        <x:f>IF(A22="","",IF(AND(ISNUMBER(F22),F22&gt;'Tableau de bord'!$F$5,G22="Oui",H22="Oui",I22="Oui",J22="Oui",K22="Oui"),1,0))</x:f>
        <x:v>1</x:v>
      </x:c>
      <x:c r="Q22" s="9" t="str">
        <x:v>Suivi PdP!A28:X28</x:v>
      </x:c>
      <x:c r="R22" s="12" t="str">
        <x:f>IF(A22="","",IF(C22="","OTP manquant",IF(COUNTIFS($A$6:$A$505,A22,$C$6:$C$505,C22)&gt;1,"Doublon OTP","")))</x:f>
      </x:c>
    </x:row>
    <x:row r="23" ht="23" customHeight="1">
      <x:c r="A23" s="9" t="str">
        <x:v>Lille</x:v>
      </x:c>
      <x:c r="B23" s="9" t="str">
        <x:v>PDP-29</x:v>
      </x:c>
      <x:c r="C23" s="9"/>
      <x:c r="D23" s="9" t="str">
        <x:v>F INITIATIVES LILLE</x:v>
      </x:c>
      <x:c r="E23" s="9" t="str">
        <x:v>CA</x:v>
      </x:c>
      <x:c r="F23" s="11"/>
      <x:c r="G23" s="9"/>
      <x:c r="H23" s="9"/>
      <x:c r="I23" s="9"/>
      <x:c r="J23" s="9"/>
      <x:c r="K23" s="9"/>
      <x:c r="L23" s="9"/>
      <x:c r="M23" s="9"/>
      <x:c r="N23" s="12" t="str">
        <x:f>IF(A23="","",IF(ISNUMBER(F23),F23-'Tableau de bord'!$F$5,""))</x:f>
      </x:c>
      <x:c r="O23" s="12" t="str">
        <x:f>IF(A23="","",IF(ISNUMBER(F23),IF(N23&lt;0,"Expiré",IF(N23&lt;='Paramètres'!$E$6,"À renouveler","À jour")),"À compléter"))</x:f>
        <x:v>À compléter</x:v>
      </x:c>
      <x:c r="P23" s="12" t="n">
        <x:f>IF(A23="","",IF(AND(ISNUMBER(F23),F23&gt;'Tableau de bord'!$F$5,G23="Oui",H23="Oui",I23="Oui",J23="Oui",K23="Oui"),1,0))</x:f>
        <x:v>0</x:v>
      </x:c>
      <x:c r="Q23" s="9" t="str">
        <x:v>Suivi PdP!A29:X29</x:v>
      </x:c>
      <x:c r="R23" s="12" t="str">
        <x:f>IF(A23="","",IF(C23="","OTP manquant",IF(COUNTIFS($A$6:$A$505,A23,$C$6:$C$505,C23)&gt;1,"Doublon OTP","")))</x:f>
        <x:v>OTP manquant</x:v>
      </x:c>
    </x:row>
    <x:row r="24" ht="23" customHeight="1">
      <x:c r="A24" s="9" t="str">
        <x:v>Lille</x:v>
      </x:c>
      <x:c r="B24" s="9" t="str">
        <x:v>PDP-30</x:v>
      </x:c>
      <x:c r="C24" s="9" t="str">
        <x:v>C/004642</x:v>
      </x:c>
      <x:c r="D24" s="9" t="str">
        <x:v>FLAUW SAS</x:v>
      </x:c>
      <x:c r="E24" s="9" t="str">
        <x:v>CS 3</x:v>
      </x:c>
      <x:c r="F24" s="11" t="n">
        <x:v>46985</x:v>
      </x:c>
      <x:c r="G24" s="9" t="str">
        <x:v>Oui</x:v>
      </x:c>
      <x:c r="H24" s="9" t="str">
        <x:v>Oui</x:v>
      </x:c>
      <x:c r="I24" s="9" t="str">
        <x:v>Oui</x:v>
      </x:c>
      <x:c r="J24" s="9" t="str">
        <x:v>Oui</x:v>
      </x:c>
      <x:c r="K24" s="9" t="str">
        <x:v>Oui</x:v>
      </x:c>
      <x:c r="L24" s="9" t="str">
        <x:v>NC</x:v>
      </x:c>
      <x:c r="M24" s="9"/>
      <x:c r="N24" s="12" t="n">
        <x:f>IF(A24="","",IF(ISNUMBER(F24),F24-'Tableau de bord'!$F$5,""))</x:f>
        <x:v>706</x:v>
      </x:c>
      <x:c r="O24" s="12" t="str">
        <x:f>IF(A24="","",IF(ISNUMBER(F24),IF(N24&lt;0,"Expiré",IF(N24&lt;='Paramètres'!$E$6,"À renouveler","À jour")),"À compléter"))</x:f>
        <x:v>À jour</x:v>
      </x:c>
      <x:c r="P24" s="12" t="n">
        <x:f>IF(A24="","",IF(AND(ISNUMBER(F24),F24&gt;'Tableau de bord'!$F$5,G24="Oui",H24="Oui",I24="Oui",J24="Oui",K24="Oui"),1,0))</x:f>
        <x:v>1</x:v>
      </x:c>
      <x:c r="Q24" s="9" t="str">
        <x:v>Suivi PdP!A30:X30</x:v>
      </x:c>
      <x:c r="R24" s="12" t="str">
        <x:f>IF(A24="","",IF(C24="","OTP manquant",IF(COUNTIFS($A$6:$A$505,A24,$C$6:$C$505,C24)&gt;1,"Doublon OTP","")))</x:f>
      </x:c>
    </x:row>
    <x:row r="25" ht="23" customHeight="1">
      <x:c r="A25" s="9" t="str">
        <x:v>Lille</x:v>
      </x:c>
      <x:c r="B25" s="9" t="str">
        <x:v>PDP-31</x:v>
      </x:c>
      <x:c r="C25" s="9" t="str">
        <x:v>C/005555</x:v>
      </x:c>
      <x:c r="D25" s="9" t="str">
        <x:v>FICHET SECURITY LESQUIN</x:v>
      </x:c>
      <x:c r="E25" s="9" t="str">
        <x:v>CS 2</x:v>
      </x:c>
      <x:c r="F25" s="11"/>
      <x:c r="G25" s="9"/>
      <x:c r="H25" s="9"/>
      <x:c r="I25" s="9"/>
      <x:c r="J25" s="9"/>
      <x:c r="K25" s="9"/>
      <x:c r="L25" s="9"/>
      <x:c r="M25" s="9"/>
      <x:c r="N25" s="12" t="str">
        <x:f>IF(A25="","",IF(ISNUMBER(F25),F25-'Tableau de bord'!$F$5,""))</x:f>
      </x:c>
      <x:c r="O25" s="12" t="str">
        <x:f>IF(A25="","",IF(ISNUMBER(F25),IF(N25&lt;0,"Expiré",IF(N25&lt;='Paramètres'!$E$6,"À renouveler","À jour")),"À compléter"))</x:f>
        <x:v>À compléter</x:v>
      </x:c>
      <x:c r="P25" s="12" t="n">
        <x:f>IF(A25="","",IF(AND(ISNUMBER(F25),F25&gt;'Tableau de bord'!$F$5,G25="Oui",H25="Oui",I25="Oui",J25="Oui",K25="Oui"),1,0))</x:f>
        <x:v>0</x:v>
      </x:c>
      <x:c r="Q25" s="9" t="str">
        <x:v>Suivi PdP!A31:X31</x:v>
      </x:c>
      <x:c r="R25" s="12" t="str">
        <x:f>IF(A25="","",IF(C25="","OTP manquant",IF(COUNTIFS($A$6:$A$505,A25,$C$6:$C$505,C25)&gt;1,"Doublon OTP","")))</x:f>
      </x:c>
    </x:row>
    <x:row r="26" ht="23" customHeight="1">
      <x:c r="A26" s="9" t="str">
        <x:v>Lille</x:v>
      </x:c>
      <x:c r="B26" s="9" t="str">
        <x:v>PDP-32</x:v>
      </x:c>
      <x:c r="C26" s="9" t="str">
        <x:v>C/005277</x:v>
      </x:c>
      <x:c r="D26" s="9" t="str">
        <x:v>FLUIDRA SECLIN</x:v>
      </x:c>
      <x:c r="E26" s="9" t="str">
        <x:v>CS 2</x:v>
      </x:c>
      <x:c r="F26" s="11"/>
      <x:c r="G26" s="9"/>
      <x:c r="H26" s="9"/>
      <x:c r="I26" s="9"/>
      <x:c r="J26" s="9"/>
      <x:c r="K26" s="9"/>
      <x:c r="L26" s="9"/>
      <x:c r="M26" s="9"/>
      <x:c r="N26" s="12" t="str">
        <x:f>IF(A26="","",IF(ISNUMBER(F26),F26-'Tableau de bord'!$F$5,""))</x:f>
      </x:c>
      <x:c r="O26" s="12" t="str">
        <x:f>IF(A26="","",IF(ISNUMBER(F26),IF(N26&lt;0,"Expiré",IF(N26&lt;='Paramètres'!$E$6,"À renouveler","À jour")),"À compléter"))</x:f>
        <x:v>À compléter</x:v>
      </x:c>
      <x:c r="P26" s="12" t="n">
        <x:f>IF(A26="","",IF(AND(ISNUMBER(F26),F26&gt;'Tableau de bord'!$F$5,G26="Oui",H26="Oui",I26="Oui",J26="Oui",K26="Oui"),1,0))</x:f>
        <x:v>0</x:v>
      </x:c>
      <x:c r="Q26" s="9" t="str">
        <x:v>Suivi PdP!A32:X32</x:v>
      </x:c>
      <x:c r="R26" s="12" t="str">
        <x:f>IF(A26="","",IF(C26="","OTP manquant",IF(COUNTIFS($A$6:$A$505,A26,$C$6:$C$505,C26)&gt;1,"Doublon OTP","")))</x:f>
      </x:c>
    </x:row>
    <x:row r="27" ht="23" customHeight="1">
      <x:c r="A27" s="9" t="str">
        <x:v>Lille</x:v>
      </x:c>
      <x:c r="B27" s="9" t="str">
        <x:v>PDP-33</x:v>
      </x:c>
      <x:c r="C27" s="9"/>
      <x:c r="D27" s="9" t="str">
        <x:v>FURETS DU NORD</x:v>
      </x:c>
      <x:c r="E27" s="9" t="str">
        <x:v>CS 2</x:v>
      </x:c>
      <x:c r="F27" s="11" t="n">
        <x:v>46985</x:v>
      </x:c>
      <x:c r="G27" s="9"/>
      <x:c r="H27" s="9"/>
      <x:c r="I27" s="9"/>
      <x:c r="J27" s="9"/>
      <x:c r="K27" s="9"/>
      <x:c r="L27" s="9"/>
      <x:c r="M27" s="9"/>
      <x:c r="N27" s="12" t="n">
        <x:f>IF(A27="","",IF(ISNUMBER(F27),F27-'Tableau de bord'!$F$5,""))</x:f>
        <x:v>706</x:v>
      </x:c>
      <x:c r="O27" s="12" t="str">
        <x:f>IF(A27="","",IF(ISNUMBER(F27),IF(N27&lt;0,"Expiré",IF(N27&lt;='Paramètres'!$E$6,"À renouveler","À jour")),"À compléter"))</x:f>
        <x:v>À jour</x:v>
      </x:c>
      <x:c r="P27" s="12" t="n">
        <x:f>IF(A27="","",IF(AND(ISNUMBER(F27),F27&gt;'Tableau de bord'!$F$5,G27="Oui",H27="Oui",I27="Oui",J27="Oui",K27="Oui"),1,0))</x:f>
        <x:v>0</x:v>
      </x:c>
      <x:c r="Q27" s="9" t="str">
        <x:v>Suivi PdP!A33:X33</x:v>
      </x:c>
      <x:c r="R27" s="12" t="str">
        <x:f>IF(A27="","",IF(C27="","OTP manquant",IF(COUNTIFS($A$6:$A$505,A27,$C$6:$C$505,C27)&gt;1,"Doublon OTP","")))</x:f>
        <x:v>OTP manquant</x:v>
      </x:c>
    </x:row>
    <x:row r="28" ht="23" customHeight="1">
      <x:c r="A28" s="9" t="str">
        <x:v>Lille</x:v>
      </x:c>
      <x:c r="B28" s="9" t="str">
        <x:v>PDP-34</x:v>
      </x:c>
      <x:c r="C28" s="9" t="str">
        <x:v>C/005847</x:v>
      </x:c>
      <x:c r="D28" s="9" t="str">
        <x:v>GENFIT LOOS</x:v>
      </x:c>
      <x:c r="E28" s="9" t="str">
        <x:v>CS 2</x:v>
      </x:c>
      <x:c r="F28" s="11" t="n">
        <x:v>46653</x:v>
      </x:c>
      <x:c r="G28" s="9" t="str">
        <x:v>Oui</x:v>
      </x:c>
      <x:c r="H28" s="9" t="str">
        <x:v>Oui</x:v>
      </x:c>
      <x:c r="I28" s="9" t="str">
        <x:v>Oui</x:v>
      </x:c>
      <x:c r="J28" s="9" t="str">
        <x:v>Oui</x:v>
      </x:c>
      <x:c r="K28" s="9" t="str">
        <x:v>Non</x:v>
      </x:c>
      <x:c r="L28" s="9" t="str">
        <x:v>NC</x:v>
      </x:c>
      <x:c r="M28" s="9"/>
      <x:c r="N28" s="12" t="n">
        <x:f>IF(A28="","",IF(ISNUMBER(F28),F28-'Tableau de bord'!$F$5,""))</x:f>
        <x:v>374</x:v>
      </x:c>
      <x:c r="O28" s="12" t="str">
        <x:f>IF(A28="","",IF(ISNUMBER(F28),IF(N28&lt;0,"Expiré",IF(N28&lt;='Paramètres'!$E$6,"À renouveler","À jour")),"À compléter"))</x:f>
        <x:v>À jour</x:v>
      </x:c>
      <x:c r="P28" s="12" t="n">
        <x:f>IF(A28="","",IF(AND(ISNUMBER(F28),F28&gt;'Tableau de bord'!$F$5,G28="Oui",H28="Oui",I28="Oui",J28="Oui",K28="Oui"),1,0))</x:f>
        <x:v>0</x:v>
      </x:c>
      <x:c r="Q28" s="9" t="str">
        <x:v>Suivi PdP!A34:X34</x:v>
      </x:c>
      <x:c r="R28" s="12" t="str">
        <x:f>IF(A28="","",IF(C28="","OTP manquant",IF(COUNTIFS($A$6:$A$505,A28,$C$6:$C$505,C28)&gt;1,"Doublon OTP","")))</x:f>
        <x:v>Doublon OTP</x:v>
      </x:c>
    </x:row>
    <x:row r="29" ht="23" customHeight="1">
      <x:c r="A29" s="9" t="str">
        <x:v>Lille</x:v>
      </x:c>
      <x:c r="B29" s="9" t="str">
        <x:v>PDP-35</x:v>
      </x:c>
      <x:c r="C29" s="9" t="str">
        <x:v>P110/007585</x:v>
      </x:c>
      <x:c r="D29" s="9" t="str">
        <x:v>HERON PARC</x:v>
      </x:c>
      <x:c r="E29" s="9" t="str">
        <x:v>CS 3</x:v>
      </x:c>
      <x:c r="F29" s="11" t="n">
        <x:v>47118</x:v>
      </x:c>
      <x:c r="G29" s="9" t="str">
        <x:v>Oui</x:v>
      </x:c>
      <x:c r="H29" s="9" t="str">
        <x:v>Oui</x:v>
      </x:c>
      <x:c r="I29" s="9" t="str">
        <x:v>Oui</x:v>
      </x:c>
      <x:c r="J29" s="9" t="str">
        <x:v>Oui</x:v>
      </x:c>
      <x:c r="K29" s="9" t="str">
        <x:v>Non</x:v>
      </x:c>
      <x:c r="L29" s="9" t="str">
        <x:v>NC</x:v>
      </x:c>
      <x:c r="M29" s="9"/>
      <x:c r="N29" s="12" t="n">
        <x:f>IF(A29="","",IF(ISNUMBER(F29),F29-'Tableau de bord'!$F$5,""))</x:f>
        <x:v>839</x:v>
      </x:c>
      <x:c r="O29" s="12" t="str">
        <x:f>IF(A29="","",IF(ISNUMBER(F29),IF(N29&lt;0,"Expiré",IF(N29&lt;='Paramètres'!$E$6,"À renouveler","À jour")),"À compléter"))</x:f>
        <x:v>À jour</x:v>
      </x:c>
      <x:c r="P29" s="12" t="n">
        <x:f>IF(A29="","",IF(AND(ISNUMBER(F29),F29&gt;'Tableau de bord'!$F$5,G29="Oui",H29="Oui",I29="Oui",J29="Oui",K29="Oui"),1,0))</x:f>
        <x:v>0</x:v>
      </x:c>
      <x:c r="Q29" s="9" t="str">
        <x:v>Suivi PdP!A35:X35</x:v>
      </x:c>
      <x:c r="R29" s="12" t="str">
        <x:f>IF(A29="","",IF(C29="","OTP manquant",IF(COUNTIFS($A$6:$A$505,A29,$C$6:$C$505,C29)&gt;1,"Doublon OTP","")))</x:f>
      </x:c>
    </x:row>
    <x:row r="30" ht="23" customHeight="1">
      <x:c r="A30" s="9" t="str">
        <x:v>Lille</x:v>
      </x:c>
      <x:c r="B30" s="9" t="str">
        <x:v>PDP-36</x:v>
      </x:c>
      <x:c r="C30" s="9"/>
      <x:c r="D30" s="9" t="str">
        <x:v>ID LOGISTICS BREBIERES</x:v>
      </x:c>
      <x:c r="E30" s="9" t="str">
        <x:v>CS 1</x:v>
      </x:c>
      <x:c r="F30" s="11" t="n">
        <x:v>46539</x:v>
      </x:c>
      <x:c r="G30" s="9" t="str">
        <x:v>Oui</x:v>
      </x:c>
      <x:c r="H30" s="9" t="str">
        <x:v>Oui</x:v>
      </x:c>
      <x:c r="I30" s="9" t="str">
        <x:v>Oui</x:v>
      </x:c>
      <x:c r="J30" s="9" t="str">
        <x:v>Oui</x:v>
      </x:c>
      <x:c r="K30" s="9" t="str">
        <x:v>Non</x:v>
      </x:c>
      <x:c r="L30" s="9" t="str">
        <x:v>NC</x:v>
      </x:c>
      <x:c r="M30" s="9"/>
      <x:c r="N30" s="12" t="n">
        <x:f>IF(A30="","",IF(ISNUMBER(F30),F30-'Tableau de bord'!$F$5,""))</x:f>
        <x:v>260</x:v>
      </x:c>
      <x:c r="O30" s="12" t="str">
        <x:f>IF(A30="","",IF(ISNUMBER(F30),IF(N30&lt;0,"Expiré",IF(N30&lt;='Paramètres'!$E$6,"À renouveler","À jour")),"À compléter"))</x:f>
        <x:v>À jour</x:v>
      </x:c>
      <x:c r="P30" s="12" t="n">
        <x:f>IF(A30="","",IF(AND(ISNUMBER(F30),F30&gt;'Tableau de bord'!$F$5,G30="Oui",H30="Oui",I30="Oui",J30="Oui",K30="Oui"),1,0))</x:f>
        <x:v>0</x:v>
      </x:c>
      <x:c r="Q30" s="9" t="str">
        <x:v>Suivi PdP!A36:X36</x:v>
      </x:c>
      <x:c r="R30" s="12" t="str">
        <x:f>IF(A30="","",IF(C30="","OTP manquant",IF(COUNTIFS($A$6:$A$505,A30,$C$6:$C$505,C30)&gt;1,"Doublon OTP","")))</x:f>
        <x:v>OTP manquant</x:v>
      </x:c>
    </x:row>
    <x:row r="31" ht="23" customHeight="1">
      <x:c r="A31" s="9" t="str">
        <x:v>Lille</x:v>
      </x:c>
      <x:c r="B31" s="9" t="str">
        <x:v>PDP-37</x:v>
      </x:c>
      <x:c r="C31" s="9"/>
      <x:c r="D31" s="9" t="str">
        <x:v>LFB ARRAS PROD</x:v>
      </x:c>
      <x:c r="E31" s="9" t="str">
        <x:v>CS 3</x:v>
      </x:c>
      <x:c r="F31" s="11" t="n">
        <x:v>46371</x:v>
      </x:c>
      <x:c r="G31" s="9" t="str">
        <x:v>Oui</x:v>
      </x:c>
      <x:c r="H31" s="9" t="str">
        <x:v>Oui</x:v>
      </x:c>
      <x:c r="I31" s="9" t="str">
        <x:v>Oui</x:v>
      </x:c>
      <x:c r="J31" s="9" t="str">
        <x:v>Oui</x:v>
      </x:c>
      <x:c r="K31" s="9" t="str">
        <x:v>Oui</x:v>
      </x:c>
      <x:c r="L31" s="9" t="str">
        <x:v>NC</x:v>
      </x:c>
      <x:c r="M31" s="9"/>
      <x:c r="N31" s="12" t="n">
        <x:f>IF(A31="","",IF(ISNUMBER(F31),F31-'Tableau de bord'!$F$5,""))</x:f>
        <x:v>92</x:v>
      </x:c>
      <x:c r="O31" s="12" t="str">
        <x:f>IF(A31="","",IF(ISNUMBER(F31),IF(N31&lt;0,"Expiré",IF(N31&lt;='Paramètres'!$E$6,"À renouveler","À jour")),"À compléter"))</x:f>
        <x:v>À jour</x:v>
      </x:c>
      <x:c r="P31" s="12" t="n">
        <x:f>IF(A31="","",IF(AND(ISNUMBER(F31),F31&gt;'Tableau de bord'!$F$5,G31="Oui",H31="Oui",I31="Oui",J31="Oui",K31="Oui"),1,0))</x:f>
        <x:v>1</x:v>
      </x:c>
      <x:c r="Q31" s="9" t="str">
        <x:v>Suivi PdP!A37:X37</x:v>
      </x:c>
      <x:c r="R31" s="12" t="str">
        <x:f>IF(A31="","",IF(C31="","OTP manquant",IF(COUNTIFS($A$6:$A$505,A31,$C$6:$C$505,C31)&gt;1,"Doublon OTP","")))</x:f>
        <x:v>OTP manquant</x:v>
      </x:c>
    </x:row>
    <x:row r="32" ht="23" customHeight="1">
      <x:c r="A32" s="9" t="str">
        <x:v>Lille</x:v>
      </x:c>
      <x:c r="B32" s="9" t="str">
        <x:v>PDP-38</x:v>
      </x:c>
      <x:c r="C32" s="9"/>
      <x:c r="D32" s="9" t="str">
        <x:v>LFB ARRAS (tertiaire)</x:v>
      </x:c>
      <x:c r="E32" s="9" t="str">
        <x:v>CS 3</x:v>
      </x:c>
      <x:c r="F32" s="11" t="n">
        <x:v>46400</x:v>
      </x:c>
      <x:c r="G32" s="9" t="str">
        <x:v>Oui</x:v>
      </x:c>
      <x:c r="H32" s="9" t="str">
        <x:v>Oui</x:v>
      </x:c>
      <x:c r="I32" s="9" t="str">
        <x:v>Oui</x:v>
      </x:c>
      <x:c r="J32" s="9" t="str">
        <x:v>Oui</x:v>
      </x:c>
      <x:c r="K32" s="9" t="str">
        <x:v>Oui</x:v>
      </x:c>
      <x:c r="L32" s="9" t="str">
        <x:v>NC</x:v>
      </x:c>
      <x:c r="M32" s="9"/>
      <x:c r="N32" s="12" t="n">
        <x:f>IF(A32="","",IF(ISNUMBER(F32),F32-'Tableau de bord'!$F$5,""))</x:f>
        <x:v>121</x:v>
      </x:c>
      <x:c r="O32" s="12" t="str">
        <x:f>IF(A32="","",IF(ISNUMBER(F32),IF(N32&lt;0,"Expiré",IF(N32&lt;='Paramètres'!$E$6,"À renouveler","À jour")),"À compléter"))</x:f>
        <x:v>À jour</x:v>
      </x:c>
      <x:c r="P32" s="12" t="n">
        <x:f>IF(A32="","",IF(AND(ISNUMBER(F32),F32&gt;'Tableau de bord'!$F$5,G32="Oui",H32="Oui",I32="Oui",J32="Oui",K32="Oui"),1,0))</x:f>
        <x:v>1</x:v>
      </x:c>
      <x:c r="Q32" s="9" t="str">
        <x:v>Suivi PdP!A38:X38</x:v>
      </x:c>
      <x:c r="R32" s="12" t="str">
        <x:f>IF(A32="","",IF(C32="","OTP manquant",IF(COUNTIFS($A$6:$A$505,A32,$C$6:$C$505,C32)&gt;1,"Doublon OTP","")))</x:f>
        <x:v>OTP manquant</x:v>
      </x:c>
    </x:row>
    <x:row r="33" ht="23" customHeight="1">
      <x:c r="A33" s="9" t="str">
        <x:v>Lille</x:v>
      </x:c>
      <x:c r="B33" s="9" t="str">
        <x:v>PDP-39</x:v>
      </x:c>
      <x:c r="C33" s="9"/>
      <x:c r="D33" s="9" t="str">
        <x:v>LFB PRODUCTION LILLE</x:v>
      </x:c>
      <x:c r="E33" s="9" t="str">
        <x:v>CA</x:v>
      </x:c>
      <x:c r="F33" s="11" t="n">
        <x:v>46400</x:v>
      </x:c>
      <x:c r="G33" s="9" t="str">
        <x:v>Oui</x:v>
      </x:c>
      <x:c r="H33" s="9" t="str">
        <x:v>Oui</x:v>
      </x:c>
      <x:c r="I33" s="9" t="str">
        <x:v>Oui</x:v>
      </x:c>
      <x:c r="J33" s="9" t="str">
        <x:v>Oui</x:v>
      </x:c>
      <x:c r="K33" s="9" t="str">
        <x:v>Oui</x:v>
      </x:c>
      <x:c r="L33" s="9" t="str">
        <x:v>NC</x:v>
      </x:c>
      <x:c r="M33" s="9"/>
      <x:c r="N33" s="12" t="n">
        <x:f>IF(A33="","",IF(ISNUMBER(F33),F33-'Tableau de bord'!$F$5,""))</x:f>
        <x:v>121</x:v>
      </x:c>
      <x:c r="O33" s="12" t="str">
        <x:f>IF(A33="","",IF(ISNUMBER(F33),IF(N33&lt;0,"Expiré",IF(N33&lt;='Paramètres'!$E$6,"À renouveler","À jour")),"À compléter"))</x:f>
        <x:v>À jour</x:v>
      </x:c>
      <x:c r="P33" s="12" t="n">
        <x:f>IF(A33="","",IF(AND(ISNUMBER(F33),F33&gt;'Tableau de bord'!$F$5,G33="Oui",H33="Oui",I33="Oui",J33="Oui",K33="Oui"),1,0))</x:f>
        <x:v>1</x:v>
      </x:c>
      <x:c r="Q33" s="9" t="str">
        <x:v>Suivi PdP!A39:X39</x:v>
      </x:c>
      <x:c r="R33" s="12" t="str">
        <x:f>IF(A33="","",IF(C33="","OTP manquant",IF(COUNTIFS($A$6:$A$505,A33,$C$6:$C$505,C33)&gt;1,"Doublon OTP","")))</x:f>
        <x:v>OTP manquant</x:v>
      </x:c>
    </x:row>
    <x:row r="34" ht="23" customHeight="1">
      <x:c r="A34" s="9" t="str">
        <x:v>Lille</x:v>
      </x:c>
      <x:c r="B34" s="9" t="str">
        <x:v>PDP-40</x:v>
      </x:c>
      <x:c r="C34" s="9"/>
      <x:c r="D34" s="9" t="str">
        <x:v>ID LOGISTICS SANTES</x:v>
      </x:c>
      <x:c r="E34" s="9" t="str">
        <x:v>CS 2</x:v>
      </x:c>
      <x:c r="F34" s="11" t="n">
        <x:v>46388</x:v>
      </x:c>
      <x:c r="G34" s="9" t="str">
        <x:v>Oui</x:v>
      </x:c>
      <x:c r="H34" s="9" t="str">
        <x:v>Oui</x:v>
      </x:c>
      <x:c r="I34" s="9" t="str">
        <x:v>Oui</x:v>
      </x:c>
      <x:c r="J34" s="9" t="str">
        <x:v>Oui</x:v>
      </x:c>
      <x:c r="K34" s="9" t="str">
        <x:v>Non</x:v>
      </x:c>
      <x:c r="L34" s="9" t="str">
        <x:v>NC</x:v>
      </x:c>
      <x:c r="M34" s="9"/>
      <x:c r="N34" s="12" t="n">
        <x:f>IF(A34="","",IF(ISNUMBER(F34),F34-'Tableau de bord'!$F$5,""))</x:f>
        <x:v>109</x:v>
      </x:c>
      <x:c r="O34" s="12" t="str">
        <x:f>IF(A34="","",IF(ISNUMBER(F34),IF(N34&lt;0,"Expiré",IF(N34&lt;='Paramètres'!$E$6,"À renouveler","À jour")),"À compléter"))</x:f>
        <x:v>À jour</x:v>
      </x:c>
      <x:c r="P34" s="12" t="n">
        <x:f>IF(A34="","",IF(AND(ISNUMBER(F34),F34&gt;'Tableau de bord'!$F$5,G34="Oui",H34="Oui",I34="Oui",J34="Oui",K34="Oui"),1,0))</x:f>
        <x:v>0</x:v>
      </x:c>
      <x:c r="Q34" s="9" t="str">
        <x:v>Suivi PdP!A40:X40</x:v>
      </x:c>
      <x:c r="R34" s="12" t="str">
        <x:f>IF(A34="","",IF(C34="","OTP manquant",IF(COUNTIFS($A$6:$A$505,A34,$C$6:$C$505,C34)&gt;1,"Doublon OTP","")))</x:f>
        <x:v>OTP manquant</x:v>
      </x:c>
    </x:row>
    <x:row r="35" ht="23" customHeight="1">
      <x:c r="A35" s="9" t="str">
        <x:v>Lille</x:v>
      </x:c>
      <x:c r="B35" s="9" t="str">
        <x:v>PDP-41</x:v>
      </x:c>
      <x:c r="C35" s="9" t="str">
        <x:v>C/004453</x:v>
      </x:c>
      <x:c r="D35" s="9" t="str">
        <x:v>IDEA EMBALLAGES MOUVAUX</x:v>
      </x:c>
      <x:c r="E35" s="9" t="str">
        <x:v>CS 2</x:v>
      </x:c>
      <x:c r="F35" s="11" t="n">
        <x:v>46602</x:v>
      </x:c>
      <x:c r="G35" s="9" t="str">
        <x:v>Oui</x:v>
      </x:c>
      <x:c r="H35" s="9" t="str">
        <x:v>Oui</x:v>
      </x:c>
      <x:c r="I35" s="9" t="str">
        <x:v>Oui</x:v>
      </x:c>
      <x:c r="J35" s="9" t="str">
        <x:v>Oui</x:v>
      </x:c>
      <x:c r="K35" s="9" t="str">
        <x:v>Non</x:v>
      </x:c>
      <x:c r="L35" s="9" t="str">
        <x:v>NC</x:v>
      </x:c>
      <x:c r="M35" s="9"/>
      <x:c r="N35" s="12" t="n">
        <x:f>IF(A35="","",IF(ISNUMBER(F35),F35-'Tableau de bord'!$F$5,""))</x:f>
        <x:v>323</x:v>
      </x:c>
      <x:c r="O35" s="12" t="str">
        <x:f>IF(A35="","",IF(ISNUMBER(F35),IF(N35&lt;0,"Expiré",IF(N35&lt;='Paramètres'!$E$6,"À renouveler","À jour")),"À compléter"))</x:f>
        <x:v>À jour</x:v>
      </x:c>
      <x:c r="P35" s="12" t="n">
        <x:f>IF(A35="","",IF(AND(ISNUMBER(F35),F35&gt;'Tableau de bord'!$F$5,G35="Oui",H35="Oui",I35="Oui",J35="Oui",K35="Oui"),1,0))</x:f>
        <x:v>0</x:v>
      </x:c>
      <x:c r="Q35" s="9" t="str">
        <x:v>Suivi PdP!A41:X41</x:v>
      </x:c>
      <x:c r="R35" s="12" t="str">
        <x:f>IF(A35="","",IF(C35="","OTP manquant",IF(COUNTIFS($A$6:$A$505,A35,$C$6:$C$505,C35)&gt;1,"Doublon OTP","")))</x:f>
      </x:c>
    </x:row>
    <x:row r="36" ht="23" customHeight="1">
      <x:c r="A36" s="9" t="str">
        <x:v>Lille</x:v>
      </x:c>
      <x:c r="B36" s="9" t="str">
        <x:v>PDP-42</x:v>
      </x:c>
      <x:c r="C36" s="9"/>
      <x:c r="D36" s="9" t="str">
        <x:v>LES FURETS DU NORD LILLE CDS3</x:v>
      </x:c>
      <x:c r="E36" s="9" t="str">
        <x:v>CS 3</x:v>
      </x:c>
      <x:c r="F36" s="11" t="n">
        <x:v>46985</x:v>
      </x:c>
      <x:c r="G36" s="9" t="str">
        <x:v>Oui</x:v>
      </x:c>
      <x:c r="H36" s="9" t="str">
        <x:v>Oui</x:v>
      </x:c>
      <x:c r="I36" s="9" t="str">
        <x:v>Oui</x:v>
      </x:c>
      <x:c r="J36" s="9"/>
      <x:c r="K36" s="9" t="str">
        <x:v>Non</x:v>
      </x:c>
      <x:c r="L36" s="9" t="str">
        <x:v>NC</x:v>
      </x:c>
      <x:c r="M36" s="9"/>
      <x:c r="N36" s="12" t="n">
        <x:f>IF(A36="","",IF(ISNUMBER(F36),F36-'Tableau de bord'!$F$5,""))</x:f>
        <x:v>706</x:v>
      </x:c>
      <x:c r="O36" s="12" t="str">
        <x:f>IF(A36="","",IF(ISNUMBER(F36),IF(N36&lt;0,"Expiré",IF(N36&lt;='Paramètres'!$E$6,"À renouveler","À jour")),"À compléter"))</x:f>
        <x:v>À jour</x:v>
      </x:c>
      <x:c r="P36" s="12" t="n">
        <x:f>IF(A36="","",IF(AND(ISNUMBER(F36),F36&gt;'Tableau de bord'!$F$5,G36="Oui",H36="Oui",I36="Oui",J36="Oui",K36="Oui"),1,0))</x:f>
        <x:v>0</x:v>
      </x:c>
      <x:c r="Q36" s="9" t="str">
        <x:v>Suivi PdP!A42:X42</x:v>
      </x:c>
      <x:c r="R36" s="12" t="str">
        <x:f>IF(A36="","",IF(C36="","OTP manquant",IF(COUNTIFS($A$6:$A$505,A36,$C$6:$C$505,C36)&gt;1,"Doublon OTP","")))</x:f>
        <x:v>OTP manquant</x:v>
      </x:c>
    </x:row>
    <x:row r="37" ht="23" customHeight="1">
      <x:c r="A37" s="9" t="str">
        <x:v>Lille</x:v>
      </x:c>
      <x:c r="B37" s="9" t="str">
        <x:v>PDP-43</x:v>
      </x:c>
      <x:c r="C37" s="9" t="str">
        <x:v>C/004621</x:v>
      </x:c>
      <x:c r="D37" s="9" t="str">
        <x:v>MEGARAMA ARRAS</x:v>
      </x:c>
      <x:c r="E37" s="9" t="str">
        <x:v>CS 3</x:v>
      </x:c>
      <x:c r="F37" s="11" t="n">
        <x:v>46985</x:v>
      </x:c>
      <x:c r="G37" s="9" t="str">
        <x:v>Oui</x:v>
      </x:c>
      <x:c r="H37" s="9" t="str">
        <x:v>Oui</x:v>
      </x:c>
      <x:c r="I37" s="9" t="str">
        <x:v>Oui</x:v>
      </x:c>
      <x:c r="J37" s="9"/>
      <x:c r="K37" s="9" t="str">
        <x:v>Non</x:v>
      </x:c>
      <x:c r="L37" s="9" t="str">
        <x:v>NC</x:v>
      </x:c>
      <x:c r="M37" s="9"/>
      <x:c r="N37" s="12" t="n">
        <x:f>IF(A37="","",IF(ISNUMBER(F37),F37-'Tableau de bord'!$F$5,""))</x:f>
        <x:v>706</x:v>
      </x:c>
      <x:c r="O37" s="12" t="str">
        <x:f>IF(A37="","",IF(ISNUMBER(F37),IF(N37&lt;0,"Expiré",IF(N37&lt;='Paramètres'!$E$6,"À renouveler","À jour")),"À compléter"))</x:f>
        <x:v>À jour</x:v>
      </x:c>
      <x:c r="P37" s="12" t="n">
        <x:f>IF(A37="","",IF(AND(ISNUMBER(F37),F37&gt;'Tableau de bord'!$F$5,G37="Oui",H37="Oui",I37="Oui",J37="Oui",K37="Oui"),1,0))</x:f>
        <x:v>0</x:v>
      </x:c>
      <x:c r="Q37" s="9" t="str">
        <x:v>Suivi PdP!A43:X43</x:v>
      </x:c>
      <x:c r="R37" s="12" t="str">
        <x:f>IF(A37="","",IF(C37="","OTP manquant",IF(COUNTIFS($A$6:$A$505,A37,$C$6:$C$505,C37)&gt;1,"Doublon OTP","")))</x:f>
      </x:c>
    </x:row>
    <x:row r="38" ht="23" customHeight="1">
      <x:c r="A38" s="9" t="str">
        <x:v>Lille</x:v>
      </x:c>
      <x:c r="B38" s="9" t="str">
        <x:v>PDP-44</x:v>
      </x:c>
      <x:c r="C38" s="9" t="str">
        <x:v>C/005792</x:v>
      </x:c>
      <x:c r="D38" s="9" t="str">
        <x:v>MEGARAMA BOULOGNE-SUR-MER</x:v>
      </x:c>
      <x:c r="E38" s="9" t="str">
        <x:v>CS 3</x:v>
      </x:c>
      <x:c r="F38" s="11" t="n">
        <x:v>46978</x:v>
      </x:c>
      <x:c r="G38" s="9" t="str">
        <x:v>Oui</x:v>
      </x:c>
      <x:c r="H38" s="9" t="str">
        <x:v>Oui</x:v>
      </x:c>
      <x:c r="I38" s="9" t="str">
        <x:v>Oui</x:v>
      </x:c>
      <x:c r="J38" s="9" t="str">
        <x:v>Oui</x:v>
      </x:c>
      <x:c r="K38" s="9" t="str">
        <x:v>Non</x:v>
      </x:c>
      <x:c r="L38" s="9" t="str">
        <x:v>NC</x:v>
      </x:c>
      <x:c r="M38" s="9"/>
      <x:c r="N38" s="12" t="n">
        <x:f>IF(A38="","",IF(ISNUMBER(F38),F38-'Tableau de bord'!$F$5,""))</x:f>
        <x:v>699</x:v>
      </x:c>
      <x:c r="O38" s="12" t="str">
        <x:f>IF(A38="","",IF(ISNUMBER(F38),IF(N38&lt;0,"Expiré",IF(N38&lt;='Paramètres'!$E$6,"À renouveler","À jour")),"À compléter"))</x:f>
        <x:v>À jour</x:v>
      </x:c>
      <x:c r="P38" s="12" t="n">
        <x:f>IF(A38="","",IF(AND(ISNUMBER(F38),F38&gt;'Tableau de bord'!$F$5,G38="Oui",H38="Oui",I38="Oui",J38="Oui",K38="Oui"),1,0))</x:f>
        <x:v>0</x:v>
      </x:c>
      <x:c r="Q38" s="9" t="str">
        <x:v>Suivi PdP!A44:X44</x:v>
      </x:c>
      <x:c r="R38" s="12" t="str">
        <x:f>IF(A38="","",IF(C38="","OTP manquant",IF(COUNTIFS($A$6:$A$505,A38,$C$6:$C$505,C38)&gt;1,"Doublon OTP","")))</x:f>
      </x:c>
    </x:row>
    <x:row r="39" ht="23" customHeight="1">
      <x:c r="A39" s="9" t="str">
        <x:v>Lille</x:v>
      </x:c>
      <x:c r="B39" s="9" t="str">
        <x:v>PDP-45</x:v>
      </x:c>
      <x:c r="C39" s="9" t="str">
        <x:v>C/005847</x:v>
      </x:c>
      <x:c r="D39" s="9" t="str">
        <x:v>SA GENFIT-LOOS</x:v>
      </x:c>
      <x:c r="E39" s="9" t="str">
        <x:v>CS 2</x:v>
      </x:c>
      <x:c r="F39" s="11" t="n">
        <x:v>46653</x:v>
      </x:c>
      <x:c r="G39" s="9" t="str">
        <x:v>Oui</x:v>
      </x:c>
      <x:c r="H39" s="9" t="str">
        <x:v>Oui</x:v>
      </x:c>
      <x:c r="I39" s="9" t="str">
        <x:v>Oui</x:v>
      </x:c>
      <x:c r="J39" s="9" t="str">
        <x:v>Oui</x:v>
      </x:c>
      <x:c r="K39" s="9" t="str">
        <x:v>Oui</x:v>
      </x:c>
      <x:c r="L39" s="9" t="str">
        <x:v>NC</x:v>
      </x:c>
      <x:c r="M39" s="9"/>
      <x:c r="N39" s="12" t="n">
        <x:f>IF(A39="","",IF(ISNUMBER(F39),F39-'Tableau de bord'!$F$5,""))</x:f>
        <x:v>374</x:v>
      </x:c>
      <x:c r="O39" s="12" t="str">
        <x:f>IF(A39="","",IF(ISNUMBER(F39),IF(N39&lt;0,"Expiré",IF(N39&lt;='Paramètres'!$E$6,"À renouveler","À jour")),"À compléter"))</x:f>
        <x:v>À jour</x:v>
      </x:c>
      <x:c r="P39" s="12" t="n">
        <x:f>IF(A39="","",IF(AND(ISNUMBER(F39),F39&gt;'Tableau de bord'!$F$5,G39="Oui",H39="Oui",I39="Oui",J39="Oui",K39="Oui"),1,0))</x:f>
        <x:v>1</x:v>
      </x:c>
      <x:c r="Q39" s="9" t="str">
        <x:v>Suivi PdP!A45:X45</x:v>
      </x:c>
      <x:c r="R39" s="12" t="str">
        <x:f>IF(A39="","",IF(C39="","OTP manquant",IF(COUNTIFS($A$6:$A$505,A39,$C$6:$C$505,C39)&gt;1,"Doublon OTP","")))</x:f>
        <x:v>Doublon OTP</x:v>
      </x:c>
    </x:row>
    <x:row r="40" ht="23" customHeight="1">
      <x:c r="A40" s="9" t="str">
        <x:v>Lille</x:v>
      </x:c>
      <x:c r="B40" s="9" t="str">
        <x:v>PDP-46</x:v>
      </x:c>
      <x:c r="C40" s="9"/>
      <x:c r="D40" s="9" t="str">
        <x:v>SECURITAS S1</x:v>
      </x:c>
      <x:c r="E40" s="9" t="str">
        <x:v>CS 2</x:v>
      </x:c>
      <x:c r="F40" s="11" t="n">
        <x:v>46904</x:v>
      </x:c>
      <x:c r="G40" s="9" t="str">
        <x:v>Oui</x:v>
      </x:c>
      <x:c r="H40" s="9" t="str">
        <x:v>Oui</x:v>
      </x:c>
      <x:c r="I40" s="9" t="str">
        <x:v>Oui</x:v>
      </x:c>
      <x:c r="J40" s="9" t="str">
        <x:v>Oui</x:v>
      </x:c>
      <x:c r="K40" s="9" t="str">
        <x:v>Oui</x:v>
      </x:c>
      <x:c r="L40" s="9" t="str">
        <x:v>NC</x:v>
      </x:c>
      <x:c r="M40" s="9"/>
      <x:c r="N40" s="12" t="n">
        <x:f>IF(A40="","",IF(ISNUMBER(F40),F40-'Tableau de bord'!$F$5,""))</x:f>
        <x:v>625</x:v>
      </x:c>
      <x:c r="O40" s="12" t="str">
        <x:f>IF(A40="","",IF(ISNUMBER(F40),IF(N40&lt;0,"Expiré",IF(N40&lt;='Paramètres'!$E$6,"À renouveler","À jour")),"À compléter"))</x:f>
        <x:v>À jour</x:v>
      </x:c>
      <x:c r="P40" s="12" t="n">
        <x:f>IF(A40="","",IF(AND(ISNUMBER(F40),F40&gt;'Tableau de bord'!$F$5,G40="Oui",H40="Oui",I40="Oui",J40="Oui",K40="Oui"),1,0))</x:f>
        <x:v>1</x:v>
      </x:c>
      <x:c r="Q40" s="9" t="str">
        <x:v>Suivi PdP!A46:X46</x:v>
      </x:c>
      <x:c r="R40" s="12" t="str">
        <x:f>IF(A40="","",IF(C40="","OTP manquant",IF(COUNTIFS($A$6:$A$505,A40,$C$6:$C$505,C40)&gt;1,"Doublon OTP","")))</x:f>
        <x:v>OTP manquant</x:v>
      </x:c>
    </x:row>
    <x:row r="41" ht="23" customHeight="1">
      <x:c r="A41" s="9" t="str">
        <x:v>Lille</x:v>
      </x:c>
      <x:c r="B41" s="9" t="str">
        <x:v>PDP-47</x:v>
      </x:c>
      <x:c r="C41" s="9"/>
      <x:c r="D41" s="9" t="str">
        <x:v>SECURITAS S3</x:v>
      </x:c>
      <x:c r="E41" s="9" t="str">
        <x:v>CS 2</x:v>
      </x:c>
      <x:c r="F41" s="11" t="n">
        <x:v>46904</x:v>
      </x:c>
      <x:c r="G41" s="9" t="str">
        <x:v>Oui</x:v>
      </x:c>
      <x:c r="H41" s="9" t="str">
        <x:v>Oui</x:v>
      </x:c>
      <x:c r="I41" s="9" t="str">
        <x:v>Oui</x:v>
      </x:c>
      <x:c r="J41" s="9" t="str">
        <x:v>Oui</x:v>
      </x:c>
      <x:c r="K41" s="9" t="str">
        <x:v>Oui</x:v>
      </x:c>
      <x:c r="L41" s="9" t="str">
        <x:v>NC</x:v>
      </x:c>
      <x:c r="M41" s="9"/>
      <x:c r="N41" s="12" t="n">
        <x:f>IF(A41="","",IF(ISNUMBER(F41),F41-'Tableau de bord'!$F$5,""))</x:f>
        <x:v>625</x:v>
      </x:c>
      <x:c r="O41" s="12" t="str">
        <x:f>IF(A41="","",IF(ISNUMBER(F41),IF(N41&lt;0,"Expiré",IF(N41&lt;='Paramètres'!$E$6,"À renouveler","À jour")),"À compléter"))</x:f>
        <x:v>À jour</x:v>
      </x:c>
      <x:c r="P41" s="12" t="n">
        <x:f>IF(A41="","",IF(AND(ISNUMBER(F41),F41&gt;'Tableau de bord'!$F$5,G41="Oui",H41="Oui",I41="Oui",J41="Oui",K41="Oui"),1,0))</x:f>
        <x:v>1</x:v>
      </x:c>
      <x:c r="Q41" s="9" t="str">
        <x:v>Suivi PdP!A47:X47</x:v>
      </x:c>
      <x:c r="R41" s="12" t="str">
        <x:f>IF(A41="","",IF(C41="","OTP manquant",IF(COUNTIFS($A$6:$A$505,A41,$C$6:$C$505,C41)&gt;1,"Doublon OTP","")))</x:f>
        <x:v>OTP manquant</x:v>
      </x:c>
    </x:row>
    <x:row r="42" ht="23" customHeight="1">
      <x:c r="A42" s="9" t="str">
        <x:v>Lille</x:v>
      </x:c>
      <x:c r="B42" s="9" t="str">
        <x:v>PDP-48</x:v>
      </x:c>
      <x:c r="C42" s="9"/>
      <x:c r="D42" s="9" t="str">
        <x:v>SECURITAS S4</x:v>
      </x:c>
      <x:c r="E42" s="9" t="str">
        <x:v>CS 2</x:v>
      </x:c>
      <x:c r="F42" s="11" t="n">
        <x:v>46904</x:v>
      </x:c>
      <x:c r="G42" s="9" t="str">
        <x:v>Oui</x:v>
      </x:c>
      <x:c r="H42" s="9" t="str">
        <x:v>Oui</x:v>
      </x:c>
      <x:c r="I42" s="9" t="str">
        <x:v>Oui</x:v>
      </x:c>
      <x:c r="J42" s="9" t="str">
        <x:v>Oui</x:v>
      </x:c>
      <x:c r="K42" s="9" t="str">
        <x:v>Oui</x:v>
      </x:c>
      <x:c r="L42" s="9" t="str">
        <x:v>NC</x:v>
      </x:c>
      <x:c r="M42" s="9"/>
      <x:c r="N42" s="12" t="n">
        <x:f>IF(A42="","",IF(ISNUMBER(F42),F42-'Tableau de bord'!$F$5,""))</x:f>
        <x:v>625</x:v>
      </x:c>
      <x:c r="O42" s="12" t="str">
        <x:f>IF(A42="","",IF(ISNUMBER(F42),IF(N42&lt;0,"Expiré",IF(N42&lt;='Paramètres'!$E$6,"À renouveler","À jour")),"À compléter"))</x:f>
        <x:v>À jour</x:v>
      </x:c>
      <x:c r="P42" s="12" t="n">
        <x:f>IF(A42="","",IF(AND(ISNUMBER(F42),F42&gt;'Tableau de bord'!$F$5,G42="Oui",H42="Oui",I42="Oui",J42="Oui",K42="Oui"),1,0))</x:f>
        <x:v>1</x:v>
      </x:c>
      <x:c r="Q42" s="9" t="str">
        <x:v>Suivi PdP!A48:X48</x:v>
      </x:c>
      <x:c r="R42" s="12" t="str">
        <x:f>IF(A42="","",IF(C42="","OTP manquant",IF(COUNTIFS($A$6:$A$505,A42,$C$6:$C$505,C42)&gt;1,"Doublon OTP","")))</x:f>
        <x:v>OTP manquant</x:v>
      </x:c>
    </x:row>
    <x:row r="43" ht="23" customHeight="1">
      <x:c r="A43" s="9" t="str">
        <x:v>Lille</x:v>
      </x:c>
      <x:c r="B43" s="9" t="str">
        <x:v>PDP-49</x:v>
      </x:c>
      <x:c r="C43" s="9"/>
      <x:c r="D43" s="9" t="str">
        <x:v>SKEMA</x:v>
      </x:c>
      <x:c r="E43" s="9" t="str">
        <x:v>CS 1</x:v>
      </x:c>
      <x:c r="F43" s="11" t="n">
        <x:v>46753</x:v>
      </x:c>
      <x:c r="G43" s="9" t="str">
        <x:v>Oui</x:v>
      </x:c>
      <x:c r="H43" s="9" t="str">
        <x:v>Oui</x:v>
      </x:c>
      <x:c r="I43" s="9" t="str">
        <x:v>Oui</x:v>
      </x:c>
      <x:c r="J43" s="9" t="str">
        <x:v>Oui</x:v>
      </x:c>
      <x:c r="K43" s="9" t="str">
        <x:v>Oui</x:v>
      </x:c>
      <x:c r="L43" s="9" t="str">
        <x:v>NC</x:v>
      </x:c>
      <x:c r="M43" s="9"/>
      <x:c r="N43" s="12" t="n">
        <x:f>IF(A43="","",IF(ISNUMBER(F43),F43-'Tableau de bord'!$F$5,""))</x:f>
        <x:v>474</x:v>
      </x:c>
      <x:c r="O43" s="12" t="str">
        <x:f>IF(A43="","",IF(ISNUMBER(F43),IF(N43&lt;0,"Expiré",IF(N43&lt;='Paramètres'!$E$6,"À renouveler","À jour")),"À compléter"))</x:f>
        <x:v>À jour</x:v>
      </x:c>
      <x:c r="P43" s="12" t="n">
        <x:f>IF(A43="","",IF(AND(ISNUMBER(F43),F43&gt;'Tableau de bord'!$F$5,G43="Oui",H43="Oui",I43="Oui",J43="Oui",K43="Oui"),1,0))</x:f>
        <x:v>1</x:v>
      </x:c>
      <x:c r="Q43" s="9" t="str">
        <x:v>Suivi PdP!A49:X49</x:v>
      </x:c>
      <x:c r="R43" s="12" t="str">
        <x:f>IF(A43="","",IF(C43="","OTP manquant",IF(COUNTIFS($A$6:$A$505,A43,$C$6:$C$505,C43)&gt;1,"Doublon OTP","")))</x:f>
        <x:v>OTP manquant</x:v>
      </x:c>
    </x:row>
    <x:row r="44" ht="23" customHeight="1">
      <x:c r="A44" s="9" t="str">
        <x:v>Lille</x:v>
      </x:c>
      <x:c r="B44" s="9" t="str">
        <x:v>PDP-50</x:v>
      </x:c>
      <x:c r="C44" s="9"/>
      <x:c r="D44" s="9" t="str">
        <x:v>VINCI JEAN LEFEVRE LILLE</x:v>
      </x:c>
      <x:c r="E44" s="9" t="str">
        <x:v>CS 2</x:v>
      </x:c>
      <x:c r="F44" s="11" t="n">
        <x:v>46965</x:v>
      </x:c>
      <x:c r="G44" s="9" t="str">
        <x:v>Oui</x:v>
      </x:c>
      <x:c r="H44" s="9" t="str">
        <x:v>Oui</x:v>
      </x:c>
      <x:c r="I44" s="9" t="str">
        <x:v>Oui</x:v>
      </x:c>
      <x:c r="J44" s="9" t="str">
        <x:v>Non</x:v>
      </x:c>
      <x:c r="K44" s="9" t="str">
        <x:v>Oui</x:v>
      </x:c>
      <x:c r="L44" s="9" t="str">
        <x:v>NC</x:v>
      </x:c>
      <x:c r="M44" s="9"/>
      <x:c r="N44" s="12" t="n">
        <x:f>IF(A44="","",IF(ISNUMBER(F44),F44-'Tableau de bord'!$F$5,""))</x:f>
        <x:v>686</x:v>
      </x:c>
      <x:c r="O44" s="12" t="str">
        <x:f>IF(A44="","",IF(ISNUMBER(F44),IF(N44&lt;0,"Expiré",IF(N44&lt;='Paramètres'!$E$6,"À renouveler","À jour")),"À compléter"))</x:f>
        <x:v>À jour</x:v>
      </x:c>
      <x:c r="P44" s="12" t="n">
        <x:f>IF(A44="","",IF(AND(ISNUMBER(F44),F44&gt;'Tableau de bord'!$F$5,G44="Oui",H44="Oui",I44="Oui",J44="Oui",K44="Oui"),1,0))</x:f>
        <x:v>0</x:v>
      </x:c>
      <x:c r="Q44" s="9" t="str">
        <x:v>Suivi PdP!A50:X50</x:v>
      </x:c>
      <x:c r="R44" s="12" t="str">
        <x:f>IF(A44="","",IF(C44="","OTP manquant",IF(COUNTIFS($A$6:$A$505,A44,$C$6:$C$505,C44)&gt;1,"Doublon OTP","")))</x:f>
        <x:v>OTP manquant</x:v>
      </x:c>
    </x:row>
    <x:row r="45" ht="23" customHeight="1">
      <x:c r="A45" s="9" t="str">
        <x:v>Lille</x:v>
      </x:c>
      <x:c r="B45" s="9" t="str">
        <x:v>PDP-51</x:v>
      </x:c>
      <x:c r="C45" s="9" t="str">
        <x:v>C/004620</x:v>
      </x:c>
      <x:c r="D45" s="9" t="str">
        <x:v>MEGARAMA DENAIN</x:v>
      </x:c>
      <x:c r="E45" s="9" t="str">
        <x:v>CS 3</x:v>
      </x:c>
      <x:c r="F45" s="11" t="n">
        <x:v>46985</x:v>
      </x:c>
      <x:c r="G45" s="9" t="str">
        <x:v>Oui</x:v>
      </x:c>
      <x:c r="H45" s="9" t="str">
        <x:v>Oui</x:v>
      </x:c>
      <x:c r="I45" s="9" t="str">
        <x:v>Oui</x:v>
      </x:c>
      <x:c r="J45" s="9"/>
      <x:c r="K45" s="9" t="str">
        <x:v>Non</x:v>
      </x:c>
      <x:c r="L45" s="9" t="str">
        <x:v>NC</x:v>
      </x:c>
      <x:c r="M45" s="9"/>
      <x:c r="N45" s="12" t="n">
        <x:f>IF(A45="","",IF(ISNUMBER(F45),F45-'Tableau de bord'!$F$5,""))</x:f>
        <x:v>706</x:v>
      </x:c>
      <x:c r="O45" s="12" t="str">
        <x:f>IF(A45="","",IF(ISNUMBER(F45),IF(N45&lt;0,"Expiré",IF(N45&lt;='Paramètres'!$E$6,"À renouveler","À jour")),"À compléter"))</x:f>
        <x:v>À jour</x:v>
      </x:c>
      <x:c r="P45" s="12" t="n">
        <x:f>IF(A45="","",IF(AND(ISNUMBER(F45),F45&gt;'Tableau de bord'!$F$5,G45="Oui",H45="Oui",I45="Oui",J45="Oui",K45="Oui"),1,0))</x:f>
        <x:v>0</x:v>
      </x:c>
      <x:c r="Q45" s="9" t="str">
        <x:v>Suivi PdP!A51:X51</x:v>
      </x:c>
      <x:c r="R45" s="12" t="str">
        <x:f>IF(A45="","",IF(C45="","OTP manquant",IF(COUNTIFS($A$6:$A$505,A45,$C$6:$C$505,C45)&gt;1,"Doublon OTP","")))</x:f>
      </x:c>
    </x:row>
    <x:row r="46" ht="23" customHeight="1">
      <x:c r="A46" s="9" t="str">
        <x:v>Lille</x:v>
      </x:c>
      <x:c r="B46" s="9" t="str">
        <x:v>PDP-52</x:v>
      </x:c>
      <x:c r="C46" s="9" t="str">
        <x:v>C/003720</x:v>
      </x:c>
      <x:c r="D46" s="9" t="str">
        <x:v>VINCI THALES LAMBERSART</x:v>
      </x:c>
      <x:c r="E46" s="9" t="str">
        <x:v>CS 2</x:v>
      </x:c>
      <x:c r="F46" s="11" t="n">
        <x:v>46045</x:v>
      </x:c>
      <x:c r="G46" s="9" t="str">
        <x:v>Oui</x:v>
      </x:c>
      <x:c r="H46" s="9" t="str">
        <x:v>Oui</x:v>
      </x:c>
      <x:c r="I46" s="9" t="str">
        <x:v>Oui</x:v>
      </x:c>
      <x:c r="J46" s="9" t="str">
        <x:v>Oui</x:v>
      </x:c>
      <x:c r="K46" s="9" t="str">
        <x:v>Oui</x:v>
      </x:c>
      <x:c r="L46" s="9" t="str">
        <x:v>NC</x:v>
      </x:c>
      <x:c r="M46" s="9"/>
      <x:c r="N46" s="12" t="n">
        <x:f>IF(A46="","",IF(ISNUMBER(F46),F46-'Tableau de bord'!$F$5,""))</x:f>
        <x:v>-234</x:v>
      </x:c>
      <x:c r="O46" s="12" t="str">
        <x:f>IF(A46="","",IF(ISNUMBER(F46),IF(N46&lt;0,"Expiré",IF(N46&lt;='Paramètres'!$E$6,"À renouveler","À jour")),"À compléter"))</x:f>
        <x:v>Expiré</x:v>
      </x:c>
      <x:c r="P46" s="12" t="n">
        <x:f>IF(A46="","",IF(AND(ISNUMBER(F46),F46&gt;'Tableau de bord'!$F$5,G46="Oui",H46="Oui",I46="Oui",J46="Oui",K46="Oui"),1,0))</x:f>
        <x:v>0</x:v>
      </x:c>
      <x:c r="Q46" s="9" t="str">
        <x:v>Suivi PdP!A52:X52</x:v>
      </x:c>
      <x:c r="R46" s="12" t="str">
        <x:f>IF(A46="","",IF(C46="","OTP manquant",IF(COUNTIFS($A$6:$A$505,A46,$C$6:$C$505,C46)&gt;1,"Doublon OTP","")))</x:f>
      </x:c>
    </x:row>
    <x:row r="47" ht="23" customHeight="1">
      <x:c r="A47" s="9" t="str">
        <x:v>Lille</x:v>
      </x:c>
      <x:c r="B47" s="9" t="str">
        <x:v>PDP-53</x:v>
      </x:c>
      <x:c r="C47" s="9" t="str">
        <x:v>P110/006714</x:v>
      </x:c>
      <x:c r="D47" s="9" t="str">
        <x:v>MEGARAMA ROUBAIX</x:v>
      </x:c>
      <x:c r="E47" s="9" t="str">
        <x:v>CS 2</x:v>
      </x:c>
      <x:c r="F47" s="11" t="n">
        <x:v>46985</x:v>
      </x:c>
      <x:c r="G47" s="9" t="str">
        <x:v>Non</x:v>
      </x:c>
      <x:c r="H47" s="9" t="str">
        <x:v>Oui</x:v>
      </x:c>
      <x:c r="I47" s="9" t="str">
        <x:v>Oui</x:v>
      </x:c>
      <x:c r="J47" s="9"/>
      <x:c r="K47" s="9" t="str">
        <x:v>Non</x:v>
      </x:c>
      <x:c r="L47" s="9" t="str">
        <x:v>NC</x:v>
      </x:c>
      <x:c r="M47" s="9" t="str">
        <x:v>à rechercher</x:v>
      </x:c>
      <x:c r="N47" s="12" t="n">
        <x:f>IF(A47="","",IF(ISNUMBER(F47),F47-'Tableau de bord'!$F$5,""))</x:f>
        <x:v>706</x:v>
      </x:c>
      <x:c r="O47" s="12" t="str">
        <x:f>IF(A47="","",IF(ISNUMBER(F47),IF(N47&lt;0,"Expiré",IF(N47&lt;='Paramètres'!$E$6,"À renouveler","À jour")),"À compléter"))</x:f>
        <x:v>À jour</x:v>
      </x:c>
      <x:c r="P47" s="12" t="n">
        <x:f>IF(A47="","",IF(AND(ISNUMBER(F47),F47&gt;'Tableau de bord'!$F$5,G47="Oui",H47="Oui",I47="Oui",J47="Oui",K47="Oui"),1,0))</x:f>
        <x:v>0</x:v>
      </x:c>
      <x:c r="Q47" s="9" t="str">
        <x:v>Suivi PdP!A53:X53</x:v>
      </x:c>
      <x:c r="R47" s="12" t="str">
        <x:f>IF(A47="","",IF(C47="","OTP manquant",IF(COUNTIFS($A$6:$A$505,A47,$C$6:$C$505,C47)&gt;1,"Doublon OTP","")))</x:f>
      </x:c>
    </x:row>
    <x:row r="48" ht="23" customHeight="1">
      <x:c r="A48" s="9" t="str">
        <x:v>Lille</x:v>
      </x:c>
      <x:c r="B48" s="9" t="str">
        <x:v>PDP-54</x:v>
      </x:c>
      <x:c r="C48" s="9" t="str">
        <x:v>P110/007584</x:v>
      </x:c>
      <x:c r="D48" s="9" t="str">
        <x:v>NOVAWATT</x:v>
      </x:c>
      <x:c r="E48" s="9" t="str">
        <x:v>CS 2</x:v>
      </x:c>
      <x:c r="F48" s="11"/>
      <x:c r="G48" s="9"/>
      <x:c r="H48" s="9"/>
      <x:c r="I48" s="9"/>
      <x:c r="J48" s="9"/>
      <x:c r="K48" s="9"/>
      <x:c r="L48" s="9"/>
      <x:c r="M48" s="9"/>
      <x:c r="N48" s="12" t="str">
        <x:f>IF(A48="","",IF(ISNUMBER(F48),F48-'Tableau de bord'!$F$5,""))</x:f>
      </x:c>
      <x:c r="O48" s="12" t="str">
        <x:f>IF(A48="","",IF(ISNUMBER(F48),IF(N48&lt;0,"Expiré",IF(N48&lt;='Paramètres'!$E$6,"À renouveler","À jour")),"À compléter"))</x:f>
        <x:v>À compléter</x:v>
      </x:c>
      <x:c r="P48" s="12" t="n">
        <x:f>IF(A48="","",IF(AND(ISNUMBER(F48),F48&gt;'Tableau de bord'!$F$5,G48="Oui",H48="Oui",I48="Oui",J48="Oui",K48="Oui"),1,0))</x:f>
        <x:v>0</x:v>
      </x:c>
      <x:c r="Q48" s="9" t="str">
        <x:v>Suivi PdP!A54:X54</x:v>
      </x:c>
      <x:c r="R48" s="12" t="str">
        <x:f>IF(A48="","",IF(C48="","OTP manquant",IF(COUNTIFS($A$6:$A$505,A48,$C$6:$C$505,C48)&gt;1,"Doublon OTP","")))</x:f>
      </x:c>
    </x:row>
    <x:row r="49" ht="23" customHeight="1">
      <x:c r="A49" s="9" t="str">
        <x:v>Lille</x:v>
      </x:c>
      <x:c r="B49" s="9" t="str">
        <x:v>PDP-55</x:v>
      </x:c>
      <x:c r="C49" s="9" t="str">
        <x:v>C/005522</x:v>
      </x:c>
      <x:c r="D49" s="9" t="str">
        <x:v>OKKO HOTELS</x:v>
      </x:c>
      <x:c r="E49" s="9" t="str">
        <x:v>CS 1</x:v>
      </x:c>
      <x:c r="F49" s="11" t="n">
        <x:v>46388</x:v>
      </x:c>
      <x:c r="G49" s="9" t="str">
        <x:v>Oui</x:v>
      </x:c>
      <x:c r="H49" s="9" t="str">
        <x:v>Oui</x:v>
      </x:c>
      <x:c r="I49" s="9" t="str">
        <x:v>Oui</x:v>
      </x:c>
      <x:c r="J49" s="9" t="str">
        <x:v>Oui</x:v>
      </x:c>
      <x:c r="K49" s="9" t="str">
        <x:v>Non</x:v>
      </x:c>
      <x:c r="L49" s="9" t="str">
        <x:v>NC</x:v>
      </x:c>
      <x:c r="M49" s="9"/>
      <x:c r="N49" s="12" t="n">
        <x:f>IF(A49="","",IF(ISNUMBER(F49),F49-'Tableau de bord'!$F$5,""))</x:f>
        <x:v>109</x:v>
      </x:c>
      <x:c r="O49" s="12" t="str">
        <x:f>IF(A49="","",IF(ISNUMBER(F49),IF(N49&lt;0,"Expiré",IF(N49&lt;='Paramètres'!$E$6,"À renouveler","À jour")),"À compléter"))</x:f>
        <x:v>À jour</x:v>
      </x:c>
      <x:c r="P49" s="12" t="n">
        <x:f>IF(A49="","",IF(AND(ISNUMBER(F49),F49&gt;'Tableau de bord'!$F$5,G49="Oui",H49="Oui",I49="Oui",J49="Oui",K49="Oui"),1,0))</x:f>
        <x:v>0</x:v>
      </x:c>
      <x:c r="Q49" s="9" t="str">
        <x:v>Suivi PdP!A55:X55</x:v>
      </x:c>
      <x:c r="R49" s="12" t="str">
        <x:f>IF(A49="","",IF(C49="","OTP manquant",IF(COUNTIFS($A$6:$A$505,A49,$C$6:$C$505,C49)&gt;1,"Doublon OTP","")))</x:f>
      </x:c>
    </x:row>
    <x:row r="50" ht="23" customHeight="1">
      <x:c r="A50" s="9" t="str">
        <x:v>Lille</x:v>
      </x:c>
      <x:c r="B50" s="9" t="str">
        <x:v>PDP-56</x:v>
      </x:c>
      <x:c r="C50" s="9"/>
      <x:c r="D50" s="9" t="str">
        <x:v>SECTOR ALARM</x:v>
      </x:c>
      <x:c r="E50" s="9" t="str">
        <x:v>CS 2</x:v>
      </x:c>
      <x:c r="F50" s="11"/>
      <x:c r="G50" s="9"/>
      <x:c r="H50" s="9"/>
      <x:c r="I50" s="9"/>
      <x:c r="J50" s="9"/>
      <x:c r="K50" s="9"/>
      <x:c r="L50" s="9"/>
      <x:c r="M50" s="9"/>
      <x:c r="N50" s="12" t="str">
        <x:f>IF(A50="","",IF(ISNUMBER(F50),F50-'Tableau de bord'!$F$5,""))</x:f>
      </x:c>
      <x:c r="O50" s="12" t="str">
        <x:f>IF(A50="","",IF(ISNUMBER(F50),IF(N50&lt;0,"Expiré",IF(N50&lt;='Paramètres'!$E$6,"À renouveler","À jour")),"À compléter"))</x:f>
        <x:v>À compléter</x:v>
      </x:c>
      <x:c r="P50" s="12" t="n">
        <x:f>IF(A50="","",IF(AND(ISNUMBER(F50),F50&gt;'Tableau de bord'!$F$5,G50="Oui",H50="Oui",I50="Oui",J50="Oui",K50="Oui"),1,0))</x:f>
        <x:v>0</x:v>
      </x:c>
      <x:c r="Q50" s="9" t="str">
        <x:v>Suivi PdP!A56:X56</x:v>
      </x:c>
      <x:c r="R50" s="12" t="str">
        <x:f>IF(A50="","",IF(C50="","OTP manquant",IF(COUNTIFS($A$6:$A$505,A50,$C$6:$C$505,C50)&gt;1,"Doublon OTP","")))</x:f>
        <x:v>OTP manquant</x:v>
      </x:c>
    </x:row>
    <x:row r="51" ht="23" customHeight="1">
      <x:c r="A51" s="9" t="str">
        <x:v>Lille</x:v>
      </x:c>
      <x:c r="B51" s="9" t="str">
        <x:v>PDP-57</x:v>
      </x:c>
      <x:c r="C51" s="9"/>
      <x:c r="D51" s="9" t="str">
        <x:v>SIDER</x:v>
      </x:c>
      <x:c r="E51" s="9" t="str">
        <x:v>CS 2</x:v>
      </x:c>
      <x:c r="F51" s="11"/>
      <x:c r="G51" s="9"/>
      <x:c r="H51" s="9"/>
      <x:c r="I51" s="9"/>
      <x:c r="J51" s="9"/>
      <x:c r="K51" s="9"/>
      <x:c r="L51" s="9"/>
      <x:c r="M51" s="9"/>
      <x:c r="N51" s="12" t="str">
        <x:f>IF(A51="","",IF(ISNUMBER(F51),F51-'Tableau de bord'!$F$5,""))</x:f>
      </x:c>
      <x:c r="O51" s="12" t="str">
        <x:f>IF(A51="","",IF(ISNUMBER(F51),IF(N51&lt;0,"Expiré",IF(N51&lt;='Paramètres'!$E$6,"À renouveler","À jour")),"À compléter"))</x:f>
        <x:v>À compléter</x:v>
      </x:c>
      <x:c r="P51" s="12" t="n">
        <x:f>IF(A51="","",IF(AND(ISNUMBER(F51),F51&gt;'Tableau de bord'!$F$5,G51="Oui",H51="Oui",I51="Oui",J51="Oui",K51="Oui"),1,0))</x:f>
        <x:v>0</x:v>
      </x:c>
      <x:c r="Q51" s="9" t="str">
        <x:v>Suivi PdP!A57:X57</x:v>
      </x:c>
      <x:c r="R51" s="12" t="str">
        <x:f>IF(A51="","",IF(C51="","OTP manquant",IF(COUNTIFS($A$6:$A$505,A51,$C$6:$C$505,C51)&gt;1,"Doublon OTP","")))</x:f>
        <x:v>OTP manquant</x:v>
      </x:c>
    </x:row>
    <x:row r="52" ht="23" customHeight="1">
      <x:c r="A52" s="9" t="str">
        <x:v>Lille</x:v>
      </x:c>
      <x:c r="B52" s="9" t="str">
        <x:v>PDP-58</x:v>
      </x:c>
      <x:c r="C52" s="9"/>
      <x:c r="D52" s="9" t="str">
        <x:v>SLIGEC</x:v>
      </x:c>
      <x:c r="E52" s="9" t="str">
        <x:v>CS 2</x:v>
      </x:c>
      <x:c r="F52" s="11"/>
      <x:c r="G52" s="9"/>
      <x:c r="H52" s="9"/>
      <x:c r="I52" s="9"/>
      <x:c r="J52" s="9"/>
      <x:c r="K52" s="9"/>
      <x:c r="L52" s="9"/>
      <x:c r="M52" s="9"/>
      <x:c r="N52" s="12" t="str">
        <x:f>IF(A52="","",IF(ISNUMBER(F52),F52-'Tableau de bord'!$F$5,""))</x:f>
      </x:c>
      <x:c r="O52" s="12" t="str">
        <x:f>IF(A52="","",IF(ISNUMBER(F52),IF(N52&lt;0,"Expiré",IF(N52&lt;='Paramètres'!$E$6,"À renouveler","À jour")),"À compléter"))</x:f>
        <x:v>À compléter</x:v>
      </x:c>
      <x:c r="P52" s="12" t="n">
        <x:f>IF(A52="","",IF(AND(ISNUMBER(F52),F52&gt;'Tableau de bord'!$F$5,G52="Oui",H52="Oui",I52="Oui",J52="Oui",K52="Oui"),1,0))</x:f>
        <x:v>0</x:v>
      </x:c>
      <x:c r="Q52" s="9" t="str">
        <x:v>Suivi PdP!A58:X58</x:v>
      </x:c>
      <x:c r="R52" s="12" t="str">
        <x:f>IF(A52="","",IF(C52="","OTP manquant",IF(COUNTIFS($A$6:$A$505,A52,$C$6:$C$505,C52)&gt;1,"Doublon OTP","")))</x:f>
        <x:v>OTP manquant</x:v>
      </x:c>
    </x:row>
    <x:row r="53" ht="23" customHeight="1">
      <x:c r="A53" s="9" t="str">
        <x:v>Lille</x:v>
      </x:c>
      <x:c r="B53" s="9" t="str">
        <x:v>PDP-59</x:v>
      </x:c>
      <x:c r="C53" s="9"/>
      <x:c r="D53" s="9" t="str">
        <x:v>VINCI SIEMENS-LESQUIN</x:v>
      </x:c>
      <x:c r="E53" s="9" t="str">
        <x:v>CS 2</x:v>
      </x:c>
      <x:c r="F53" s="11" t="n">
        <x:v>46478</x:v>
      </x:c>
      <x:c r="G53" s="9" t="str">
        <x:v>Oui</x:v>
      </x:c>
      <x:c r="H53" s="9" t="str">
        <x:v>Oui</x:v>
      </x:c>
      <x:c r="I53" s="9" t="str">
        <x:v>Oui</x:v>
      </x:c>
      <x:c r="J53" s="9" t="str">
        <x:v>Oui</x:v>
      </x:c>
      <x:c r="K53" s="9" t="str">
        <x:v>Non</x:v>
      </x:c>
      <x:c r="L53" s="9" t="str">
        <x:v>NC</x:v>
      </x:c>
      <x:c r="M53" s="9" t="str">
        <x:v>Faire signer aux agents</x:v>
      </x:c>
      <x:c r="N53" s="12" t="n">
        <x:f>IF(A53="","",IF(ISNUMBER(F53),F53-'Tableau de bord'!$F$5,""))</x:f>
        <x:v>199</x:v>
      </x:c>
      <x:c r="O53" s="12" t="str">
        <x:f>IF(A53="","",IF(ISNUMBER(F53),IF(N53&lt;0,"Expiré",IF(N53&lt;='Paramètres'!$E$6,"À renouveler","À jour")),"À compléter"))</x:f>
        <x:v>À jour</x:v>
      </x:c>
      <x:c r="P53" s="12" t="n">
        <x:f>IF(A53="","",IF(AND(ISNUMBER(F53),F53&gt;'Tableau de bord'!$F$5,G53="Oui",H53="Oui",I53="Oui",J53="Oui",K53="Oui"),1,0))</x:f>
        <x:v>0</x:v>
      </x:c>
      <x:c r="Q53" s="9" t="str">
        <x:v>Suivi PdP!A59:X59</x:v>
      </x:c>
      <x:c r="R53" s="12" t="str">
        <x:f>IF(A53="","",IF(C53="","OTP manquant",IF(COUNTIFS($A$6:$A$505,A53,$C$6:$C$505,C53)&gt;1,"Doublon OTP","")))</x:f>
        <x:v>OTP manquant</x:v>
      </x:c>
    </x:row>
    <x:row r="54" ht="23" customHeight="1">
      <x:c r="A54" s="9" t="str">
        <x:v>Lille</x:v>
      </x:c>
      <x:c r="B54" s="9" t="str">
        <x:v>PDP-60</x:v>
      </x:c>
      <x:c r="C54" s="9"/>
      <x:c r="D54" s="9" t="str">
        <x:v>BNP REAL ESTATE </x:v>
      </x:c>
      <x:c r="E54" s="9" t="str">
        <x:v>CS 2</x:v>
      </x:c>
      <x:c r="F54" s="11"/>
      <x:c r="G54" s="9"/>
      <x:c r="H54" s="9"/>
      <x:c r="I54" s="9"/>
      <x:c r="J54" s="9"/>
      <x:c r="K54" s="9"/>
      <x:c r="L54" s="9"/>
      <x:c r="M54" s="9"/>
      <x:c r="N54" s="12" t="str">
        <x:f>IF(A54="","",IF(ISNUMBER(F54),F54-'Tableau de bord'!$F$5,""))</x:f>
      </x:c>
      <x:c r="O54" s="12" t="str">
        <x:f>IF(A54="","",IF(ISNUMBER(F54),IF(N54&lt;0,"Expiré",IF(N54&lt;='Paramètres'!$E$6,"À renouveler","À jour")),"À compléter"))</x:f>
        <x:v>À compléter</x:v>
      </x:c>
      <x:c r="P54" s="12" t="n">
        <x:f>IF(A54="","",IF(AND(ISNUMBER(F54),F54&gt;'Tableau de bord'!$F$5,G54="Oui",H54="Oui",I54="Oui",J54="Oui",K54="Oui"),1,0))</x:f>
        <x:v>0</x:v>
      </x:c>
      <x:c r="Q54" s="9" t="str">
        <x:v>Suivi PdP!A60:X60</x:v>
      </x:c>
      <x:c r="R54" s="12" t="str">
        <x:f>IF(A54="","",IF(C54="","OTP manquant",IF(COUNTIFS($A$6:$A$505,A54,$C$6:$C$505,C54)&gt;1,"Doublon OTP","")))</x:f>
        <x:v>OTP manquant</x:v>
      </x:c>
    </x:row>
    <x:row r="55" ht="23" customHeight="1">
      <x:c r="A55" s="9" t="str">
        <x:v>Lille</x:v>
      </x:c>
      <x:c r="B55" s="9" t="str">
        <x:v>PDP-61</x:v>
      </x:c>
      <x:c r="C55" s="9"/>
      <x:c r="D55" s="9" t="str">
        <x:v>BERGER LEVRAULT</x:v>
      </x:c>
      <x:c r="E55" s="9" t="str">
        <x:v>CS 2</x:v>
      </x:c>
      <x:c r="F55" s="11"/>
      <x:c r="G55" s="9"/>
      <x:c r="H55" s="9"/>
      <x:c r="I55" s="9"/>
      <x:c r="J55" s="9"/>
      <x:c r="K55" s="9"/>
      <x:c r="L55" s="9"/>
      <x:c r="M55" s="9"/>
      <x:c r="N55" s="12" t="str">
        <x:f>IF(A55="","",IF(ISNUMBER(F55),F55-'Tableau de bord'!$F$5,""))</x:f>
      </x:c>
      <x:c r="O55" s="12" t="str">
        <x:f>IF(A55="","",IF(ISNUMBER(F55),IF(N55&lt;0,"Expiré",IF(N55&lt;='Paramètres'!$E$6,"À renouveler","À jour")),"À compléter"))</x:f>
        <x:v>À compléter</x:v>
      </x:c>
      <x:c r="P55" s="12" t="n">
        <x:f>IF(A55="","",IF(AND(ISNUMBER(F55),F55&gt;'Tableau de bord'!$F$5,G55="Oui",H55="Oui",I55="Oui",J55="Oui",K55="Oui"),1,0))</x:f>
        <x:v>0</x:v>
      </x:c>
      <x:c r="Q55" s="9" t="str">
        <x:v>Suivi PdP!A61:X61</x:v>
      </x:c>
      <x:c r="R55" s="12" t="str">
        <x:f>IF(A55="","",IF(C55="","OTP manquant",IF(COUNTIFS($A$6:$A$505,A55,$C$6:$C$505,C55)&gt;1,"Doublon OTP","")))</x:f>
        <x:v>OTP manquant</x:v>
      </x:c>
    </x:row>
    <x:row r="56" ht="23" customHeight="1">
      <x:c r="A56" s="9" t="str">
        <x:v>Lille</x:v>
      </x:c>
      <x:c r="B56" s="9" t="str">
        <x:v>PDP-62</x:v>
      </x:c>
      <x:c r="C56" s="9"/>
      <x:c r="D56" s="9" t="str">
        <x:v>SPIE NUCLEAIRE</x:v>
      </x:c>
      <x:c r="E56" s="9" t="str">
        <x:v>CS2</x:v>
      </x:c>
      <x:c r="F56" s="11"/>
      <x:c r="G56" s="9"/>
      <x:c r="H56" s="9"/>
      <x:c r="I56" s="9"/>
      <x:c r="J56" s="9"/>
      <x:c r="K56" s="9"/>
      <x:c r="L56" s="9"/>
      <x:c r="M56" s="9"/>
      <x:c r="N56" s="12" t="str">
        <x:f>IF(A56="","",IF(ISNUMBER(F56),F56-'Tableau de bord'!$F$5,""))</x:f>
      </x:c>
      <x:c r="O56" s="12" t="str">
        <x:f>IF(A56="","",IF(ISNUMBER(F56),IF(N56&lt;0,"Expiré",IF(N56&lt;='Paramètres'!$E$6,"À renouveler","À jour")),"À compléter"))</x:f>
        <x:v>À compléter</x:v>
      </x:c>
      <x:c r="P56" s="12" t="n">
        <x:f>IF(A56="","",IF(AND(ISNUMBER(F56),F56&gt;'Tableau de bord'!$F$5,G56="Oui",H56="Oui",I56="Oui",J56="Oui",K56="Oui"),1,0))</x:f>
        <x:v>0</x:v>
      </x:c>
      <x:c r="Q56" s="9" t="str">
        <x:v>Suivi PdP!A62:X62</x:v>
      </x:c>
      <x:c r="R56" s="12" t="str">
        <x:f>IF(A56="","",IF(C56="","OTP manquant",IF(COUNTIFS($A$6:$A$505,A56,$C$6:$C$505,C56)&gt;1,"Doublon OTP","")))</x:f>
        <x:v>OTP manquant</x:v>
      </x:c>
    </x:row>
    <x:row r="57" ht="23" customHeight="1">
      <x:c r="A57" s="9"/>
      <x:c r="B57" s="9"/>
      <x:c r="C57" s="9"/>
      <x:c r="D57" s="9"/>
      <x:c r="E57" s="9"/>
      <x:c r="F57" s="11"/>
      <x:c r="G57" s="9"/>
      <x:c r="H57" s="9"/>
      <x:c r="I57" s="9"/>
      <x:c r="J57" s="9"/>
      <x:c r="K57" s="9"/>
      <x:c r="L57" s="9"/>
      <x:c r="M57" s="9"/>
      <x:c r="N57" s="12" t="str">
        <x:f>IF(A57="","",IF(ISNUMBER(F57),F57-'Tableau de bord'!$F$5,""))</x:f>
      </x:c>
      <x:c r="O57" s="12" t="str">
        <x:f>IF(A57="","",IF(ISNUMBER(F57),IF(N57&lt;0,"Expiré",IF(N57&lt;='Paramètres'!$E$6,"À renouveler","À jour")),"À compléter"))</x:f>
      </x:c>
      <x:c r="P57" s="12" t="str">
        <x:f>IF(A57="","",IF(AND(ISNUMBER(F57),F57&gt;'Tableau de bord'!$F$5,G57="Oui",H57="Oui",I57="Oui",J57="Oui",K57="Oui"),1,0))</x:f>
      </x:c>
      <x:c r="Q57" s="9"/>
      <x:c r="R57" s="12" t="str">
        <x:f>IF(A57="","",IF(C57="","OTP manquant",IF(COUNTIFS($A$6:$A$505,A57,$C$6:$C$505,C57)&gt;1,"Doublon OTP","")))</x:f>
      </x:c>
    </x:row>
    <x:row r="58" ht="23" customHeight="1">
      <x:c r="A58" s="9"/>
      <x:c r="B58" s="9"/>
      <x:c r="C58" s="9"/>
      <x:c r="D58" s="9"/>
      <x:c r="E58" s="9"/>
      <x:c r="F58" s="11"/>
      <x:c r="G58" s="9"/>
      <x:c r="H58" s="9"/>
      <x:c r="I58" s="9"/>
      <x:c r="J58" s="9"/>
      <x:c r="K58" s="9"/>
      <x:c r="L58" s="9"/>
      <x:c r="M58" s="9"/>
      <x:c r="N58" s="12" t="str">
        <x:f>IF(A58="","",IF(ISNUMBER(F58),F58-'Tableau de bord'!$F$5,""))</x:f>
      </x:c>
      <x:c r="O58" s="12" t="str">
        <x:f>IF(A58="","",IF(ISNUMBER(F58),IF(N58&lt;0,"Expiré",IF(N58&lt;='Paramètres'!$E$6,"À renouveler","À jour")),"À compléter"))</x:f>
      </x:c>
      <x:c r="P58" s="12" t="str">
        <x:f>IF(A58="","",IF(AND(ISNUMBER(F58),F58&gt;'Tableau de bord'!$F$5,G58="Oui",H58="Oui",I58="Oui",J58="Oui",K58="Oui"),1,0))</x:f>
      </x:c>
      <x:c r="Q58" s="9"/>
      <x:c r="R58" s="12" t="str">
        <x:f>IF(A58="","",IF(C58="","OTP manquant",IF(COUNTIFS($A$6:$A$505,A58,$C$6:$C$505,C58)&gt;1,"Doublon OTP","")))</x:f>
      </x:c>
    </x:row>
    <x:row r="59" ht="23" customHeight="1">
      <x:c r="A59" s="9"/>
      <x:c r="B59" s="9"/>
      <x:c r="C59" s="9"/>
      <x:c r="D59" s="9"/>
      <x:c r="E59" s="9"/>
      <x:c r="F59" s="11"/>
      <x:c r="G59" s="9"/>
      <x:c r="H59" s="9"/>
      <x:c r="I59" s="9"/>
      <x:c r="J59" s="9"/>
      <x:c r="K59" s="9"/>
      <x:c r="L59" s="9"/>
      <x:c r="M59" s="9"/>
      <x:c r="N59" s="12" t="str">
        <x:f>IF(A59="","",IF(ISNUMBER(F59),F59-'Tableau de bord'!$F$5,""))</x:f>
      </x:c>
      <x:c r="O59" s="12" t="str">
        <x:f>IF(A59="","",IF(ISNUMBER(F59),IF(N59&lt;0,"Expiré",IF(N59&lt;='Paramètres'!$E$6,"À renouveler","À jour")),"À compléter"))</x:f>
      </x:c>
      <x:c r="P59" s="12" t="str">
        <x:f>IF(A59="","",IF(AND(ISNUMBER(F59),F59&gt;'Tableau de bord'!$F$5,G59="Oui",H59="Oui",I59="Oui",J59="Oui",K59="Oui"),1,0))</x:f>
      </x:c>
      <x:c r="Q59" s="9"/>
      <x:c r="R59" s="12" t="str">
        <x:f>IF(A59="","",IF(C59="","OTP manquant",IF(COUNTIFS($A$6:$A$505,A59,$C$6:$C$505,C59)&gt;1,"Doublon OTP","")))</x:f>
      </x:c>
    </x:row>
    <x:row r="60" ht="23" customHeight="1">
      <x:c r="A60" s="9"/>
      <x:c r="B60" s="9"/>
      <x:c r="C60" s="9"/>
      <x:c r="D60" s="9"/>
      <x:c r="E60" s="9"/>
      <x:c r="F60" s="11"/>
      <x:c r="G60" s="9"/>
      <x:c r="H60" s="9"/>
      <x:c r="I60" s="9"/>
      <x:c r="J60" s="9"/>
      <x:c r="K60" s="9"/>
      <x:c r="L60" s="9"/>
      <x:c r="M60" s="9"/>
      <x:c r="N60" s="12" t="str">
        <x:f>IF(A60="","",IF(ISNUMBER(F60),F60-'Tableau de bord'!$F$5,""))</x:f>
      </x:c>
      <x:c r="O60" s="12" t="str">
        <x:f>IF(A60="","",IF(ISNUMBER(F60),IF(N60&lt;0,"Expiré",IF(N60&lt;='Paramètres'!$E$6,"À renouveler","À jour")),"À compléter"))</x:f>
      </x:c>
      <x:c r="P60" s="12" t="str">
        <x:f>IF(A60="","",IF(AND(ISNUMBER(F60),F60&gt;'Tableau de bord'!$F$5,G60="Oui",H60="Oui",I60="Oui",J60="Oui",K60="Oui"),1,0))</x:f>
      </x:c>
      <x:c r="Q60" s="9"/>
      <x:c r="R60" s="12" t="str">
        <x:f>IF(A60="","",IF(C60="","OTP manquant",IF(COUNTIFS($A$6:$A$505,A60,$C$6:$C$505,C60)&gt;1,"Doublon OTP","")))</x:f>
      </x:c>
    </x:row>
    <x:row r="61" ht="23" customHeight="1">
      <x:c r="A61" s="9"/>
      <x:c r="B61" s="9"/>
      <x:c r="C61" s="9"/>
      <x:c r="D61" s="9"/>
      <x:c r="E61" s="9"/>
      <x:c r="F61" s="11"/>
      <x:c r="G61" s="9"/>
      <x:c r="H61" s="9"/>
      <x:c r="I61" s="9"/>
      <x:c r="J61" s="9"/>
      <x:c r="K61" s="9"/>
      <x:c r="L61" s="9"/>
      <x:c r="M61" s="9"/>
      <x:c r="N61" s="12" t="str">
        <x:f>IF(A61="","",IF(ISNUMBER(F61),F61-'Tableau de bord'!$F$5,""))</x:f>
      </x:c>
      <x:c r="O61" s="12" t="str">
        <x:f>IF(A61="","",IF(ISNUMBER(F61),IF(N61&lt;0,"Expiré",IF(N61&lt;='Paramètres'!$E$6,"À renouveler","À jour")),"À compléter"))</x:f>
      </x:c>
      <x:c r="P61" s="12" t="str">
        <x:f>IF(A61="","",IF(AND(ISNUMBER(F61),F61&gt;'Tableau de bord'!$F$5,G61="Oui",H61="Oui",I61="Oui",J61="Oui",K61="Oui"),1,0))</x:f>
      </x:c>
      <x:c r="Q61" s="9"/>
      <x:c r="R61" s="12" t="str">
        <x:f>IF(A61="","",IF(C61="","OTP manquant",IF(COUNTIFS($A$6:$A$505,A61,$C$6:$C$505,C61)&gt;1,"Doublon OTP","")))</x:f>
      </x:c>
    </x:row>
    <x:row r="62" ht="23" customHeight="1">
      <x:c r="A62" s="9"/>
      <x:c r="B62" s="9"/>
      <x:c r="C62" s="9"/>
      <x:c r="D62" s="9"/>
      <x:c r="E62" s="9"/>
      <x:c r="F62" s="11"/>
      <x:c r="G62" s="9"/>
      <x:c r="H62" s="9"/>
      <x:c r="I62" s="9"/>
      <x:c r="J62" s="9"/>
      <x:c r="K62" s="9"/>
      <x:c r="L62" s="9"/>
      <x:c r="M62" s="9"/>
      <x:c r="N62" s="12" t="str">
        <x:f>IF(A62="","",IF(ISNUMBER(F62),F62-'Tableau de bord'!$F$5,""))</x:f>
      </x:c>
      <x:c r="O62" s="12" t="str">
        <x:f>IF(A62="","",IF(ISNUMBER(F62),IF(N62&lt;0,"Expiré",IF(N62&lt;='Paramètres'!$E$6,"À renouveler","À jour")),"À compléter"))</x:f>
      </x:c>
      <x:c r="P62" s="12" t="str">
        <x:f>IF(A62="","",IF(AND(ISNUMBER(F62),F62&gt;'Tableau de bord'!$F$5,G62="Oui",H62="Oui",I62="Oui",J62="Oui",K62="Oui"),1,0))</x:f>
      </x:c>
      <x:c r="Q62" s="9"/>
      <x:c r="R62" s="12" t="str">
        <x:f>IF(A62="","",IF(C62="","OTP manquant",IF(COUNTIFS($A$6:$A$505,A62,$C$6:$C$505,C62)&gt;1,"Doublon OTP","")))</x:f>
      </x:c>
    </x:row>
    <x:row r="63" ht="23" customHeight="1">
      <x:c r="A63" s="9"/>
      <x:c r="B63" s="9"/>
      <x:c r="C63" s="9"/>
      <x:c r="D63" s="9"/>
      <x:c r="E63" s="9"/>
      <x:c r="F63" s="11"/>
      <x:c r="G63" s="9"/>
      <x:c r="H63" s="9"/>
      <x:c r="I63" s="9"/>
      <x:c r="J63" s="9"/>
      <x:c r="K63" s="9"/>
      <x:c r="L63" s="9"/>
      <x:c r="M63" s="9"/>
      <x:c r="N63" s="12" t="str">
        <x:f>IF(A63="","",IF(ISNUMBER(F63),F63-'Tableau de bord'!$F$5,""))</x:f>
      </x:c>
      <x:c r="O63" s="12" t="str">
        <x:f>IF(A63="","",IF(ISNUMBER(F63),IF(N63&lt;0,"Expiré",IF(N63&lt;='Paramètres'!$E$6,"À renouveler","À jour")),"À compléter"))</x:f>
      </x:c>
      <x:c r="P63" s="12" t="str">
        <x:f>IF(A63="","",IF(AND(ISNUMBER(F63),F63&gt;'Tableau de bord'!$F$5,G63="Oui",H63="Oui",I63="Oui",J63="Oui",K63="Oui"),1,0))</x:f>
      </x:c>
      <x:c r="Q63" s="9"/>
      <x:c r="R63" s="12" t="str">
        <x:f>IF(A63="","",IF(C63="","OTP manquant",IF(COUNTIFS($A$6:$A$505,A63,$C$6:$C$505,C63)&gt;1,"Doublon OTP","")))</x:f>
      </x:c>
    </x:row>
    <x:row r="64" ht="23" customHeight="1">
      <x:c r="A64" s="9"/>
      <x:c r="B64" s="9"/>
      <x:c r="C64" s="9"/>
      <x:c r="D64" s="9"/>
      <x:c r="E64" s="9"/>
      <x:c r="F64" s="11"/>
      <x:c r="G64" s="9"/>
      <x:c r="H64" s="9"/>
      <x:c r="I64" s="9"/>
      <x:c r="J64" s="9"/>
      <x:c r="K64" s="9"/>
      <x:c r="L64" s="9"/>
      <x:c r="M64" s="9"/>
      <x:c r="N64" s="12" t="str">
        <x:f>IF(A64="","",IF(ISNUMBER(F64),F64-'Tableau de bord'!$F$5,""))</x:f>
      </x:c>
      <x:c r="O64" s="12" t="str">
        <x:f>IF(A64="","",IF(ISNUMBER(F64),IF(N64&lt;0,"Expiré",IF(N64&lt;='Paramètres'!$E$6,"À renouveler","À jour")),"À compléter"))</x:f>
      </x:c>
      <x:c r="P64" s="12" t="str">
        <x:f>IF(A64="","",IF(AND(ISNUMBER(F64),F64&gt;'Tableau de bord'!$F$5,G64="Oui",H64="Oui",I64="Oui",J64="Oui",K64="Oui"),1,0))</x:f>
      </x:c>
      <x:c r="Q64" s="9"/>
      <x:c r="R64" s="12" t="str">
        <x:f>IF(A64="","",IF(C64="","OTP manquant",IF(COUNTIFS($A$6:$A$505,A64,$C$6:$C$505,C64)&gt;1,"Doublon OTP","")))</x:f>
      </x:c>
    </x:row>
    <x:row r="65" ht="23" customHeight="1">
      <x:c r="A65" s="9"/>
      <x:c r="B65" s="9"/>
      <x:c r="C65" s="9"/>
      <x:c r="D65" s="9"/>
      <x:c r="E65" s="9"/>
      <x:c r="F65" s="11"/>
      <x:c r="G65" s="9"/>
      <x:c r="H65" s="9"/>
      <x:c r="I65" s="9"/>
      <x:c r="J65" s="9"/>
      <x:c r="K65" s="9"/>
      <x:c r="L65" s="9"/>
      <x:c r="M65" s="9"/>
      <x:c r="N65" s="12" t="str">
        <x:f>IF(A65="","",IF(ISNUMBER(F65),F65-'Tableau de bord'!$F$5,""))</x:f>
      </x:c>
      <x:c r="O65" s="12" t="str">
        <x:f>IF(A65="","",IF(ISNUMBER(F65),IF(N65&lt;0,"Expiré",IF(N65&lt;='Paramètres'!$E$6,"À renouveler","À jour")),"À compléter"))</x:f>
      </x:c>
      <x:c r="P65" s="12" t="str">
        <x:f>IF(A65="","",IF(AND(ISNUMBER(F65),F65&gt;'Tableau de bord'!$F$5,G65="Oui",H65="Oui",I65="Oui",J65="Oui",K65="Oui"),1,0))</x:f>
      </x:c>
      <x:c r="Q65" s="9"/>
      <x:c r="R65" s="12" t="str">
        <x:f>IF(A65="","",IF(C65="","OTP manquant",IF(COUNTIFS($A$6:$A$505,A65,$C$6:$C$505,C65)&gt;1,"Doublon OTP","")))</x:f>
      </x:c>
    </x:row>
    <x:row r="66" ht="23" customHeight="1">
      <x:c r="A66" s="9"/>
      <x:c r="B66" s="9"/>
      <x:c r="C66" s="9"/>
      <x:c r="D66" s="9"/>
      <x:c r="E66" s="9"/>
      <x:c r="F66" s="11"/>
      <x:c r="G66" s="9"/>
      <x:c r="H66" s="9"/>
      <x:c r="I66" s="9"/>
      <x:c r="J66" s="9"/>
      <x:c r="K66" s="9"/>
      <x:c r="L66" s="9"/>
      <x:c r="M66" s="9"/>
      <x:c r="N66" s="12" t="str">
        <x:f>IF(A66="","",IF(ISNUMBER(F66),F66-'Tableau de bord'!$F$5,""))</x:f>
      </x:c>
      <x:c r="O66" s="12" t="str">
        <x:f>IF(A66="","",IF(ISNUMBER(F66),IF(N66&lt;0,"Expiré",IF(N66&lt;='Paramètres'!$E$6,"À renouveler","À jour")),"À compléter"))</x:f>
      </x:c>
      <x:c r="P66" s="12" t="str">
        <x:f>IF(A66="","",IF(AND(ISNUMBER(F66),F66&gt;'Tableau de bord'!$F$5,G66="Oui",H66="Oui",I66="Oui",J66="Oui",K66="Oui"),1,0))</x:f>
      </x:c>
      <x:c r="Q66" s="9"/>
      <x:c r="R66" s="12" t="str">
        <x:f>IF(A66="","",IF(C66="","OTP manquant",IF(COUNTIFS($A$6:$A$505,A66,$C$6:$C$505,C66)&gt;1,"Doublon OTP","")))</x:f>
      </x:c>
    </x:row>
    <x:row r="67" ht="23" customHeight="1">
      <x:c r="A67" s="9"/>
      <x:c r="B67" s="9"/>
      <x:c r="C67" s="9"/>
      <x:c r="D67" s="9"/>
      <x:c r="E67" s="9"/>
      <x:c r="F67" s="11"/>
      <x:c r="G67" s="9"/>
      <x:c r="H67" s="9"/>
      <x:c r="I67" s="9"/>
      <x:c r="J67" s="9"/>
      <x:c r="K67" s="9"/>
      <x:c r="L67" s="9"/>
      <x:c r="M67" s="9"/>
      <x:c r="N67" s="12" t="str">
        <x:f>IF(A67="","",IF(ISNUMBER(F67),F67-'Tableau de bord'!$F$5,""))</x:f>
      </x:c>
      <x:c r="O67" s="12" t="str">
        <x:f>IF(A67="","",IF(ISNUMBER(F67),IF(N67&lt;0,"Expiré",IF(N67&lt;='Paramètres'!$E$6,"À renouveler","À jour")),"À compléter"))</x:f>
      </x:c>
      <x:c r="P67" s="12" t="str">
        <x:f>IF(A67="","",IF(AND(ISNUMBER(F67),F67&gt;'Tableau de bord'!$F$5,G67="Oui",H67="Oui",I67="Oui",J67="Oui",K67="Oui"),1,0))</x:f>
      </x:c>
      <x:c r="Q67" s="9"/>
      <x:c r="R67" s="12" t="str">
        <x:f>IF(A67="","",IF(C67="","OTP manquant",IF(COUNTIFS($A$6:$A$505,A67,$C$6:$C$505,C67)&gt;1,"Doublon OTP","")))</x:f>
      </x:c>
    </x:row>
    <x:row r="68" ht="23" customHeight="1">
      <x:c r="A68" s="9"/>
      <x:c r="B68" s="9"/>
      <x:c r="C68" s="9"/>
      <x:c r="D68" s="9"/>
      <x:c r="E68" s="9"/>
      <x:c r="F68" s="11"/>
      <x:c r="G68" s="9"/>
      <x:c r="H68" s="9"/>
      <x:c r="I68" s="9"/>
      <x:c r="J68" s="9"/>
      <x:c r="K68" s="9"/>
      <x:c r="L68" s="9"/>
      <x:c r="M68" s="9"/>
      <x:c r="N68" s="12" t="str">
        <x:f>IF(A68="","",IF(ISNUMBER(F68),F68-'Tableau de bord'!$F$5,""))</x:f>
      </x:c>
      <x:c r="O68" s="12" t="str">
        <x:f>IF(A68="","",IF(ISNUMBER(F68),IF(N68&lt;0,"Expiré",IF(N68&lt;='Paramètres'!$E$6,"À renouveler","À jour")),"À compléter"))</x:f>
      </x:c>
      <x:c r="P68" s="12" t="str">
        <x:f>IF(A68="","",IF(AND(ISNUMBER(F68),F68&gt;'Tableau de bord'!$F$5,G68="Oui",H68="Oui",I68="Oui",J68="Oui",K68="Oui"),1,0))</x:f>
      </x:c>
      <x:c r="Q68" s="9"/>
      <x:c r="R68" s="12" t="str">
        <x:f>IF(A68="","",IF(C68="","OTP manquant",IF(COUNTIFS($A$6:$A$505,A68,$C$6:$C$505,C68)&gt;1,"Doublon OTP","")))</x:f>
      </x:c>
    </x:row>
    <x:row r="69" ht="23" customHeight="1">
      <x:c r="A69" s="9"/>
      <x:c r="B69" s="9"/>
      <x:c r="C69" s="9"/>
      <x:c r="D69" s="9"/>
      <x:c r="E69" s="9"/>
      <x:c r="F69" s="11"/>
      <x:c r="G69" s="9"/>
      <x:c r="H69" s="9"/>
      <x:c r="I69" s="9"/>
      <x:c r="J69" s="9"/>
      <x:c r="K69" s="9"/>
      <x:c r="L69" s="9"/>
      <x:c r="M69" s="9"/>
      <x:c r="N69" s="12" t="str">
        <x:f>IF(A69="","",IF(ISNUMBER(F69),F69-'Tableau de bord'!$F$5,""))</x:f>
      </x:c>
      <x:c r="O69" s="12" t="str">
        <x:f>IF(A69="","",IF(ISNUMBER(F69),IF(N69&lt;0,"Expiré",IF(N69&lt;='Paramètres'!$E$6,"À renouveler","À jour")),"À compléter"))</x:f>
      </x:c>
      <x:c r="P69" s="12" t="str">
        <x:f>IF(A69="","",IF(AND(ISNUMBER(F69),F69&gt;'Tableau de bord'!$F$5,G69="Oui",H69="Oui",I69="Oui",J69="Oui",K69="Oui"),1,0))</x:f>
      </x:c>
      <x:c r="Q69" s="9"/>
      <x:c r="R69" s="12" t="str">
        <x:f>IF(A69="","",IF(C69="","OTP manquant",IF(COUNTIFS($A$6:$A$505,A69,$C$6:$C$505,C69)&gt;1,"Doublon OTP","")))</x:f>
      </x:c>
    </x:row>
    <x:row r="70" ht="23" customHeight="1">
      <x:c r="A70" s="9"/>
      <x:c r="B70" s="9"/>
      <x:c r="C70" s="9"/>
      <x:c r="D70" s="9"/>
      <x:c r="E70" s="9"/>
      <x:c r="F70" s="11"/>
      <x:c r="G70" s="9"/>
      <x:c r="H70" s="9"/>
      <x:c r="I70" s="9"/>
      <x:c r="J70" s="9"/>
      <x:c r="K70" s="9"/>
      <x:c r="L70" s="9"/>
      <x:c r="M70" s="9"/>
      <x:c r="N70" s="12" t="str">
        <x:f>IF(A70="","",IF(ISNUMBER(F70),F70-'Tableau de bord'!$F$5,""))</x:f>
      </x:c>
      <x:c r="O70" s="12" t="str">
        <x:f>IF(A70="","",IF(ISNUMBER(F70),IF(N70&lt;0,"Expiré",IF(N70&lt;='Paramètres'!$E$6,"À renouveler","À jour")),"À compléter"))</x:f>
      </x:c>
      <x:c r="P70" s="12" t="str">
        <x:f>IF(A70="","",IF(AND(ISNUMBER(F70),F70&gt;'Tableau de bord'!$F$5,G70="Oui",H70="Oui",I70="Oui",J70="Oui",K70="Oui"),1,0))</x:f>
      </x:c>
      <x:c r="Q70" s="9"/>
      <x:c r="R70" s="12" t="str">
        <x:f>IF(A70="","",IF(C70="","OTP manquant",IF(COUNTIFS($A$6:$A$505,A70,$C$6:$C$505,C70)&gt;1,"Doublon OTP","")))</x:f>
      </x:c>
    </x:row>
    <x:row r="71" ht="23" customHeight="1">
      <x:c r="A71" s="9"/>
      <x:c r="B71" s="9"/>
      <x:c r="C71" s="9"/>
      <x:c r="D71" s="9"/>
      <x:c r="E71" s="9"/>
      <x:c r="F71" s="11"/>
      <x:c r="G71" s="9"/>
      <x:c r="H71" s="9"/>
      <x:c r="I71" s="9"/>
      <x:c r="J71" s="9"/>
      <x:c r="K71" s="9"/>
      <x:c r="L71" s="9"/>
      <x:c r="M71" s="9"/>
      <x:c r="N71" s="12" t="str">
        <x:f>IF(A71="","",IF(ISNUMBER(F71),F71-'Tableau de bord'!$F$5,""))</x:f>
      </x:c>
      <x:c r="O71" s="12" t="str">
        <x:f>IF(A71="","",IF(ISNUMBER(F71),IF(N71&lt;0,"Expiré",IF(N71&lt;='Paramètres'!$E$6,"À renouveler","À jour")),"À compléter"))</x:f>
      </x:c>
      <x:c r="P71" s="12" t="str">
        <x:f>IF(A71="","",IF(AND(ISNUMBER(F71),F71&gt;'Tableau de bord'!$F$5,G71="Oui",H71="Oui",I71="Oui",J71="Oui",K71="Oui"),1,0))</x:f>
      </x:c>
      <x:c r="Q71" s="9"/>
      <x:c r="R71" s="12" t="str">
        <x:f>IF(A71="","",IF(C71="","OTP manquant",IF(COUNTIFS($A$6:$A$505,A71,$C$6:$C$505,C71)&gt;1,"Doublon OTP","")))</x:f>
      </x:c>
    </x:row>
    <x:row r="72" ht="23" customHeight="1">
      <x:c r="A72" s="9"/>
      <x:c r="B72" s="9"/>
      <x:c r="C72" s="9"/>
      <x:c r="D72" s="9"/>
      <x:c r="E72" s="9"/>
      <x:c r="F72" s="11"/>
      <x:c r="G72" s="9"/>
      <x:c r="H72" s="9"/>
      <x:c r="I72" s="9"/>
      <x:c r="J72" s="9"/>
      <x:c r="K72" s="9"/>
      <x:c r="L72" s="9"/>
      <x:c r="M72" s="9"/>
      <x:c r="N72" s="12" t="str">
        <x:f>IF(A72="","",IF(ISNUMBER(F72),F72-'Tableau de bord'!$F$5,""))</x:f>
      </x:c>
      <x:c r="O72" s="12" t="str">
        <x:f>IF(A72="","",IF(ISNUMBER(F72),IF(N72&lt;0,"Expiré",IF(N72&lt;='Paramètres'!$E$6,"À renouveler","À jour")),"À compléter"))</x:f>
      </x:c>
      <x:c r="P72" s="12" t="str">
        <x:f>IF(A72="","",IF(AND(ISNUMBER(F72),F72&gt;'Tableau de bord'!$F$5,G72="Oui",H72="Oui",I72="Oui",J72="Oui",K72="Oui"),1,0))</x:f>
      </x:c>
      <x:c r="Q72" s="9"/>
      <x:c r="R72" s="12" t="str">
        <x:f>IF(A72="","",IF(C72="","OTP manquant",IF(COUNTIFS($A$6:$A$505,A72,$C$6:$C$505,C72)&gt;1,"Doublon OTP","")))</x:f>
      </x:c>
    </x:row>
    <x:row r="73" ht="23" customHeight="1">
      <x:c r="A73" s="9"/>
      <x:c r="B73" s="9"/>
      <x:c r="C73" s="9"/>
      <x:c r="D73" s="9"/>
      <x:c r="E73" s="9"/>
      <x:c r="F73" s="11"/>
      <x:c r="G73" s="9"/>
      <x:c r="H73" s="9"/>
      <x:c r="I73" s="9"/>
      <x:c r="J73" s="9"/>
      <x:c r="K73" s="9"/>
      <x:c r="L73" s="9"/>
      <x:c r="M73" s="9"/>
      <x:c r="N73" s="12" t="str">
        <x:f>IF(A73="","",IF(ISNUMBER(F73),F73-'Tableau de bord'!$F$5,""))</x:f>
      </x:c>
      <x:c r="O73" s="12" t="str">
        <x:f>IF(A73="","",IF(ISNUMBER(F73),IF(N73&lt;0,"Expiré",IF(N73&lt;='Paramètres'!$E$6,"À renouveler","À jour")),"À compléter"))</x:f>
      </x:c>
      <x:c r="P73" s="12" t="str">
        <x:f>IF(A73="","",IF(AND(ISNUMBER(F73),F73&gt;'Tableau de bord'!$F$5,G73="Oui",H73="Oui",I73="Oui",J73="Oui",K73="Oui"),1,0))</x:f>
      </x:c>
      <x:c r="Q73" s="9"/>
      <x:c r="R73" s="12" t="str">
        <x:f>IF(A73="","",IF(C73="","OTP manquant",IF(COUNTIFS($A$6:$A$505,A73,$C$6:$C$505,C73)&gt;1,"Doublon OTP","")))</x:f>
      </x:c>
    </x:row>
    <x:row r="74" ht="23" customHeight="1">
      <x:c r="A74" s="9"/>
      <x:c r="B74" s="9"/>
      <x:c r="C74" s="9"/>
      <x:c r="D74" s="9"/>
      <x:c r="E74" s="9"/>
      <x:c r="F74" s="11"/>
      <x:c r="G74" s="9"/>
      <x:c r="H74" s="9"/>
      <x:c r="I74" s="9"/>
      <x:c r="J74" s="9"/>
      <x:c r="K74" s="9"/>
      <x:c r="L74" s="9"/>
      <x:c r="M74" s="9"/>
      <x:c r="N74" s="12" t="str">
        <x:f>IF(A74="","",IF(ISNUMBER(F74),F74-'Tableau de bord'!$F$5,""))</x:f>
      </x:c>
      <x:c r="O74" s="12" t="str">
        <x:f>IF(A74="","",IF(ISNUMBER(F74),IF(N74&lt;0,"Expiré",IF(N74&lt;='Paramètres'!$E$6,"À renouveler","À jour")),"À compléter"))</x:f>
      </x:c>
      <x:c r="P74" s="12" t="str">
        <x:f>IF(A74="","",IF(AND(ISNUMBER(F74),F74&gt;'Tableau de bord'!$F$5,G74="Oui",H74="Oui",I74="Oui",J74="Oui",K74="Oui"),1,0))</x:f>
      </x:c>
      <x:c r="Q74" s="9"/>
      <x:c r="R74" s="12" t="str">
        <x:f>IF(A74="","",IF(C74="","OTP manquant",IF(COUNTIFS($A$6:$A$505,A74,$C$6:$C$505,C74)&gt;1,"Doublon OTP","")))</x:f>
      </x:c>
    </x:row>
    <x:row r="75" ht="23" customHeight="1">
      <x:c r="A75" s="9"/>
      <x:c r="B75" s="9"/>
      <x:c r="C75" s="9"/>
      <x:c r="D75" s="9"/>
      <x:c r="E75" s="9"/>
      <x:c r="F75" s="11"/>
      <x:c r="G75" s="9"/>
      <x:c r="H75" s="9"/>
      <x:c r="I75" s="9"/>
      <x:c r="J75" s="9"/>
      <x:c r="K75" s="9"/>
      <x:c r="L75" s="9"/>
      <x:c r="M75" s="9"/>
      <x:c r="N75" s="12" t="str">
        <x:f>IF(A75="","",IF(ISNUMBER(F75),F75-'Tableau de bord'!$F$5,""))</x:f>
      </x:c>
      <x:c r="O75" s="12" t="str">
        <x:f>IF(A75="","",IF(ISNUMBER(F75),IF(N75&lt;0,"Expiré",IF(N75&lt;='Paramètres'!$E$6,"À renouveler","À jour")),"À compléter"))</x:f>
      </x:c>
      <x:c r="P75" s="12" t="str">
        <x:f>IF(A75="","",IF(AND(ISNUMBER(F75),F75&gt;'Tableau de bord'!$F$5,G75="Oui",H75="Oui",I75="Oui",J75="Oui",K75="Oui"),1,0))</x:f>
      </x:c>
      <x:c r="Q75" s="9"/>
      <x:c r="R75" s="12" t="str">
        <x:f>IF(A75="","",IF(C75="","OTP manquant",IF(COUNTIFS($A$6:$A$505,A75,$C$6:$C$505,C75)&gt;1,"Doublon OTP","")))</x:f>
      </x:c>
    </x:row>
    <x:row r="76" ht="23" customHeight="1">
      <x:c r="A76" s="9"/>
      <x:c r="B76" s="9"/>
      <x:c r="C76" s="9"/>
      <x:c r="D76" s="9"/>
      <x:c r="E76" s="9"/>
      <x:c r="F76" s="11"/>
      <x:c r="G76" s="9"/>
      <x:c r="H76" s="9"/>
      <x:c r="I76" s="9"/>
      <x:c r="J76" s="9"/>
      <x:c r="K76" s="9"/>
      <x:c r="L76" s="9"/>
      <x:c r="M76" s="9"/>
      <x:c r="N76" s="12" t="str">
        <x:f>IF(A76="","",IF(ISNUMBER(F76),F76-'Tableau de bord'!$F$5,""))</x:f>
      </x:c>
      <x:c r="O76" s="12" t="str">
        <x:f>IF(A76="","",IF(ISNUMBER(F76),IF(N76&lt;0,"Expiré",IF(N76&lt;='Paramètres'!$E$6,"À renouveler","À jour")),"À compléter"))</x:f>
      </x:c>
      <x:c r="P76" s="12" t="str">
        <x:f>IF(A76="","",IF(AND(ISNUMBER(F76),F76&gt;'Tableau de bord'!$F$5,G76="Oui",H76="Oui",I76="Oui",J76="Oui",K76="Oui"),1,0))</x:f>
      </x:c>
      <x:c r="Q76" s="9"/>
      <x:c r="R76" s="12" t="str">
        <x:f>IF(A76="","",IF(C76="","OTP manquant",IF(COUNTIFS($A$6:$A$505,A76,$C$6:$C$505,C76)&gt;1,"Doublon OTP","")))</x:f>
      </x:c>
    </x:row>
    <x:row r="77" ht="23" customHeight="1">
      <x:c r="A77" s="9"/>
      <x:c r="B77" s="9"/>
      <x:c r="C77" s="9"/>
      <x:c r="D77" s="9"/>
      <x:c r="E77" s="9"/>
      <x:c r="F77" s="11"/>
      <x:c r="G77" s="9"/>
      <x:c r="H77" s="9"/>
      <x:c r="I77" s="9"/>
      <x:c r="J77" s="9"/>
      <x:c r="K77" s="9"/>
      <x:c r="L77" s="9"/>
      <x:c r="M77" s="9"/>
      <x:c r="N77" s="12" t="str">
        <x:f>IF(A77="","",IF(ISNUMBER(F77),F77-'Tableau de bord'!$F$5,""))</x:f>
      </x:c>
      <x:c r="O77" s="12" t="str">
        <x:f>IF(A77="","",IF(ISNUMBER(F77),IF(N77&lt;0,"Expiré",IF(N77&lt;='Paramètres'!$E$6,"À renouveler","À jour")),"À compléter"))</x:f>
      </x:c>
      <x:c r="P77" s="12" t="str">
        <x:f>IF(A77="","",IF(AND(ISNUMBER(F77),F77&gt;'Tableau de bord'!$F$5,G77="Oui",H77="Oui",I77="Oui",J77="Oui",K77="Oui"),1,0))</x:f>
      </x:c>
      <x:c r="Q77" s="9"/>
      <x:c r="R77" s="12" t="str">
        <x:f>IF(A77="","",IF(C77="","OTP manquant",IF(COUNTIFS($A$6:$A$505,A77,$C$6:$C$505,C77)&gt;1,"Doublon OTP","")))</x:f>
      </x:c>
    </x:row>
    <x:row r="78" ht="23" customHeight="1">
      <x:c r="A78" s="9"/>
      <x:c r="B78" s="9"/>
      <x:c r="C78" s="9"/>
      <x:c r="D78" s="9"/>
      <x:c r="E78" s="9"/>
      <x:c r="F78" s="11"/>
      <x:c r="G78" s="9"/>
      <x:c r="H78" s="9"/>
      <x:c r="I78" s="9"/>
      <x:c r="J78" s="9"/>
      <x:c r="K78" s="9"/>
      <x:c r="L78" s="9"/>
      <x:c r="M78" s="9"/>
      <x:c r="N78" s="12" t="str">
        <x:f>IF(A78="","",IF(ISNUMBER(F78),F78-'Tableau de bord'!$F$5,""))</x:f>
      </x:c>
      <x:c r="O78" s="12" t="str">
        <x:f>IF(A78="","",IF(ISNUMBER(F78),IF(N78&lt;0,"Expiré",IF(N78&lt;='Paramètres'!$E$6,"À renouveler","À jour")),"À compléter"))</x:f>
      </x:c>
      <x:c r="P78" s="12" t="str">
        <x:f>IF(A78="","",IF(AND(ISNUMBER(F78),F78&gt;'Tableau de bord'!$F$5,G78="Oui",H78="Oui",I78="Oui",J78="Oui",K78="Oui"),1,0))</x:f>
      </x:c>
      <x:c r="Q78" s="9"/>
      <x:c r="R78" s="12" t="str">
        <x:f>IF(A78="","",IF(C78="","OTP manquant",IF(COUNTIFS($A$6:$A$505,A78,$C$6:$C$505,C78)&gt;1,"Doublon OTP","")))</x:f>
      </x:c>
    </x:row>
    <x:row r="79" ht="23" customHeight="1">
      <x:c r="A79" s="9"/>
      <x:c r="B79" s="9"/>
      <x:c r="C79" s="9"/>
      <x:c r="D79" s="9"/>
      <x:c r="E79" s="9"/>
      <x:c r="F79" s="11"/>
      <x:c r="G79" s="9"/>
      <x:c r="H79" s="9"/>
      <x:c r="I79" s="9"/>
      <x:c r="J79" s="9"/>
      <x:c r="K79" s="9"/>
      <x:c r="L79" s="9"/>
      <x:c r="M79" s="9"/>
      <x:c r="N79" s="12" t="str">
        <x:f>IF(A79="","",IF(ISNUMBER(F79),F79-'Tableau de bord'!$F$5,""))</x:f>
      </x:c>
      <x:c r="O79" s="12" t="str">
        <x:f>IF(A79="","",IF(ISNUMBER(F79),IF(N79&lt;0,"Expiré",IF(N79&lt;='Paramètres'!$E$6,"À renouveler","À jour")),"À compléter"))</x:f>
      </x:c>
      <x:c r="P79" s="12" t="str">
        <x:f>IF(A79="","",IF(AND(ISNUMBER(F79),F79&gt;'Tableau de bord'!$F$5,G79="Oui",H79="Oui",I79="Oui",J79="Oui",K79="Oui"),1,0))</x:f>
      </x:c>
      <x:c r="Q79" s="9"/>
      <x:c r="R79" s="12" t="str">
        <x:f>IF(A79="","",IF(C79="","OTP manquant",IF(COUNTIFS($A$6:$A$505,A79,$C$6:$C$505,C79)&gt;1,"Doublon OTP","")))</x:f>
      </x:c>
    </x:row>
    <x:row r="80" ht="23" customHeight="1">
      <x:c r="A80" s="9"/>
      <x:c r="B80" s="9"/>
      <x:c r="C80" s="9"/>
      <x:c r="D80" s="9"/>
      <x:c r="E80" s="9"/>
      <x:c r="F80" s="11"/>
      <x:c r="G80" s="9"/>
      <x:c r="H80" s="9"/>
      <x:c r="I80" s="9"/>
      <x:c r="J80" s="9"/>
      <x:c r="K80" s="9"/>
      <x:c r="L80" s="9"/>
      <x:c r="M80" s="9"/>
      <x:c r="N80" s="12" t="str">
        <x:f>IF(A80="","",IF(ISNUMBER(F80),F80-'Tableau de bord'!$F$5,""))</x:f>
      </x:c>
      <x:c r="O80" s="12" t="str">
        <x:f>IF(A80="","",IF(ISNUMBER(F80),IF(N80&lt;0,"Expiré",IF(N80&lt;='Paramètres'!$E$6,"À renouveler","À jour")),"À compléter"))</x:f>
      </x:c>
      <x:c r="P80" s="12" t="str">
        <x:f>IF(A80="","",IF(AND(ISNUMBER(F80),F80&gt;'Tableau de bord'!$F$5,G80="Oui",H80="Oui",I80="Oui",J80="Oui",K80="Oui"),1,0))</x:f>
      </x:c>
      <x:c r="Q80" s="9"/>
      <x:c r="R80" s="12" t="str">
        <x:f>IF(A80="","",IF(C80="","OTP manquant",IF(COUNTIFS($A$6:$A$505,A80,$C$6:$C$505,C80)&gt;1,"Doublon OTP","")))</x:f>
      </x:c>
    </x:row>
    <x:row r="81" ht="23" customHeight="1">
      <x:c r="A81" s="9"/>
      <x:c r="B81" s="9"/>
      <x:c r="C81" s="9"/>
      <x:c r="D81" s="9"/>
      <x:c r="E81" s="9"/>
      <x:c r="F81" s="11"/>
      <x:c r="G81" s="9"/>
      <x:c r="H81" s="9"/>
      <x:c r="I81" s="9"/>
      <x:c r="J81" s="9"/>
      <x:c r="K81" s="9"/>
      <x:c r="L81" s="9"/>
      <x:c r="M81" s="9"/>
      <x:c r="N81" s="12" t="str">
        <x:f>IF(A81="","",IF(ISNUMBER(F81),F81-'Tableau de bord'!$F$5,""))</x:f>
      </x:c>
      <x:c r="O81" s="12" t="str">
        <x:f>IF(A81="","",IF(ISNUMBER(F81),IF(N81&lt;0,"Expiré",IF(N81&lt;='Paramètres'!$E$6,"À renouveler","À jour")),"À compléter"))</x:f>
      </x:c>
      <x:c r="P81" s="12" t="str">
        <x:f>IF(A81="","",IF(AND(ISNUMBER(F81),F81&gt;'Tableau de bord'!$F$5,G81="Oui",H81="Oui",I81="Oui",J81="Oui",K81="Oui"),1,0))</x:f>
      </x:c>
      <x:c r="Q81" s="9"/>
      <x:c r="R81" s="12" t="str">
        <x:f>IF(A81="","",IF(C81="","OTP manquant",IF(COUNTIFS($A$6:$A$505,A81,$C$6:$C$505,C81)&gt;1,"Doublon OTP","")))</x:f>
      </x:c>
    </x:row>
    <x:row r="82" ht="23" customHeight="1">
      <x:c r="A82" s="9"/>
      <x:c r="B82" s="9"/>
      <x:c r="C82" s="9"/>
      <x:c r="D82" s="9"/>
      <x:c r="E82" s="9"/>
      <x:c r="F82" s="11"/>
      <x:c r="G82" s="9"/>
      <x:c r="H82" s="9"/>
      <x:c r="I82" s="9"/>
      <x:c r="J82" s="9"/>
      <x:c r="K82" s="9"/>
      <x:c r="L82" s="9"/>
      <x:c r="M82" s="9"/>
      <x:c r="N82" s="12" t="str">
        <x:f>IF(A82="","",IF(ISNUMBER(F82),F82-'Tableau de bord'!$F$5,""))</x:f>
      </x:c>
      <x:c r="O82" s="12" t="str">
        <x:f>IF(A82="","",IF(ISNUMBER(F82),IF(N82&lt;0,"Expiré",IF(N82&lt;='Paramètres'!$E$6,"À renouveler","À jour")),"À compléter"))</x:f>
      </x:c>
      <x:c r="P82" s="12" t="str">
        <x:f>IF(A82="","",IF(AND(ISNUMBER(F82),F82&gt;'Tableau de bord'!$F$5,G82="Oui",H82="Oui",I82="Oui",J82="Oui",K82="Oui"),1,0))</x:f>
      </x:c>
      <x:c r="Q82" s="9"/>
      <x:c r="R82" s="12" t="str">
        <x:f>IF(A82="","",IF(C82="","OTP manquant",IF(COUNTIFS($A$6:$A$505,A82,$C$6:$C$505,C82)&gt;1,"Doublon OTP","")))</x:f>
      </x:c>
    </x:row>
    <x:row r="83" ht="23" customHeight="1">
      <x:c r="A83" s="9"/>
      <x:c r="B83" s="9"/>
      <x:c r="C83" s="9"/>
      <x:c r="D83" s="9"/>
      <x:c r="E83" s="9"/>
      <x:c r="F83" s="11"/>
      <x:c r="G83" s="9"/>
      <x:c r="H83" s="9"/>
      <x:c r="I83" s="9"/>
      <x:c r="J83" s="9"/>
      <x:c r="K83" s="9"/>
      <x:c r="L83" s="9"/>
      <x:c r="M83" s="9"/>
      <x:c r="N83" s="12" t="str">
        <x:f>IF(A83="","",IF(ISNUMBER(F83),F83-'Tableau de bord'!$F$5,""))</x:f>
      </x:c>
      <x:c r="O83" s="12" t="str">
        <x:f>IF(A83="","",IF(ISNUMBER(F83),IF(N83&lt;0,"Expiré",IF(N83&lt;='Paramètres'!$E$6,"À renouveler","À jour")),"À compléter"))</x:f>
      </x:c>
      <x:c r="P83" s="12" t="str">
        <x:f>IF(A83="","",IF(AND(ISNUMBER(F83),F83&gt;'Tableau de bord'!$F$5,G83="Oui",H83="Oui",I83="Oui",J83="Oui",K83="Oui"),1,0))</x:f>
      </x:c>
      <x:c r="Q83" s="9"/>
      <x:c r="R83" s="12" t="str">
        <x:f>IF(A83="","",IF(C83="","OTP manquant",IF(COUNTIFS($A$6:$A$505,A83,$C$6:$C$505,C83)&gt;1,"Doublon OTP","")))</x:f>
      </x:c>
    </x:row>
    <x:row r="84" ht="23" customHeight="1">
      <x:c r="A84" s="9"/>
      <x:c r="B84" s="9"/>
      <x:c r="C84" s="9"/>
      <x:c r="D84" s="9"/>
      <x:c r="E84" s="9"/>
      <x:c r="F84" s="11"/>
      <x:c r="G84" s="9"/>
      <x:c r="H84" s="9"/>
      <x:c r="I84" s="9"/>
      <x:c r="J84" s="9"/>
      <x:c r="K84" s="9"/>
      <x:c r="L84" s="9"/>
      <x:c r="M84" s="9"/>
      <x:c r="N84" s="12" t="str">
        <x:f>IF(A84="","",IF(ISNUMBER(F84),F84-'Tableau de bord'!$F$5,""))</x:f>
      </x:c>
      <x:c r="O84" s="12" t="str">
        <x:f>IF(A84="","",IF(ISNUMBER(F84),IF(N84&lt;0,"Expiré",IF(N84&lt;='Paramètres'!$E$6,"À renouveler","À jour")),"À compléter"))</x:f>
      </x:c>
      <x:c r="P84" s="12" t="str">
        <x:f>IF(A84="","",IF(AND(ISNUMBER(F84),F84&gt;'Tableau de bord'!$F$5,G84="Oui",H84="Oui",I84="Oui",J84="Oui",K84="Oui"),1,0))</x:f>
      </x:c>
      <x:c r="Q84" s="9"/>
      <x:c r="R84" s="12" t="str">
        <x:f>IF(A84="","",IF(C84="","OTP manquant",IF(COUNTIFS($A$6:$A$505,A84,$C$6:$C$505,C84)&gt;1,"Doublon OTP","")))</x:f>
      </x:c>
    </x:row>
    <x:row r="85" ht="23" customHeight="1">
      <x:c r="A85" s="9"/>
      <x:c r="B85" s="9"/>
      <x:c r="C85" s="9"/>
      <x:c r="D85" s="9"/>
      <x:c r="E85" s="9"/>
      <x:c r="F85" s="11"/>
      <x:c r="G85" s="9"/>
      <x:c r="H85" s="9"/>
      <x:c r="I85" s="9"/>
      <x:c r="J85" s="9"/>
      <x:c r="K85" s="9"/>
      <x:c r="L85" s="9"/>
      <x:c r="M85" s="9"/>
      <x:c r="N85" s="12" t="str">
        <x:f>IF(A85="","",IF(ISNUMBER(F85),F85-'Tableau de bord'!$F$5,""))</x:f>
      </x:c>
      <x:c r="O85" s="12" t="str">
        <x:f>IF(A85="","",IF(ISNUMBER(F85),IF(N85&lt;0,"Expiré",IF(N85&lt;='Paramètres'!$E$6,"À renouveler","À jour")),"À compléter"))</x:f>
      </x:c>
      <x:c r="P85" s="12" t="str">
        <x:f>IF(A85="","",IF(AND(ISNUMBER(F85),F85&gt;'Tableau de bord'!$F$5,G85="Oui",H85="Oui",I85="Oui",J85="Oui",K85="Oui"),1,0))</x:f>
      </x:c>
      <x:c r="Q85" s="9"/>
      <x:c r="R85" s="12" t="str">
        <x:f>IF(A85="","",IF(C85="","OTP manquant",IF(COUNTIFS($A$6:$A$505,A85,$C$6:$C$505,C85)&gt;1,"Doublon OTP","")))</x:f>
      </x:c>
    </x:row>
    <x:row r="86" ht="23" customHeight="1">
      <x:c r="A86" s="9"/>
      <x:c r="B86" s="9"/>
      <x:c r="C86" s="9"/>
      <x:c r="D86" s="9"/>
      <x:c r="E86" s="9"/>
      <x:c r="F86" s="11"/>
      <x:c r="G86" s="9"/>
      <x:c r="H86" s="9"/>
      <x:c r="I86" s="9"/>
      <x:c r="J86" s="9"/>
      <x:c r="K86" s="9"/>
      <x:c r="L86" s="9"/>
      <x:c r="M86" s="9"/>
      <x:c r="N86" s="12" t="str">
        <x:f>IF(A86="","",IF(ISNUMBER(F86),F86-'Tableau de bord'!$F$5,""))</x:f>
      </x:c>
      <x:c r="O86" s="12" t="str">
        <x:f>IF(A86="","",IF(ISNUMBER(F86),IF(N86&lt;0,"Expiré",IF(N86&lt;='Paramètres'!$E$6,"À renouveler","À jour")),"À compléter"))</x:f>
      </x:c>
      <x:c r="P86" s="12" t="str">
        <x:f>IF(A86="","",IF(AND(ISNUMBER(F86),F86&gt;'Tableau de bord'!$F$5,G86="Oui",H86="Oui",I86="Oui",J86="Oui",K86="Oui"),1,0))</x:f>
      </x:c>
      <x:c r="Q86" s="9"/>
      <x:c r="R86" s="12" t="str">
        <x:f>IF(A86="","",IF(C86="","OTP manquant",IF(COUNTIFS($A$6:$A$505,A86,$C$6:$C$505,C86)&gt;1,"Doublon OTP","")))</x:f>
      </x:c>
    </x:row>
    <x:row r="87" ht="23" customHeight="1">
      <x:c r="A87" s="9"/>
      <x:c r="B87" s="9"/>
      <x:c r="C87" s="9"/>
      <x:c r="D87" s="9"/>
      <x:c r="E87" s="9"/>
      <x:c r="F87" s="11"/>
      <x:c r="G87" s="9"/>
      <x:c r="H87" s="9"/>
      <x:c r="I87" s="9"/>
      <x:c r="J87" s="9"/>
      <x:c r="K87" s="9"/>
      <x:c r="L87" s="9"/>
      <x:c r="M87" s="9"/>
      <x:c r="N87" s="12" t="str">
        <x:f>IF(A87="","",IF(ISNUMBER(F87),F87-'Tableau de bord'!$F$5,""))</x:f>
      </x:c>
      <x:c r="O87" s="12" t="str">
        <x:f>IF(A87="","",IF(ISNUMBER(F87),IF(N87&lt;0,"Expiré",IF(N87&lt;='Paramètres'!$E$6,"À renouveler","À jour")),"À compléter"))</x:f>
      </x:c>
      <x:c r="P87" s="12" t="str">
        <x:f>IF(A87="","",IF(AND(ISNUMBER(F87),F87&gt;'Tableau de bord'!$F$5,G87="Oui",H87="Oui",I87="Oui",J87="Oui",K87="Oui"),1,0))</x:f>
      </x:c>
      <x:c r="Q87" s="9"/>
      <x:c r="R87" s="12" t="str">
        <x:f>IF(A87="","",IF(C87="","OTP manquant",IF(COUNTIFS($A$6:$A$505,A87,$C$6:$C$505,C87)&gt;1,"Doublon OTP","")))</x:f>
      </x:c>
    </x:row>
    <x:row r="88" ht="23" customHeight="1">
      <x:c r="A88" s="9"/>
      <x:c r="B88" s="9"/>
      <x:c r="C88" s="9"/>
      <x:c r="D88" s="9"/>
      <x:c r="E88" s="9"/>
      <x:c r="F88" s="11"/>
      <x:c r="G88" s="9"/>
      <x:c r="H88" s="9"/>
      <x:c r="I88" s="9"/>
      <x:c r="J88" s="9"/>
      <x:c r="K88" s="9"/>
      <x:c r="L88" s="9"/>
      <x:c r="M88" s="9"/>
      <x:c r="N88" s="12" t="str">
        <x:f>IF(A88="","",IF(ISNUMBER(F88),F88-'Tableau de bord'!$F$5,""))</x:f>
      </x:c>
      <x:c r="O88" s="12" t="str">
        <x:f>IF(A88="","",IF(ISNUMBER(F88),IF(N88&lt;0,"Expiré",IF(N88&lt;='Paramètres'!$E$6,"À renouveler","À jour")),"À compléter"))</x:f>
      </x:c>
      <x:c r="P88" s="12" t="str">
        <x:f>IF(A88="","",IF(AND(ISNUMBER(F88),F88&gt;'Tableau de bord'!$F$5,G88="Oui",H88="Oui",I88="Oui",J88="Oui",K88="Oui"),1,0))</x:f>
      </x:c>
      <x:c r="Q88" s="9"/>
      <x:c r="R88" s="12" t="str">
        <x:f>IF(A88="","",IF(C88="","OTP manquant",IF(COUNTIFS($A$6:$A$505,A88,$C$6:$C$505,C88)&gt;1,"Doublon OTP","")))</x:f>
      </x:c>
    </x:row>
    <x:row r="89" ht="23" customHeight="1">
      <x:c r="A89" s="9"/>
      <x:c r="B89" s="9"/>
      <x:c r="C89" s="9"/>
      <x:c r="D89" s="9"/>
      <x:c r="E89" s="9"/>
      <x:c r="F89" s="11"/>
      <x:c r="G89" s="9"/>
      <x:c r="H89" s="9"/>
      <x:c r="I89" s="9"/>
      <x:c r="J89" s="9"/>
      <x:c r="K89" s="9"/>
      <x:c r="L89" s="9"/>
      <x:c r="M89" s="9"/>
      <x:c r="N89" s="12" t="str">
        <x:f>IF(A89="","",IF(ISNUMBER(F89),F89-'Tableau de bord'!$F$5,""))</x:f>
      </x:c>
      <x:c r="O89" s="12" t="str">
        <x:f>IF(A89="","",IF(ISNUMBER(F89),IF(N89&lt;0,"Expiré",IF(N89&lt;='Paramètres'!$E$6,"À renouveler","À jour")),"À compléter"))</x:f>
      </x:c>
      <x:c r="P89" s="12" t="str">
        <x:f>IF(A89="","",IF(AND(ISNUMBER(F89),F89&gt;'Tableau de bord'!$F$5,G89="Oui",H89="Oui",I89="Oui",J89="Oui",K89="Oui"),1,0))</x:f>
      </x:c>
      <x:c r="Q89" s="9"/>
      <x:c r="R89" s="12" t="str">
        <x:f>IF(A89="","",IF(C89="","OTP manquant",IF(COUNTIFS($A$6:$A$505,A89,$C$6:$C$505,C89)&gt;1,"Doublon OTP","")))</x:f>
      </x:c>
    </x:row>
    <x:row r="90" ht="23" customHeight="1">
      <x:c r="A90" s="9"/>
      <x:c r="B90" s="9"/>
      <x:c r="C90" s="9"/>
      <x:c r="D90" s="9"/>
      <x:c r="E90" s="9"/>
      <x:c r="F90" s="11"/>
      <x:c r="G90" s="9"/>
      <x:c r="H90" s="9"/>
      <x:c r="I90" s="9"/>
      <x:c r="J90" s="9"/>
      <x:c r="K90" s="9"/>
      <x:c r="L90" s="9"/>
      <x:c r="M90" s="9"/>
      <x:c r="N90" s="12" t="str">
        <x:f>IF(A90="","",IF(ISNUMBER(F90),F90-'Tableau de bord'!$F$5,""))</x:f>
      </x:c>
      <x:c r="O90" s="12" t="str">
        <x:f>IF(A90="","",IF(ISNUMBER(F90),IF(N90&lt;0,"Expiré",IF(N90&lt;='Paramètres'!$E$6,"À renouveler","À jour")),"À compléter"))</x:f>
      </x:c>
      <x:c r="P90" s="12" t="str">
        <x:f>IF(A90="","",IF(AND(ISNUMBER(F90),F90&gt;'Tableau de bord'!$F$5,G90="Oui",H90="Oui",I90="Oui",J90="Oui",K90="Oui"),1,0))</x:f>
      </x:c>
      <x:c r="Q90" s="9"/>
      <x:c r="R90" s="12" t="str">
        <x:f>IF(A90="","",IF(C90="","OTP manquant",IF(COUNTIFS($A$6:$A$505,A90,$C$6:$C$505,C90)&gt;1,"Doublon OTP","")))</x:f>
      </x:c>
    </x:row>
    <x:row r="91" ht="23" customHeight="1">
      <x:c r="A91" s="9"/>
      <x:c r="B91" s="9"/>
      <x:c r="C91" s="9"/>
      <x:c r="D91" s="9"/>
      <x:c r="E91" s="9"/>
      <x:c r="F91" s="11"/>
      <x:c r="G91" s="9"/>
      <x:c r="H91" s="9"/>
      <x:c r="I91" s="9"/>
      <x:c r="J91" s="9"/>
      <x:c r="K91" s="9"/>
      <x:c r="L91" s="9"/>
      <x:c r="M91" s="9"/>
      <x:c r="N91" s="12" t="str">
        <x:f>IF(A91="","",IF(ISNUMBER(F91),F91-'Tableau de bord'!$F$5,""))</x:f>
      </x:c>
      <x:c r="O91" s="12" t="str">
        <x:f>IF(A91="","",IF(ISNUMBER(F91),IF(N91&lt;0,"Expiré",IF(N91&lt;='Paramètres'!$E$6,"À renouveler","À jour")),"À compléter"))</x:f>
      </x:c>
      <x:c r="P91" s="12" t="str">
        <x:f>IF(A91="","",IF(AND(ISNUMBER(F91),F91&gt;'Tableau de bord'!$F$5,G91="Oui",H91="Oui",I91="Oui",J91="Oui",K91="Oui"),1,0))</x:f>
      </x:c>
      <x:c r="Q91" s="9"/>
      <x:c r="R91" s="12" t="str">
        <x:f>IF(A91="","",IF(C91="","OTP manquant",IF(COUNTIFS($A$6:$A$505,A91,$C$6:$C$505,C91)&gt;1,"Doublon OTP","")))</x:f>
      </x:c>
    </x:row>
    <x:row r="92" ht="23" customHeight="1">
      <x:c r="A92" s="9"/>
      <x:c r="B92" s="9"/>
      <x:c r="C92" s="9"/>
      <x:c r="D92" s="9"/>
      <x:c r="E92" s="9"/>
      <x:c r="F92" s="11"/>
      <x:c r="G92" s="9"/>
      <x:c r="H92" s="9"/>
      <x:c r="I92" s="9"/>
      <x:c r="J92" s="9"/>
      <x:c r="K92" s="9"/>
      <x:c r="L92" s="9"/>
      <x:c r="M92" s="9"/>
      <x:c r="N92" s="12" t="str">
        <x:f>IF(A92="","",IF(ISNUMBER(F92),F92-'Tableau de bord'!$F$5,""))</x:f>
      </x:c>
      <x:c r="O92" s="12" t="str">
        <x:f>IF(A92="","",IF(ISNUMBER(F92),IF(N92&lt;0,"Expiré",IF(N92&lt;='Paramètres'!$E$6,"À renouveler","À jour")),"À compléter"))</x:f>
      </x:c>
      <x:c r="P92" s="12" t="str">
        <x:f>IF(A92="","",IF(AND(ISNUMBER(F92),F92&gt;'Tableau de bord'!$F$5,G92="Oui",H92="Oui",I92="Oui",J92="Oui",K92="Oui"),1,0))</x:f>
      </x:c>
      <x:c r="Q92" s="9"/>
      <x:c r="R92" s="12" t="str">
        <x:f>IF(A92="","",IF(C92="","OTP manquant",IF(COUNTIFS($A$6:$A$505,A92,$C$6:$C$505,C92)&gt;1,"Doublon OTP","")))</x:f>
      </x:c>
    </x:row>
    <x:row r="93" ht="23" customHeight="1">
      <x:c r="A93" s="9"/>
      <x:c r="B93" s="9"/>
      <x:c r="C93" s="9"/>
      <x:c r="D93" s="9"/>
      <x:c r="E93" s="9"/>
      <x:c r="F93" s="11"/>
      <x:c r="G93" s="9"/>
      <x:c r="H93" s="9"/>
      <x:c r="I93" s="9"/>
      <x:c r="J93" s="9"/>
      <x:c r="K93" s="9"/>
      <x:c r="L93" s="9"/>
      <x:c r="M93" s="9"/>
      <x:c r="N93" s="12" t="str">
        <x:f>IF(A93="","",IF(ISNUMBER(F93),F93-'Tableau de bord'!$F$5,""))</x:f>
      </x:c>
      <x:c r="O93" s="12" t="str">
        <x:f>IF(A93="","",IF(ISNUMBER(F93),IF(N93&lt;0,"Expiré",IF(N93&lt;='Paramètres'!$E$6,"À renouveler","À jour")),"À compléter"))</x:f>
      </x:c>
      <x:c r="P93" s="12" t="str">
        <x:f>IF(A93="","",IF(AND(ISNUMBER(F93),F93&gt;'Tableau de bord'!$F$5,G93="Oui",H93="Oui",I93="Oui",J93="Oui",K93="Oui"),1,0))</x:f>
      </x:c>
      <x:c r="Q93" s="9"/>
      <x:c r="R93" s="12" t="str">
        <x:f>IF(A93="","",IF(C93="","OTP manquant",IF(COUNTIFS($A$6:$A$505,A93,$C$6:$C$505,C93)&gt;1,"Doublon OTP","")))</x:f>
      </x:c>
    </x:row>
    <x:row r="94" ht="23" customHeight="1">
      <x:c r="A94" s="9"/>
      <x:c r="B94" s="9"/>
      <x:c r="C94" s="9"/>
      <x:c r="D94" s="9"/>
      <x:c r="E94" s="9"/>
      <x:c r="F94" s="11"/>
      <x:c r="G94" s="9"/>
      <x:c r="H94" s="9"/>
      <x:c r="I94" s="9"/>
      <x:c r="J94" s="9"/>
      <x:c r="K94" s="9"/>
      <x:c r="L94" s="9"/>
      <x:c r="M94" s="9"/>
      <x:c r="N94" s="12" t="str">
        <x:f>IF(A94="","",IF(ISNUMBER(F94),F94-'Tableau de bord'!$F$5,""))</x:f>
      </x:c>
      <x:c r="O94" s="12" t="str">
        <x:f>IF(A94="","",IF(ISNUMBER(F94),IF(N94&lt;0,"Expiré",IF(N94&lt;='Paramètres'!$E$6,"À renouveler","À jour")),"À compléter"))</x:f>
      </x:c>
      <x:c r="P94" s="12" t="str">
        <x:f>IF(A94="","",IF(AND(ISNUMBER(F94),F94&gt;'Tableau de bord'!$F$5,G94="Oui",H94="Oui",I94="Oui",J94="Oui",K94="Oui"),1,0))</x:f>
      </x:c>
      <x:c r="Q94" s="9"/>
      <x:c r="R94" s="12" t="str">
        <x:f>IF(A94="","",IF(C94="","OTP manquant",IF(COUNTIFS($A$6:$A$505,A94,$C$6:$C$505,C94)&gt;1,"Doublon OTP","")))</x:f>
      </x:c>
    </x:row>
    <x:row r="95" ht="23" customHeight="1">
      <x:c r="A95" s="9"/>
      <x:c r="B95" s="9"/>
      <x:c r="C95" s="9"/>
      <x:c r="D95" s="9"/>
      <x:c r="E95" s="9"/>
      <x:c r="F95" s="11"/>
      <x:c r="G95" s="9"/>
      <x:c r="H95" s="9"/>
      <x:c r="I95" s="9"/>
      <x:c r="J95" s="9"/>
      <x:c r="K95" s="9"/>
      <x:c r="L95" s="9"/>
      <x:c r="M95" s="9"/>
      <x:c r="N95" s="12" t="str">
        <x:f>IF(A95="","",IF(ISNUMBER(F95),F95-'Tableau de bord'!$F$5,""))</x:f>
      </x:c>
      <x:c r="O95" s="12" t="str">
        <x:f>IF(A95="","",IF(ISNUMBER(F95),IF(N95&lt;0,"Expiré",IF(N95&lt;='Paramètres'!$E$6,"À renouveler","À jour")),"À compléter"))</x:f>
      </x:c>
      <x:c r="P95" s="12" t="str">
        <x:f>IF(A95="","",IF(AND(ISNUMBER(F95),F95&gt;'Tableau de bord'!$F$5,G95="Oui",H95="Oui",I95="Oui",J95="Oui",K95="Oui"),1,0))</x:f>
      </x:c>
      <x:c r="Q95" s="9"/>
      <x:c r="R95" s="12" t="str">
        <x:f>IF(A95="","",IF(C95="","OTP manquant",IF(COUNTIFS($A$6:$A$505,A95,$C$6:$C$505,C95)&gt;1,"Doublon OTP","")))</x:f>
      </x:c>
    </x:row>
    <x:row r="96" ht="23" customHeight="1">
      <x:c r="A96" s="9"/>
      <x:c r="B96" s="9"/>
      <x:c r="C96" s="9"/>
      <x:c r="D96" s="9"/>
      <x:c r="E96" s="9"/>
      <x:c r="F96" s="11"/>
      <x:c r="G96" s="9"/>
      <x:c r="H96" s="9"/>
      <x:c r="I96" s="9"/>
      <x:c r="J96" s="9"/>
      <x:c r="K96" s="9"/>
      <x:c r="L96" s="9"/>
      <x:c r="M96" s="9"/>
      <x:c r="N96" s="12" t="str">
        <x:f>IF(A96="","",IF(ISNUMBER(F96),F96-'Tableau de bord'!$F$5,""))</x:f>
      </x:c>
      <x:c r="O96" s="12" t="str">
        <x:f>IF(A96="","",IF(ISNUMBER(F96),IF(N96&lt;0,"Expiré",IF(N96&lt;='Paramètres'!$E$6,"À renouveler","À jour")),"À compléter"))</x:f>
      </x:c>
      <x:c r="P96" s="12" t="str">
        <x:f>IF(A96="","",IF(AND(ISNUMBER(F96),F96&gt;'Tableau de bord'!$F$5,G96="Oui",H96="Oui",I96="Oui",J96="Oui",K96="Oui"),1,0))</x:f>
      </x:c>
      <x:c r="Q96" s="9"/>
      <x:c r="R96" s="12" t="str">
        <x:f>IF(A96="","",IF(C96="","OTP manquant",IF(COUNTIFS($A$6:$A$505,A96,$C$6:$C$505,C96)&gt;1,"Doublon OTP","")))</x:f>
      </x:c>
    </x:row>
    <x:row r="97" ht="23" customHeight="1">
      <x:c r="A97" s="9"/>
      <x:c r="B97" s="9"/>
      <x:c r="C97" s="9"/>
      <x:c r="D97" s="9"/>
      <x:c r="E97" s="9"/>
      <x:c r="F97" s="11"/>
      <x:c r="G97" s="9"/>
      <x:c r="H97" s="9"/>
      <x:c r="I97" s="9"/>
      <x:c r="J97" s="9"/>
      <x:c r="K97" s="9"/>
      <x:c r="L97" s="9"/>
      <x:c r="M97" s="9"/>
      <x:c r="N97" s="12" t="str">
        <x:f>IF(A97="","",IF(ISNUMBER(F97),F97-'Tableau de bord'!$F$5,""))</x:f>
      </x:c>
      <x:c r="O97" s="12" t="str">
        <x:f>IF(A97="","",IF(ISNUMBER(F97),IF(N97&lt;0,"Expiré",IF(N97&lt;='Paramètres'!$E$6,"À renouveler","À jour")),"À compléter"))</x:f>
      </x:c>
      <x:c r="P97" s="12" t="str">
        <x:f>IF(A97="","",IF(AND(ISNUMBER(F97),F97&gt;'Tableau de bord'!$F$5,G97="Oui",H97="Oui",I97="Oui",J97="Oui",K97="Oui"),1,0))</x:f>
      </x:c>
      <x:c r="Q97" s="9"/>
      <x:c r="R97" s="12" t="str">
        <x:f>IF(A97="","",IF(C97="","OTP manquant",IF(COUNTIFS($A$6:$A$505,A97,$C$6:$C$505,C97)&gt;1,"Doublon OTP","")))</x:f>
      </x:c>
    </x:row>
    <x:row r="98" ht="23" customHeight="1">
      <x:c r="A98" s="9"/>
      <x:c r="B98" s="9"/>
      <x:c r="C98" s="9"/>
      <x:c r="D98" s="9"/>
      <x:c r="E98" s="9"/>
      <x:c r="F98" s="11"/>
      <x:c r="G98" s="9"/>
      <x:c r="H98" s="9"/>
      <x:c r="I98" s="9"/>
      <x:c r="J98" s="9"/>
      <x:c r="K98" s="9"/>
      <x:c r="L98" s="9"/>
      <x:c r="M98" s="9"/>
      <x:c r="N98" s="12" t="str">
        <x:f>IF(A98="","",IF(ISNUMBER(F98),F98-'Tableau de bord'!$F$5,""))</x:f>
      </x:c>
      <x:c r="O98" s="12" t="str">
        <x:f>IF(A98="","",IF(ISNUMBER(F98),IF(N98&lt;0,"Expiré",IF(N98&lt;='Paramètres'!$E$6,"À renouveler","À jour")),"À compléter"))</x:f>
      </x:c>
      <x:c r="P98" s="12" t="str">
        <x:f>IF(A98="","",IF(AND(ISNUMBER(F98),F98&gt;'Tableau de bord'!$F$5,G98="Oui",H98="Oui",I98="Oui",J98="Oui",K98="Oui"),1,0))</x:f>
      </x:c>
      <x:c r="Q98" s="9"/>
      <x:c r="R98" s="12" t="str">
        <x:f>IF(A98="","",IF(C98="","OTP manquant",IF(COUNTIFS($A$6:$A$505,A98,$C$6:$C$505,C98)&gt;1,"Doublon OTP","")))</x:f>
      </x:c>
    </x:row>
    <x:row r="99" ht="23" customHeight="1">
      <x:c r="A99" s="9"/>
      <x:c r="B99" s="9"/>
      <x:c r="C99" s="9"/>
      <x:c r="D99" s="9"/>
      <x:c r="E99" s="9"/>
      <x:c r="F99" s="11"/>
      <x:c r="G99" s="9"/>
      <x:c r="H99" s="9"/>
      <x:c r="I99" s="9"/>
      <x:c r="J99" s="9"/>
      <x:c r="K99" s="9"/>
      <x:c r="L99" s="9"/>
      <x:c r="M99" s="9"/>
      <x:c r="N99" s="12" t="str">
        <x:f>IF(A99="","",IF(ISNUMBER(F99),F99-'Tableau de bord'!$F$5,""))</x:f>
      </x:c>
      <x:c r="O99" s="12" t="str">
        <x:f>IF(A99="","",IF(ISNUMBER(F99),IF(N99&lt;0,"Expiré",IF(N99&lt;='Paramètres'!$E$6,"À renouveler","À jour")),"À compléter"))</x:f>
      </x:c>
      <x:c r="P99" s="12" t="str">
        <x:f>IF(A99="","",IF(AND(ISNUMBER(F99),F99&gt;'Tableau de bord'!$F$5,G99="Oui",H99="Oui",I99="Oui",J99="Oui",K99="Oui"),1,0))</x:f>
      </x:c>
      <x:c r="Q99" s="9"/>
      <x:c r="R99" s="12" t="str">
        <x:f>IF(A99="","",IF(C99="","OTP manquant",IF(COUNTIFS($A$6:$A$505,A99,$C$6:$C$505,C99)&gt;1,"Doublon OTP","")))</x:f>
      </x:c>
    </x:row>
    <x:row r="100" ht="23" customHeight="1">
      <x:c r="A100" s="9"/>
      <x:c r="B100" s="9"/>
      <x:c r="C100" s="9"/>
      <x:c r="D100" s="9"/>
      <x:c r="E100" s="9"/>
      <x:c r="F100" s="11"/>
      <x:c r="G100" s="9"/>
      <x:c r="H100" s="9"/>
      <x:c r="I100" s="9"/>
      <x:c r="J100" s="9"/>
      <x:c r="K100" s="9"/>
      <x:c r="L100" s="9"/>
      <x:c r="M100" s="9"/>
      <x:c r="N100" s="12" t="str">
        <x:f>IF(A100="","",IF(ISNUMBER(F100),F100-'Tableau de bord'!$F$5,""))</x:f>
      </x:c>
      <x:c r="O100" s="12" t="str">
        <x:f>IF(A100="","",IF(ISNUMBER(F100),IF(N100&lt;0,"Expiré",IF(N100&lt;='Paramètres'!$E$6,"À renouveler","À jour")),"À compléter"))</x:f>
      </x:c>
      <x:c r="P100" s="12" t="str">
        <x:f>IF(A100="","",IF(AND(ISNUMBER(F100),F100&gt;'Tableau de bord'!$F$5,G100="Oui",H100="Oui",I100="Oui",J100="Oui",K100="Oui"),1,0))</x:f>
      </x:c>
      <x:c r="Q100" s="9"/>
      <x:c r="R100" s="12" t="str">
        <x:f>IF(A100="","",IF(C100="","OTP manquant",IF(COUNTIFS($A$6:$A$505,A100,$C$6:$C$505,C100)&gt;1,"Doublon OTP","")))</x:f>
      </x:c>
    </x:row>
    <x:row r="101" ht="23" customHeight="1">
      <x:c r="A101" s="9"/>
      <x:c r="B101" s="9"/>
      <x:c r="C101" s="9"/>
      <x:c r="D101" s="9"/>
      <x:c r="E101" s="9"/>
      <x:c r="F101" s="11"/>
      <x:c r="G101" s="9"/>
      <x:c r="H101" s="9"/>
      <x:c r="I101" s="9"/>
      <x:c r="J101" s="9"/>
      <x:c r="K101" s="9"/>
      <x:c r="L101" s="9"/>
      <x:c r="M101" s="9"/>
      <x:c r="N101" s="12" t="str">
        <x:f>IF(A101="","",IF(ISNUMBER(F101),F101-'Tableau de bord'!$F$5,""))</x:f>
      </x:c>
      <x:c r="O101" s="12" t="str">
        <x:f>IF(A101="","",IF(ISNUMBER(F101),IF(N101&lt;0,"Expiré",IF(N101&lt;='Paramètres'!$E$6,"À renouveler","À jour")),"À compléter"))</x:f>
      </x:c>
      <x:c r="P101" s="12" t="str">
        <x:f>IF(A101="","",IF(AND(ISNUMBER(F101),F101&gt;'Tableau de bord'!$F$5,G101="Oui",H101="Oui",I101="Oui",J101="Oui",K101="Oui"),1,0))</x:f>
      </x:c>
      <x:c r="Q101" s="9"/>
      <x:c r="R101" s="12" t="str">
        <x:f>IF(A101="","",IF(C101="","OTP manquant",IF(COUNTIFS($A$6:$A$505,A101,$C$6:$C$505,C101)&gt;1,"Doublon OTP","")))</x:f>
      </x:c>
    </x:row>
    <x:row r="102" ht="23" customHeight="1">
      <x:c r="A102" s="9"/>
      <x:c r="B102" s="9"/>
      <x:c r="C102" s="9"/>
      <x:c r="D102" s="9"/>
      <x:c r="E102" s="9"/>
      <x:c r="F102" s="11"/>
      <x:c r="G102" s="9"/>
      <x:c r="H102" s="9"/>
      <x:c r="I102" s="9"/>
      <x:c r="J102" s="9"/>
      <x:c r="K102" s="9"/>
      <x:c r="L102" s="9"/>
      <x:c r="M102" s="9"/>
      <x:c r="N102" s="12" t="str">
        <x:f>IF(A102="","",IF(ISNUMBER(F102),F102-'Tableau de bord'!$F$5,""))</x:f>
      </x:c>
      <x:c r="O102" s="12" t="str">
        <x:f>IF(A102="","",IF(ISNUMBER(F102),IF(N102&lt;0,"Expiré",IF(N102&lt;='Paramètres'!$E$6,"À renouveler","À jour")),"À compléter"))</x:f>
      </x:c>
      <x:c r="P102" s="12" t="str">
        <x:f>IF(A102="","",IF(AND(ISNUMBER(F102),F102&gt;'Tableau de bord'!$F$5,G102="Oui",H102="Oui",I102="Oui",J102="Oui",K102="Oui"),1,0))</x:f>
      </x:c>
      <x:c r="Q102" s="9"/>
      <x:c r="R102" s="12" t="str">
        <x:f>IF(A102="","",IF(C102="","OTP manquant",IF(COUNTIFS($A$6:$A$505,A102,$C$6:$C$505,C102)&gt;1,"Doublon OTP","")))</x:f>
      </x:c>
    </x:row>
    <x:row r="103" ht="23" customHeight="1">
      <x:c r="A103" s="9"/>
      <x:c r="B103" s="9"/>
      <x:c r="C103" s="9"/>
      <x:c r="D103" s="9"/>
      <x:c r="E103" s="9"/>
      <x:c r="F103" s="11"/>
      <x:c r="G103" s="9"/>
      <x:c r="H103" s="9"/>
      <x:c r="I103" s="9"/>
      <x:c r="J103" s="9"/>
      <x:c r="K103" s="9"/>
      <x:c r="L103" s="9"/>
      <x:c r="M103" s="9"/>
      <x:c r="N103" s="12" t="str">
        <x:f>IF(A103="","",IF(ISNUMBER(F103),F103-'Tableau de bord'!$F$5,""))</x:f>
      </x:c>
      <x:c r="O103" s="12" t="str">
        <x:f>IF(A103="","",IF(ISNUMBER(F103),IF(N103&lt;0,"Expiré",IF(N103&lt;='Paramètres'!$E$6,"À renouveler","À jour")),"À compléter"))</x:f>
      </x:c>
      <x:c r="P103" s="12" t="str">
        <x:f>IF(A103="","",IF(AND(ISNUMBER(F103),F103&gt;'Tableau de bord'!$F$5,G103="Oui",H103="Oui",I103="Oui",J103="Oui",K103="Oui"),1,0))</x:f>
      </x:c>
      <x:c r="Q103" s="9"/>
      <x:c r="R103" s="12" t="str">
        <x:f>IF(A103="","",IF(C103="","OTP manquant",IF(COUNTIFS($A$6:$A$505,A103,$C$6:$C$505,C103)&gt;1,"Doublon OTP","")))</x:f>
      </x:c>
    </x:row>
    <x:row r="104" ht="23" customHeight="1">
      <x:c r="A104" s="9"/>
      <x:c r="B104" s="9"/>
      <x:c r="C104" s="9"/>
      <x:c r="D104" s="9"/>
      <x:c r="E104" s="9"/>
      <x:c r="F104" s="11"/>
      <x:c r="G104" s="9"/>
      <x:c r="H104" s="9"/>
      <x:c r="I104" s="9"/>
      <x:c r="J104" s="9"/>
      <x:c r="K104" s="9"/>
      <x:c r="L104" s="9"/>
      <x:c r="M104" s="9"/>
      <x:c r="N104" s="12" t="str">
        <x:f>IF(A104="","",IF(ISNUMBER(F104),F104-'Tableau de bord'!$F$5,""))</x:f>
      </x:c>
      <x:c r="O104" s="12" t="str">
        <x:f>IF(A104="","",IF(ISNUMBER(F104),IF(N104&lt;0,"Expiré",IF(N104&lt;='Paramètres'!$E$6,"À renouveler","À jour")),"À compléter"))</x:f>
      </x:c>
      <x:c r="P104" s="12" t="str">
        <x:f>IF(A104="","",IF(AND(ISNUMBER(F104),F104&gt;'Tableau de bord'!$F$5,G104="Oui",H104="Oui",I104="Oui",J104="Oui",K104="Oui"),1,0))</x:f>
      </x:c>
      <x:c r="Q104" s="9"/>
      <x:c r="R104" s="12" t="str">
        <x:f>IF(A104="","",IF(C104="","OTP manquant",IF(COUNTIFS($A$6:$A$505,A104,$C$6:$C$505,C104)&gt;1,"Doublon OTP","")))</x:f>
      </x:c>
    </x:row>
    <x:row r="105" ht="23" customHeight="1">
      <x:c r="A105" s="9"/>
      <x:c r="B105" s="9"/>
      <x:c r="C105" s="9"/>
      <x:c r="D105" s="9"/>
      <x:c r="E105" s="9"/>
      <x:c r="F105" s="11"/>
      <x:c r="G105" s="9"/>
      <x:c r="H105" s="9"/>
      <x:c r="I105" s="9"/>
      <x:c r="J105" s="9"/>
      <x:c r="K105" s="9"/>
      <x:c r="L105" s="9"/>
      <x:c r="M105" s="9"/>
      <x:c r="N105" s="12" t="str">
        <x:f>IF(A105="","",IF(ISNUMBER(F105),F105-'Tableau de bord'!$F$5,""))</x:f>
      </x:c>
      <x:c r="O105" s="12" t="str">
        <x:f>IF(A105="","",IF(ISNUMBER(F105),IF(N105&lt;0,"Expiré",IF(N105&lt;='Paramètres'!$E$6,"À renouveler","À jour")),"À compléter"))</x:f>
      </x:c>
      <x:c r="P105" s="12" t="str">
        <x:f>IF(A105="","",IF(AND(ISNUMBER(F105),F105&gt;'Tableau de bord'!$F$5,G105="Oui",H105="Oui",I105="Oui",J105="Oui",K105="Oui"),1,0))</x:f>
      </x:c>
      <x:c r="Q105" s="9"/>
      <x:c r="R105" s="12" t="str">
        <x:f>IF(A105="","",IF(C105="","OTP manquant",IF(COUNTIFS($A$6:$A$505,A105,$C$6:$C$505,C105)&gt;1,"Doublon OTP","")))</x:f>
      </x:c>
    </x:row>
    <x:row r="106" ht="23" customHeight="1">
      <x:c r="A106" s="9"/>
      <x:c r="B106" s="9"/>
      <x:c r="C106" s="9"/>
      <x:c r="D106" s="9"/>
      <x:c r="E106" s="9"/>
      <x:c r="F106" s="11"/>
      <x:c r="G106" s="9"/>
      <x:c r="H106" s="9"/>
      <x:c r="I106" s="9"/>
      <x:c r="J106" s="9"/>
      <x:c r="K106" s="9"/>
      <x:c r="L106" s="9"/>
      <x:c r="M106" s="9"/>
      <x:c r="N106" s="12" t="str">
        <x:f>IF(A106="","",IF(ISNUMBER(F106),F106-'Tableau de bord'!$F$5,""))</x:f>
      </x:c>
      <x:c r="O106" s="12" t="str">
        <x:f>IF(A106="","",IF(ISNUMBER(F106),IF(N106&lt;0,"Expiré",IF(N106&lt;='Paramètres'!$E$6,"À renouveler","À jour")),"À compléter"))</x:f>
      </x:c>
      <x:c r="P106" s="12" t="str">
        <x:f>IF(A106="","",IF(AND(ISNUMBER(F106),F106&gt;'Tableau de bord'!$F$5,G106="Oui",H106="Oui",I106="Oui",J106="Oui",K106="Oui"),1,0))</x:f>
      </x:c>
      <x:c r="Q106" s="9"/>
      <x:c r="R106" s="12" t="str">
        <x:f>IF(A106="","",IF(C106="","OTP manquant",IF(COUNTIFS($A$6:$A$505,A106,$C$6:$C$505,C106)&gt;1,"Doublon OTP","")))</x:f>
      </x:c>
    </x:row>
    <x:row r="107" ht="23" customHeight="1">
      <x:c r="A107" s="9"/>
      <x:c r="B107" s="9"/>
      <x:c r="C107" s="9"/>
      <x:c r="D107" s="9"/>
      <x:c r="E107" s="9"/>
      <x:c r="F107" s="11"/>
      <x:c r="G107" s="9"/>
      <x:c r="H107" s="9"/>
      <x:c r="I107" s="9"/>
      <x:c r="J107" s="9"/>
      <x:c r="K107" s="9"/>
      <x:c r="L107" s="9"/>
      <x:c r="M107" s="9"/>
      <x:c r="N107" s="12" t="str">
        <x:f>IF(A107="","",IF(ISNUMBER(F107),F107-'Tableau de bord'!$F$5,""))</x:f>
      </x:c>
      <x:c r="O107" s="12" t="str">
        <x:f>IF(A107="","",IF(ISNUMBER(F107),IF(N107&lt;0,"Expiré",IF(N107&lt;='Paramètres'!$E$6,"À renouveler","À jour")),"À compléter"))</x:f>
      </x:c>
      <x:c r="P107" s="12" t="str">
        <x:f>IF(A107="","",IF(AND(ISNUMBER(F107),F107&gt;'Tableau de bord'!$F$5,G107="Oui",H107="Oui",I107="Oui",J107="Oui",K107="Oui"),1,0))</x:f>
      </x:c>
      <x:c r="Q107" s="9"/>
      <x:c r="R107" s="12" t="str">
        <x:f>IF(A107="","",IF(C107="","OTP manquant",IF(COUNTIFS($A$6:$A$505,A107,$C$6:$C$505,C107)&gt;1,"Doublon OTP","")))</x:f>
      </x:c>
    </x:row>
    <x:row r="108" ht="23" customHeight="1">
      <x:c r="A108" s="9"/>
      <x:c r="B108" s="9"/>
      <x:c r="C108" s="9"/>
      <x:c r="D108" s="9"/>
      <x:c r="E108" s="9"/>
      <x:c r="F108" s="11"/>
      <x:c r="G108" s="9"/>
      <x:c r="H108" s="9"/>
      <x:c r="I108" s="9"/>
      <x:c r="J108" s="9"/>
      <x:c r="K108" s="9"/>
      <x:c r="L108" s="9"/>
      <x:c r="M108" s="9"/>
      <x:c r="N108" s="12" t="str">
        <x:f>IF(A108="","",IF(ISNUMBER(F108),F108-'Tableau de bord'!$F$5,""))</x:f>
      </x:c>
      <x:c r="O108" s="12" t="str">
        <x:f>IF(A108="","",IF(ISNUMBER(F108),IF(N108&lt;0,"Expiré",IF(N108&lt;='Paramètres'!$E$6,"À renouveler","À jour")),"À compléter"))</x:f>
      </x:c>
      <x:c r="P108" s="12" t="str">
        <x:f>IF(A108="","",IF(AND(ISNUMBER(F108),F108&gt;'Tableau de bord'!$F$5,G108="Oui",H108="Oui",I108="Oui",J108="Oui",K108="Oui"),1,0))</x:f>
      </x:c>
      <x:c r="Q108" s="9"/>
      <x:c r="R108" s="12" t="str">
        <x:f>IF(A108="","",IF(C108="","OTP manquant",IF(COUNTIFS($A$6:$A$505,A108,$C$6:$C$505,C108)&gt;1,"Doublon OTP","")))</x:f>
      </x:c>
    </x:row>
    <x:row r="109" ht="23" customHeight="1">
      <x:c r="A109" s="9"/>
      <x:c r="B109" s="9"/>
      <x:c r="C109" s="9"/>
      <x:c r="D109" s="9"/>
      <x:c r="E109" s="9"/>
      <x:c r="F109" s="11"/>
      <x:c r="G109" s="9"/>
      <x:c r="H109" s="9"/>
      <x:c r="I109" s="9"/>
      <x:c r="J109" s="9"/>
      <x:c r="K109" s="9"/>
      <x:c r="L109" s="9"/>
      <x:c r="M109" s="9"/>
      <x:c r="N109" s="12" t="str">
        <x:f>IF(A109="","",IF(ISNUMBER(F109),F109-'Tableau de bord'!$F$5,""))</x:f>
      </x:c>
      <x:c r="O109" s="12" t="str">
        <x:f>IF(A109="","",IF(ISNUMBER(F109),IF(N109&lt;0,"Expiré",IF(N109&lt;='Paramètres'!$E$6,"À renouveler","À jour")),"À compléter"))</x:f>
      </x:c>
      <x:c r="P109" s="12" t="str">
        <x:f>IF(A109="","",IF(AND(ISNUMBER(F109),F109&gt;'Tableau de bord'!$F$5,G109="Oui",H109="Oui",I109="Oui",J109="Oui",K109="Oui"),1,0))</x:f>
      </x:c>
      <x:c r="Q109" s="9"/>
      <x:c r="R109" s="12" t="str">
        <x:f>IF(A109="","",IF(C109="","OTP manquant",IF(COUNTIFS($A$6:$A$505,A109,$C$6:$C$505,C109)&gt;1,"Doublon OTP","")))</x:f>
      </x:c>
    </x:row>
    <x:row r="110" ht="23" customHeight="1">
      <x:c r="A110" s="9"/>
      <x:c r="B110" s="9"/>
      <x:c r="C110" s="9"/>
      <x:c r="D110" s="9"/>
      <x:c r="E110" s="9"/>
      <x:c r="F110" s="11"/>
      <x:c r="G110" s="9"/>
      <x:c r="H110" s="9"/>
      <x:c r="I110" s="9"/>
      <x:c r="J110" s="9"/>
      <x:c r="K110" s="9"/>
      <x:c r="L110" s="9"/>
      <x:c r="M110" s="9"/>
      <x:c r="N110" s="12" t="str">
        <x:f>IF(A110="","",IF(ISNUMBER(F110),F110-'Tableau de bord'!$F$5,""))</x:f>
      </x:c>
      <x:c r="O110" s="12" t="str">
        <x:f>IF(A110="","",IF(ISNUMBER(F110),IF(N110&lt;0,"Expiré",IF(N110&lt;='Paramètres'!$E$6,"À renouveler","À jour")),"À compléter"))</x:f>
      </x:c>
      <x:c r="P110" s="12" t="str">
        <x:f>IF(A110="","",IF(AND(ISNUMBER(F110),F110&gt;'Tableau de bord'!$F$5,G110="Oui",H110="Oui",I110="Oui",J110="Oui",K110="Oui"),1,0))</x:f>
      </x:c>
      <x:c r="Q110" s="9"/>
      <x:c r="R110" s="12" t="str">
        <x:f>IF(A110="","",IF(C110="","OTP manquant",IF(COUNTIFS($A$6:$A$505,A110,$C$6:$C$505,C110)&gt;1,"Doublon OTP","")))</x:f>
      </x:c>
    </x:row>
    <x:row r="111" ht="23" customHeight="1">
      <x:c r="A111" s="9"/>
      <x:c r="B111" s="9"/>
      <x:c r="C111" s="9"/>
      <x:c r="D111" s="9"/>
      <x:c r="E111" s="9"/>
      <x:c r="F111" s="11"/>
      <x:c r="G111" s="9"/>
      <x:c r="H111" s="9"/>
      <x:c r="I111" s="9"/>
      <x:c r="J111" s="9"/>
      <x:c r="K111" s="9"/>
      <x:c r="L111" s="9"/>
      <x:c r="M111" s="9"/>
      <x:c r="N111" s="12" t="str">
        <x:f>IF(A111="","",IF(ISNUMBER(F111),F111-'Tableau de bord'!$F$5,""))</x:f>
      </x:c>
      <x:c r="O111" s="12" t="str">
        <x:f>IF(A111="","",IF(ISNUMBER(F111),IF(N111&lt;0,"Expiré",IF(N111&lt;='Paramètres'!$E$6,"À renouveler","À jour")),"À compléter"))</x:f>
      </x:c>
      <x:c r="P111" s="12" t="str">
        <x:f>IF(A111="","",IF(AND(ISNUMBER(F111),F111&gt;'Tableau de bord'!$F$5,G111="Oui",H111="Oui",I111="Oui",J111="Oui",K111="Oui"),1,0))</x:f>
      </x:c>
      <x:c r="Q111" s="9"/>
      <x:c r="R111" s="12" t="str">
        <x:f>IF(A111="","",IF(C111="","OTP manquant",IF(COUNTIFS($A$6:$A$505,A111,$C$6:$C$505,C111)&gt;1,"Doublon OTP","")))</x:f>
      </x:c>
    </x:row>
    <x:row r="112" ht="23" customHeight="1">
      <x:c r="A112" s="9"/>
      <x:c r="B112" s="9"/>
      <x:c r="C112" s="9"/>
      <x:c r="D112" s="9"/>
      <x:c r="E112" s="9"/>
      <x:c r="F112" s="11"/>
      <x:c r="G112" s="9"/>
      <x:c r="H112" s="9"/>
      <x:c r="I112" s="9"/>
      <x:c r="J112" s="9"/>
      <x:c r="K112" s="9"/>
      <x:c r="L112" s="9"/>
      <x:c r="M112" s="9"/>
      <x:c r="N112" s="12" t="str">
        <x:f>IF(A112="","",IF(ISNUMBER(F112),F112-'Tableau de bord'!$F$5,""))</x:f>
      </x:c>
      <x:c r="O112" s="12" t="str">
        <x:f>IF(A112="","",IF(ISNUMBER(F112),IF(N112&lt;0,"Expiré",IF(N112&lt;='Paramètres'!$E$6,"À renouveler","À jour")),"À compléter"))</x:f>
      </x:c>
      <x:c r="P112" s="12" t="str">
        <x:f>IF(A112="","",IF(AND(ISNUMBER(F112),F112&gt;'Tableau de bord'!$F$5,G112="Oui",H112="Oui",I112="Oui",J112="Oui",K112="Oui"),1,0))</x:f>
      </x:c>
      <x:c r="Q112" s="9"/>
      <x:c r="R112" s="12" t="str">
        <x:f>IF(A112="","",IF(C112="","OTP manquant",IF(COUNTIFS($A$6:$A$505,A112,$C$6:$C$505,C112)&gt;1,"Doublon OTP","")))</x:f>
      </x:c>
    </x:row>
    <x:row r="113" ht="23" customHeight="1">
      <x:c r="A113" s="9"/>
      <x:c r="B113" s="9"/>
      <x:c r="C113" s="9"/>
      <x:c r="D113" s="9"/>
      <x:c r="E113" s="9"/>
      <x:c r="F113" s="11"/>
      <x:c r="G113" s="9"/>
      <x:c r="H113" s="9"/>
      <x:c r="I113" s="9"/>
      <x:c r="J113" s="9"/>
      <x:c r="K113" s="9"/>
      <x:c r="L113" s="9"/>
      <x:c r="M113" s="9"/>
      <x:c r="N113" s="12" t="str">
        <x:f>IF(A113="","",IF(ISNUMBER(F113),F113-'Tableau de bord'!$F$5,""))</x:f>
      </x:c>
      <x:c r="O113" s="12" t="str">
        <x:f>IF(A113="","",IF(ISNUMBER(F113),IF(N113&lt;0,"Expiré",IF(N113&lt;='Paramètres'!$E$6,"À renouveler","À jour")),"À compléter"))</x:f>
      </x:c>
      <x:c r="P113" s="12" t="str">
        <x:f>IF(A113="","",IF(AND(ISNUMBER(F113),F113&gt;'Tableau de bord'!$F$5,G113="Oui",H113="Oui",I113="Oui",J113="Oui",K113="Oui"),1,0))</x:f>
      </x:c>
      <x:c r="Q113" s="9"/>
      <x:c r="R113" s="12" t="str">
        <x:f>IF(A113="","",IF(C113="","OTP manquant",IF(COUNTIFS($A$6:$A$505,A113,$C$6:$C$505,C113)&gt;1,"Doublon OTP","")))</x:f>
      </x:c>
    </x:row>
    <x:row r="114" ht="23" customHeight="1">
      <x:c r="A114" s="9"/>
      <x:c r="B114" s="9"/>
      <x:c r="C114" s="9"/>
      <x:c r="D114" s="9"/>
      <x:c r="E114" s="9"/>
      <x:c r="F114" s="11"/>
      <x:c r="G114" s="9"/>
      <x:c r="H114" s="9"/>
      <x:c r="I114" s="9"/>
      <x:c r="J114" s="9"/>
      <x:c r="K114" s="9"/>
      <x:c r="L114" s="9"/>
      <x:c r="M114" s="9"/>
      <x:c r="N114" s="12" t="str">
        <x:f>IF(A114="","",IF(ISNUMBER(F114),F114-'Tableau de bord'!$F$5,""))</x:f>
      </x:c>
      <x:c r="O114" s="12" t="str">
        <x:f>IF(A114="","",IF(ISNUMBER(F114),IF(N114&lt;0,"Expiré",IF(N114&lt;='Paramètres'!$E$6,"À renouveler","À jour")),"À compléter"))</x:f>
      </x:c>
      <x:c r="P114" s="12" t="str">
        <x:f>IF(A114="","",IF(AND(ISNUMBER(F114),F114&gt;'Tableau de bord'!$F$5,G114="Oui",H114="Oui",I114="Oui",J114="Oui",K114="Oui"),1,0))</x:f>
      </x:c>
      <x:c r="Q114" s="9"/>
      <x:c r="R114" s="12" t="str">
        <x:f>IF(A114="","",IF(C114="","OTP manquant",IF(COUNTIFS($A$6:$A$505,A114,$C$6:$C$505,C114)&gt;1,"Doublon OTP","")))</x:f>
      </x:c>
    </x:row>
    <x:row r="115" ht="23" customHeight="1">
      <x:c r="A115" s="9"/>
      <x:c r="B115" s="9"/>
      <x:c r="C115" s="9"/>
      <x:c r="D115" s="9"/>
      <x:c r="E115" s="9"/>
      <x:c r="F115" s="11"/>
      <x:c r="G115" s="9"/>
      <x:c r="H115" s="9"/>
      <x:c r="I115" s="9"/>
      <x:c r="J115" s="9"/>
      <x:c r="K115" s="9"/>
      <x:c r="L115" s="9"/>
      <x:c r="M115" s="9"/>
      <x:c r="N115" s="12" t="str">
        <x:f>IF(A115="","",IF(ISNUMBER(F115),F115-'Tableau de bord'!$F$5,""))</x:f>
      </x:c>
      <x:c r="O115" s="12" t="str">
        <x:f>IF(A115="","",IF(ISNUMBER(F115),IF(N115&lt;0,"Expiré",IF(N115&lt;='Paramètres'!$E$6,"À renouveler","À jour")),"À compléter"))</x:f>
      </x:c>
      <x:c r="P115" s="12" t="str">
        <x:f>IF(A115="","",IF(AND(ISNUMBER(F115),F115&gt;'Tableau de bord'!$F$5,G115="Oui",H115="Oui",I115="Oui",J115="Oui",K115="Oui"),1,0))</x:f>
      </x:c>
      <x:c r="Q115" s="9"/>
      <x:c r="R115" s="12" t="str">
        <x:f>IF(A115="","",IF(C115="","OTP manquant",IF(COUNTIFS($A$6:$A$505,A115,$C$6:$C$505,C115)&gt;1,"Doublon OTP","")))</x:f>
      </x:c>
    </x:row>
    <x:row r="116" ht="23" customHeight="1">
      <x:c r="A116" s="9"/>
      <x:c r="B116" s="9"/>
      <x:c r="C116" s="9"/>
      <x:c r="D116" s="9"/>
      <x:c r="E116" s="9"/>
      <x:c r="F116" s="11"/>
      <x:c r="G116" s="9"/>
      <x:c r="H116" s="9"/>
      <x:c r="I116" s="9"/>
      <x:c r="J116" s="9"/>
      <x:c r="K116" s="9"/>
      <x:c r="L116" s="9"/>
      <x:c r="M116" s="9"/>
      <x:c r="N116" s="12" t="str">
        <x:f>IF(A116="","",IF(ISNUMBER(F116),F116-'Tableau de bord'!$F$5,""))</x:f>
      </x:c>
      <x:c r="O116" s="12" t="str">
        <x:f>IF(A116="","",IF(ISNUMBER(F116),IF(N116&lt;0,"Expiré",IF(N116&lt;='Paramètres'!$E$6,"À renouveler","À jour")),"À compléter"))</x:f>
      </x:c>
      <x:c r="P116" s="12" t="str">
        <x:f>IF(A116="","",IF(AND(ISNUMBER(F116),F116&gt;'Tableau de bord'!$F$5,G116="Oui",H116="Oui",I116="Oui",J116="Oui",K116="Oui"),1,0))</x:f>
      </x:c>
      <x:c r="Q116" s="9"/>
      <x:c r="R116" s="12" t="str">
        <x:f>IF(A116="","",IF(C116="","OTP manquant",IF(COUNTIFS($A$6:$A$505,A116,$C$6:$C$505,C116)&gt;1,"Doublon OTP","")))</x:f>
      </x:c>
    </x:row>
    <x:row r="117" ht="23" customHeight="1">
      <x:c r="A117" s="9"/>
      <x:c r="B117" s="9"/>
      <x:c r="C117" s="9"/>
      <x:c r="D117" s="9"/>
      <x:c r="E117" s="9"/>
      <x:c r="F117" s="11"/>
      <x:c r="G117" s="9"/>
      <x:c r="H117" s="9"/>
      <x:c r="I117" s="9"/>
      <x:c r="J117" s="9"/>
      <x:c r="K117" s="9"/>
      <x:c r="L117" s="9"/>
      <x:c r="M117" s="9"/>
      <x:c r="N117" s="12" t="str">
        <x:f>IF(A117="","",IF(ISNUMBER(F117),F117-'Tableau de bord'!$F$5,""))</x:f>
      </x:c>
      <x:c r="O117" s="12" t="str">
        <x:f>IF(A117="","",IF(ISNUMBER(F117),IF(N117&lt;0,"Expiré",IF(N117&lt;='Paramètres'!$E$6,"À renouveler","À jour")),"À compléter"))</x:f>
      </x:c>
      <x:c r="P117" s="12" t="str">
        <x:f>IF(A117="","",IF(AND(ISNUMBER(F117),F117&gt;'Tableau de bord'!$F$5,G117="Oui",H117="Oui",I117="Oui",J117="Oui",K117="Oui"),1,0))</x:f>
      </x:c>
      <x:c r="Q117" s="9"/>
      <x:c r="R117" s="12" t="str">
        <x:f>IF(A117="","",IF(C117="","OTP manquant",IF(COUNTIFS($A$6:$A$505,A117,$C$6:$C$505,C117)&gt;1,"Doublon OTP","")))</x:f>
      </x:c>
    </x:row>
    <x:row r="118" ht="23" customHeight="1">
      <x:c r="A118" s="9"/>
      <x:c r="B118" s="9"/>
      <x:c r="C118" s="9"/>
      <x:c r="D118" s="9"/>
      <x:c r="E118" s="9"/>
      <x:c r="F118" s="11"/>
      <x:c r="G118" s="9"/>
      <x:c r="H118" s="9"/>
      <x:c r="I118" s="9"/>
      <x:c r="J118" s="9"/>
      <x:c r="K118" s="9"/>
      <x:c r="L118" s="9"/>
      <x:c r="M118" s="9"/>
      <x:c r="N118" s="12" t="str">
        <x:f>IF(A118="","",IF(ISNUMBER(F118),F118-'Tableau de bord'!$F$5,""))</x:f>
      </x:c>
      <x:c r="O118" s="12" t="str">
        <x:f>IF(A118="","",IF(ISNUMBER(F118),IF(N118&lt;0,"Expiré",IF(N118&lt;='Paramètres'!$E$6,"À renouveler","À jour")),"À compléter"))</x:f>
      </x:c>
      <x:c r="P118" s="12" t="str">
        <x:f>IF(A118="","",IF(AND(ISNUMBER(F118),F118&gt;'Tableau de bord'!$F$5,G118="Oui",H118="Oui",I118="Oui",J118="Oui",K118="Oui"),1,0))</x:f>
      </x:c>
      <x:c r="Q118" s="9"/>
      <x:c r="R118" s="12" t="str">
        <x:f>IF(A118="","",IF(C118="","OTP manquant",IF(COUNTIFS($A$6:$A$505,A118,$C$6:$C$505,C118)&gt;1,"Doublon OTP","")))</x:f>
      </x:c>
    </x:row>
    <x:row r="119" ht="23" customHeight="1">
      <x:c r="A119" s="9"/>
      <x:c r="B119" s="9"/>
      <x:c r="C119" s="9"/>
      <x:c r="D119" s="9"/>
      <x:c r="E119" s="9"/>
      <x:c r="F119" s="11"/>
      <x:c r="G119" s="9"/>
      <x:c r="H119" s="9"/>
      <x:c r="I119" s="9"/>
      <x:c r="J119" s="9"/>
      <x:c r="K119" s="9"/>
      <x:c r="L119" s="9"/>
      <x:c r="M119" s="9"/>
      <x:c r="N119" s="12" t="str">
        <x:f>IF(A119="","",IF(ISNUMBER(F119),F119-'Tableau de bord'!$F$5,""))</x:f>
      </x:c>
      <x:c r="O119" s="12" t="str">
        <x:f>IF(A119="","",IF(ISNUMBER(F119),IF(N119&lt;0,"Expiré",IF(N119&lt;='Paramètres'!$E$6,"À renouveler","À jour")),"À compléter"))</x:f>
      </x:c>
      <x:c r="P119" s="12" t="str">
        <x:f>IF(A119="","",IF(AND(ISNUMBER(F119),F119&gt;'Tableau de bord'!$F$5,G119="Oui",H119="Oui",I119="Oui",J119="Oui",K119="Oui"),1,0))</x:f>
      </x:c>
      <x:c r="Q119" s="9"/>
      <x:c r="R119" s="12" t="str">
        <x:f>IF(A119="","",IF(C119="","OTP manquant",IF(COUNTIFS($A$6:$A$505,A119,$C$6:$C$505,C119)&gt;1,"Doublon OTP","")))</x:f>
      </x:c>
    </x:row>
    <x:row r="120" ht="23" customHeight="1">
      <x:c r="A120" s="9"/>
      <x:c r="B120" s="9"/>
      <x:c r="C120" s="9"/>
      <x:c r="D120" s="9"/>
      <x:c r="E120" s="9"/>
      <x:c r="F120" s="11"/>
      <x:c r="G120" s="9"/>
      <x:c r="H120" s="9"/>
      <x:c r="I120" s="9"/>
      <x:c r="J120" s="9"/>
      <x:c r="K120" s="9"/>
      <x:c r="L120" s="9"/>
      <x:c r="M120" s="9"/>
      <x:c r="N120" s="12" t="str">
        <x:f>IF(A120="","",IF(ISNUMBER(F120),F120-'Tableau de bord'!$F$5,""))</x:f>
      </x:c>
      <x:c r="O120" s="12" t="str">
        <x:f>IF(A120="","",IF(ISNUMBER(F120),IF(N120&lt;0,"Expiré",IF(N120&lt;='Paramètres'!$E$6,"À renouveler","À jour")),"À compléter"))</x:f>
      </x:c>
      <x:c r="P120" s="12" t="str">
        <x:f>IF(A120="","",IF(AND(ISNUMBER(F120),F120&gt;'Tableau de bord'!$F$5,G120="Oui",H120="Oui",I120="Oui",J120="Oui",K120="Oui"),1,0))</x:f>
      </x:c>
      <x:c r="Q120" s="9"/>
      <x:c r="R120" s="12" t="str">
        <x:f>IF(A120="","",IF(C120="","OTP manquant",IF(COUNTIFS($A$6:$A$505,A120,$C$6:$C$505,C120)&gt;1,"Doublon OTP","")))</x:f>
      </x:c>
    </x:row>
    <x:row r="121" ht="23" customHeight="1">
      <x:c r="A121" s="9"/>
      <x:c r="B121" s="9"/>
      <x:c r="C121" s="9"/>
      <x:c r="D121" s="9"/>
      <x:c r="E121" s="9"/>
      <x:c r="F121" s="11"/>
      <x:c r="G121" s="9"/>
      <x:c r="H121" s="9"/>
      <x:c r="I121" s="9"/>
      <x:c r="J121" s="9"/>
      <x:c r="K121" s="9"/>
      <x:c r="L121" s="9"/>
      <x:c r="M121" s="9"/>
      <x:c r="N121" s="12" t="str">
        <x:f>IF(A121="","",IF(ISNUMBER(F121),F121-'Tableau de bord'!$F$5,""))</x:f>
      </x:c>
      <x:c r="O121" s="12" t="str">
        <x:f>IF(A121="","",IF(ISNUMBER(F121),IF(N121&lt;0,"Expiré",IF(N121&lt;='Paramètres'!$E$6,"À renouveler","À jour")),"À compléter"))</x:f>
      </x:c>
      <x:c r="P121" s="12" t="str">
        <x:f>IF(A121="","",IF(AND(ISNUMBER(F121),F121&gt;'Tableau de bord'!$F$5,G121="Oui",H121="Oui",I121="Oui",J121="Oui",K121="Oui"),1,0))</x:f>
      </x:c>
      <x:c r="Q121" s="9"/>
      <x:c r="R121" s="12" t="str">
        <x:f>IF(A121="","",IF(C121="","OTP manquant",IF(COUNTIFS($A$6:$A$505,A121,$C$6:$C$505,C121)&gt;1,"Doublon OTP","")))</x:f>
      </x:c>
    </x:row>
    <x:row r="122" ht="23" customHeight="1">
      <x:c r="A122" s="9"/>
      <x:c r="B122" s="9"/>
      <x:c r="C122" s="9"/>
      <x:c r="D122" s="9"/>
      <x:c r="E122" s="9"/>
      <x:c r="F122" s="11"/>
      <x:c r="G122" s="9"/>
      <x:c r="H122" s="9"/>
      <x:c r="I122" s="9"/>
      <x:c r="J122" s="9"/>
      <x:c r="K122" s="9"/>
      <x:c r="L122" s="9"/>
      <x:c r="M122" s="9"/>
      <x:c r="N122" s="12" t="str">
        <x:f>IF(A122="","",IF(ISNUMBER(F122),F122-'Tableau de bord'!$F$5,""))</x:f>
      </x:c>
      <x:c r="O122" s="12" t="str">
        <x:f>IF(A122="","",IF(ISNUMBER(F122),IF(N122&lt;0,"Expiré",IF(N122&lt;='Paramètres'!$E$6,"À renouveler","À jour")),"À compléter"))</x:f>
      </x:c>
      <x:c r="P122" s="12" t="str">
        <x:f>IF(A122="","",IF(AND(ISNUMBER(F122),F122&gt;'Tableau de bord'!$F$5,G122="Oui",H122="Oui",I122="Oui",J122="Oui",K122="Oui"),1,0))</x:f>
      </x:c>
      <x:c r="Q122" s="9"/>
      <x:c r="R122" s="12" t="str">
        <x:f>IF(A122="","",IF(C122="","OTP manquant",IF(COUNTIFS($A$6:$A$505,A122,$C$6:$C$505,C122)&gt;1,"Doublon OTP","")))</x:f>
      </x:c>
    </x:row>
    <x:row r="123" ht="23" customHeight="1">
      <x:c r="A123" s="9"/>
      <x:c r="B123" s="9"/>
      <x:c r="C123" s="9"/>
      <x:c r="D123" s="9"/>
      <x:c r="E123" s="9"/>
      <x:c r="F123" s="11"/>
      <x:c r="G123" s="9"/>
      <x:c r="H123" s="9"/>
      <x:c r="I123" s="9"/>
      <x:c r="J123" s="9"/>
      <x:c r="K123" s="9"/>
      <x:c r="L123" s="9"/>
      <x:c r="M123" s="9"/>
      <x:c r="N123" s="12" t="str">
        <x:f>IF(A123="","",IF(ISNUMBER(F123),F123-'Tableau de bord'!$F$5,""))</x:f>
      </x:c>
      <x:c r="O123" s="12" t="str">
        <x:f>IF(A123="","",IF(ISNUMBER(F123),IF(N123&lt;0,"Expiré",IF(N123&lt;='Paramètres'!$E$6,"À renouveler","À jour")),"À compléter"))</x:f>
      </x:c>
      <x:c r="P123" s="12" t="str">
        <x:f>IF(A123="","",IF(AND(ISNUMBER(F123),F123&gt;'Tableau de bord'!$F$5,G123="Oui",H123="Oui",I123="Oui",J123="Oui",K123="Oui"),1,0))</x:f>
      </x:c>
      <x:c r="Q123" s="9"/>
      <x:c r="R123" s="12" t="str">
        <x:f>IF(A123="","",IF(C123="","OTP manquant",IF(COUNTIFS($A$6:$A$505,A123,$C$6:$C$505,C123)&gt;1,"Doublon OTP","")))</x:f>
      </x:c>
    </x:row>
    <x:row r="124" ht="23" customHeight="1">
      <x:c r="A124" s="9"/>
      <x:c r="B124" s="9"/>
      <x:c r="C124" s="9"/>
      <x:c r="D124" s="9"/>
      <x:c r="E124" s="9"/>
      <x:c r="F124" s="11"/>
      <x:c r="G124" s="9"/>
      <x:c r="H124" s="9"/>
      <x:c r="I124" s="9"/>
      <x:c r="J124" s="9"/>
      <x:c r="K124" s="9"/>
      <x:c r="L124" s="9"/>
      <x:c r="M124" s="9"/>
      <x:c r="N124" s="12" t="str">
        <x:f>IF(A124="","",IF(ISNUMBER(F124),F124-'Tableau de bord'!$F$5,""))</x:f>
      </x:c>
      <x:c r="O124" s="12" t="str">
        <x:f>IF(A124="","",IF(ISNUMBER(F124),IF(N124&lt;0,"Expiré",IF(N124&lt;='Paramètres'!$E$6,"À renouveler","À jour")),"À compléter"))</x:f>
      </x:c>
      <x:c r="P124" s="12" t="str">
        <x:f>IF(A124="","",IF(AND(ISNUMBER(F124),F124&gt;'Tableau de bord'!$F$5,G124="Oui",H124="Oui",I124="Oui",J124="Oui",K124="Oui"),1,0))</x:f>
      </x:c>
      <x:c r="Q124" s="9"/>
      <x:c r="R124" s="12" t="str">
        <x:f>IF(A124="","",IF(C124="","OTP manquant",IF(COUNTIFS($A$6:$A$505,A124,$C$6:$C$505,C124)&gt;1,"Doublon OTP","")))</x:f>
      </x:c>
    </x:row>
    <x:row r="125" ht="23" customHeight="1">
      <x:c r="A125" s="9"/>
      <x:c r="B125" s="9"/>
      <x:c r="C125" s="9"/>
      <x:c r="D125" s="9"/>
      <x:c r="E125" s="9"/>
      <x:c r="F125" s="11"/>
      <x:c r="G125" s="9"/>
      <x:c r="H125" s="9"/>
      <x:c r="I125" s="9"/>
      <x:c r="J125" s="9"/>
      <x:c r="K125" s="9"/>
      <x:c r="L125" s="9"/>
      <x:c r="M125" s="9"/>
      <x:c r="N125" s="12" t="str">
        <x:f>IF(A125="","",IF(ISNUMBER(F125),F125-'Tableau de bord'!$F$5,""))</x:f>
      </x:c>
      <x:c r="O125" s="12" t="str">
        <x:f>IF(A125="","",IF(ISNUMBER(F125),IF(N125&lt;0,"Expiré",IF(N125&lt;='Paramètres'!$E$6,"À renouveler","À jour")),"À compléter"))</x:f>
      </x:c>
      <x:c r="P125" s="12" t="str">
        <x:f>IF(A125="","",IF(AND(ISNUMBER(F125),F125&gt;'Tableau de bord'!$F$5,G125="Oui",H125="Oui",I125="Oui",J125="Oui",K125="Oui"),1,0))</x:f>
      </x:c>
      <x:c r="Q125" s="9"/>
      <x:c r="R125" s="12" t="str">
        <x:f>IF(A125="","",IF(C125="","OTP manquant",IF(COUNTIFS($A$6:$A$505,A125,$C$6:$C$505,C125)&gt;1,"Doublon OTP","")))</x:f>
      </x:c>
    </x:row>
    <x:row r="126" ht="23" customHeight="1">
      <x:c r="A126" s="9"/>
      <x:c r="B126" s="9"/>
      <x:c r="C126" s="9"/>
      <x:c r="D126" s="9"/>
      <x:c r="E126" s="9"/>
      <x:c r="F126" s="11"/>
      <x:c r="G126" s="9"/>
      <x:c r="H126" s="9"/>
      <x:c r="I126" s="9"/>
      <x:c r="J126" s="9"/>
      <x:c r="K126" s="9"/>
      <x:c r="L126" s="9"/>
      <x:c r="M126" s="9"/>
      <x:c r="N126" s="12" t="str">
        <x:f>IF(A126="","",IF(ISNUMBER(F126),F126-'Tableau de bord'!$F$5,""))</x:f>
      </x:c>
      <x:c r="O126" s="12" t="str">
        <x:f>IF(A126="","",IF(ISNUMBER(F126),IF(N126&lt;0,"Expiré",IF(N126&lt;='Paramètres'!$E$6,"À renouveler","À jour")),"À compléter"))</x:f>
      </x:c>
      <x:c r="P126" s="12" t="str">
        <x:f>IF(A126="","",IF(AND(ISNUMBER(F126),F126&gt;'Tableau de bord'!$F$5,G126="Oui",H126="Oui",I126="Oui",J126="Oui",K126="Oui"),1,0))</x:f>
      </x:c>
      <x:c r="Q126" s="9"/>
      <x:c r="R126" s="12" t="str">
        <x:f>IF(A126="","",IF(C126="","OTP manquant",IF(COUNTIFS($A$6:$A$505,A126,$C$6:$C$505,C126)&gt;1,"Doublon OTP","")))</x:f>
      </x:c>
    </x:row>
    <x:row r="127" ht="23" customHeight="1">
      <x:c r="A127" s="9"/>
      <x:c r="B127" s="9"/>
      <x:c r="C127" s="9"/>
      <x:c r="D127" s="9"/>
      <x:c r="E127" s="9"/>
      <x:c r="F127" s="11"/>
      <x:c r="G127" s="9"/>
      <x:c r="H127" s="9"/>
      <x:c r="I127" s="9"/>
      <x:c r="J127" s="9"/>
      <x:c r="K127" s="9"/>
      <x:c r="L127" s="9"/>
      <x:c r="M127" s="9"/>
      <x:c r="N127" s="12" t="str">
        <x:f>IF(A127="","",IF(ISNUMBER(F127),F127-'Tableau de bord'!$F$5,""))</x:f>
      </x:c>
      <x:c r="O127" s="12" t="str">
        <x:f>IF(A127="","",IF(ISNUMBER(F127),IF(N127&lt;0,"Expiré",IF(N127&lt;='Paramètres'!$E$6,"À renouveler","À jour")),"À compléter"))</x:f>
      </x:c>
      <x:c r="P127" s="12" t="str">
        <x:f>IF(A127="","",IF(AND(ISNUMBER(F127),F127&gt;'Tableau de bord'!$F$5,G127="Oui",H127="Oui",I127="Oui",J127="Oui",K127="Oui"),1,0))</x:f>
      </x:c>
      <x:c r="Q127" s="9"/>
      <x:c r="R127" s="12" t="str">
        <x:f>IF(A127="","",IF(C127="","OTP manquant",IF(COUNTIFS($A$6:$A$505,A127,$C$6:$C$505,C127)&gt;1,"Doublon OTP","")))</x:f>
      </x:c>
    </x:row>
    <x:row r="128" ht="23" customHeight="1">
      <x:c r="A128" s="9"/>
      <x:c r="B128" s="9"/>
      <x:c r="C128" s="9"/>
      <x:c r="D128" s="9"/>
      <x:c r="E128" s="9"/>
      <x:c r="F128" s="11"/>
      <x:c r="G128" s="9"/>
      <x:c r="H128" s="9"/>
      <x:c r="I128" s="9"/>
      <x:c r="J128" s="9"/>
      <x:c r="K128" s="9"/>
      <x:c r="L128" s="9"/>
      <x:c r="M128" s="9"/>
      <x:c r="N128" s="12" t="str">
        <x:f>IF(A128="","",IF(ISNUMBER(F128),F128-'Tableau de bord'!$F$5,""))</x:f>
      </x:c>
      <x:c r="O128" s="12" t="str">
        <x:f>IF(A128="","",IF(ISNUMBER(F128),IF(N128&lt;0,"Expiré",IF(N128&lt;='Paramètres'!$E$6,"À renouveler","À jour")),"À compléter"))</x:f>
      </x:c>
      <x:c r="P128" s="12" t="str">
        <x:f>IF(A128="","",IF(AND(ISNUMBER(F128),F128&gt;'Tableau de bord'!$F$5,G128="Oui",H128="Oui",I128="Oui",J128="Oui",K128="Oui"),1,0))</x:f>
      </x:c>
      <x:c r="Q128" s="9"/>
      <x:c r="R128" s="12" t="str">
        <x:f>IF(A128="","",IF(C128="","OTP manquant",IF(COUNTIFS($A$6:$A$505,A128,$C$6:$C$505,C128)&gt;1,"Doublon OTP","")))</x:f>
      </x:c>
    </x:row>
    <x:row r="129" ht="23" customHeight="1">
      <x:c r="A129" s="9"/>
      <x:c r="B129" s="9"/>
      <x:c r="C129" s="9"/>
      <x:c r="D129" s="9"/>
      <x:c r="E129" s="9"/>
      <x:c r="F129" s="11"/>
      <x:c r="G129" s="9"/>
      <x:c r="H129" s="9"/>
      <x:c r="I129" s="9"/>
      <x:c r="J129" s="9"/>
      <x:c r="K129" s="9"/>
      <x:c r="L129" s="9"/>
      <x:c r="M129" s="9"/>
      <x:c r="N129" s="12" t="str">
        <x:f>IF(A129="","",IF(ISNUMBER(F129),F129-'Tableau de bord'!$F$5,""))</x:f>
      </x:c>
      <x:c r="O129" s="12" t="str">
        <x:f>IF(A129="","",IF(ISNUMBER(F129),IF(N129&lt;0,"Expiré",IF(N129&lt;='Paramètres'!$E$6,"À renouveler","À jour")),"À compléter"))</x:f>
      </x:c>
      <x:c r="P129" s="12" t="str">
        <x:f>IF(A129="","",IF(AND(ISNUMBER(F129),F129&gt;'Tableau de bord'!$F$5,G129="Oui",H129="Oui",I129="Oui",J129="Oui",K129="Oui"),1,0))</x:f>
      </x:c>
      <x:c r="Q129" s="9"/>
      <x:c r="R129" s="12" t="str">
        <x:f>IF(A129="","",IF(C129="","OTP manquant",IF(COUNTIFS($A$6:$A$505,A129,$C$6:$C$505,C129)&gt;1,"Doublon OTP","")))</x:f>
      </x:c>
    </x:row>
    <x:row r="130" ht="23" customHeight="1">
      <x:c r="A130" s="9"/>
      <x:c r="B130" s="9"/>
      <x:c r="C130" s="9"/>
      <x:c r="D130" s="9"/>
      <x:c r="E130" s="9"/>
      <x:c r="F130" s="11"/>
      <x:c r="G130" s="9"/>
      <x:c r="H130" s="9"/>
      <x:c r="I130" s="9"/>
      <x:c r="J130" s="9"/>
      <x:c r="K130" s="9"/>
      <x:c r="L130" s="9"/>
      <x:c r="M130" s="9"/>
      <x:c r="N130" s="12" t="str">
        <x:f>IF(A130="","",IF(ISNUMBER(F130),F130-'Tableau de bord'!$F$5,""))</x:f>
      </x:c>
      <x:c r="O130" s="12" t="str">
        <x:f>IF(A130="","",IF(ISNUMBER(F130),IF(N130&lt;0,"Expiré",IF(N130&lt;='Paramètres'!$E$6,"À renouveler","À jour")),"À compléter"))</x:f>
      </x:c>
      <x:c r="P130" s="12" t="str">
        <x:f>IF(A130="","",IF(AND(ISNUMBER(F130),F130&gt;'Tableau de bord'!$F$5,G130="Oui",H130="Oui",I130="Oui",J130="Oui",K130="Oui"),1,0))</x:f>
      </x:c>
      <x:c r="Q130" s="9"/>
      <x:c r="R130" s="12" t="str">
        <x:f>IF(A130="","",IF(C130="","OTP manquant",IF(COUNTIFS($A$6:$A$505,A130,$C$6:$C$505,C130)&gt;1,"Doublon OTP","")))</x:f>
      </x:c>
    </x:row>
    <x:row r="131" ht="23" customHeight="1">
      <x:c r="A131" s="9"/>
      <x:c r="B131" s="9"/>
      <x:c r="C131" s="9"/>
      <x:c r="D131" s="9"/>
      <x:c r="E131" s="9"/>
      <x:c r="F131" s="11"/>
      <x:c r="G131" s="9"/>
      <x:c r="H131" s="9"/>
      <x:c r="I131" s="9"/>
      <x:c r="J131" s="9"/>
      <x:c r="K131" s="9"/>
      <x:c r="L131" s="9"/>
      <x:c r="M131" s="9"/>
      <x:c r="N131" s="12" t="str">
        <x:f>IF(A131="","",IF(ISNUMBER(F131),F131-'Tableau de bord'!$F$5,""))</x:f>
      </x:c>
      <x:c r="O131" s="12" t="str">
        <x:f>IF(A131="","",IF(ISNUMBER(F131),IF(N131&lt;0,"Expiré",IF(N131&lt;='Paramètres'!$E$6,"À renouveler","À jour")),"À compléter"))</x:f>
      </x:c>
      <x:c r="P131" s="12" t="str">
        <x:f>IF(A131="","",IF(AND(ISNUMBER(F131),F131&gt;'Tableau de bord'!$F$5,G131="Oui",H131="Oui",I131="Oui",J131="Oui",K131="Oui"),1,0))</x:f>
      </x:c>
      <x:c r="Q131" s="9"/>
      <x:c r="R131" s="12" t="str">
        <x:f>IF(A131="","",IF(C131="","OTP manquant",IF(COUNTIFS($A$6:$A$505,A131,$C$6:$C$505,C131)&gt;1,"Doublon OTP","")))</x:f>
      </x:c>
    </x:row>
    <x:row r="132" ht="23" customHeight="1">
      <x:c r="A132" s="9"/>
      <x:c r="B132" s="9"/>
      <x:c r="C132" s="9"/>
      <x:c r="D132" s="9"/>
      <x:c r="E132" s="9"/>
      <x:c r="F132" s="11"/>
      <x:c r="G132" s="9"/>
      <x:c r="H132" s="9"/>
      <x:c r="I132" s="9"/>
      <x:c r="J132" s="9"/>
      <x:c r="K132" s="9"/>
      <x:c r="L132" s="9"/>
      <x:c r="M132" s="9"/>
      <x:c r="N132" s="12" t="str">
        <x:f>IF(A132="","",IF(ISNUMBER(F132),F132-'Tableau de bord'!$F$5,""))</x:f>
      </x:c>
      <x:c r="O132" s="12" t="str">
        <x:f>IF(A132="","",IF(ISNUMBER(F132),IF(N132&lt;0,"Expiré",IF(N132&lt;='Paramètres'!$E$6,"À renouveler","À jour")),"À compléter"))</x:f>
      </x:c>
      <x:c r="P132" s="12" t="str">
        <x:f>IF(A132="","",IF(AND(ISNUMBER(F132),F132&gt;'Tableau de bord'!$F$5,G132="Oui",H132="Oui",I132="Oui",J132="Oui",K132="Oui"),1,0))</x:f>
      </x:c>
      <x:c r="Q132" s="9"/>
      <x:c r="R132" s="12" t="str">
        <x:f>IF(A132="","",IF(C132="","OTP manquant",IF(COUNTIFS($A$6:$A$505,A132,$C$6:$C$505,C132)&gt;1,"Doublon OTP","")))</x:f>
      </x:c>
    </x:row>
    <x:row r="133" ht="23" customHeight="1">
      <x:c r="A133" s="9"/>
      <x:c r="B133" s="9"/>
      <x:c r="C133" s="9"/>
      <x:c r="D133" s="9"/>
      <x:c r="E133" s="9"/>
      <x:c r="F133" s="11"/>
      <x:c r="G133" s="9"/>
      <x:c r="H133" s="9"/>
      <x:c r="I133" s="9"/>
      <x:c r="J133" s="9"/>
      <x:c r="K133" s="9"/>
      <x:c r="L133" s="9"/>
      <x:c r="M133" s="9"/>
      <x:c r="N133" s="12" t="str">
        <x:f>IF(A133="","",IF(ISNUMBER(F133),F133-'Tableau de bord'!$F$5,""))</x:f>
      </x:c>
      <x:c r="O133" s="12" t="str">
        <x:f>IF(A133="","",IF(ISNUMBER(F133),IF(N133&lt;0,"Expiré",IF(N133&lt;='Paramètres'!$E$6,"À renouveler","À jour")),"À compléter"))</x:f>
      </x:c>
      <x:c r="P133" s="12" t="str">
        <x:f>IF(A133="","",IF(AND(ISNUMBER(F133),F133&gt;'Tableau de bord'!$F$5,G133="Oui",H133="Oui",I133="Oui",J133="Oui",K133="Oui"),1,0))</x:f>
      </x:c>
      <x:c r="Q133" s="9"/>
      <x:c r="R133" s="12" t="str">
        <x:f>IF(A133="","",IF(C133="","OTP manquant",IF(COUNTIFS($A$6:$A$505,A133,$C$6:$C$505,C133)&gt;1,"Doublon OTP","")))</x:f>
      </x:c>
    </x:row>
    <x:row r="134" ht="23" customHeight="1">
      <x:c r="A134" s="9"/>
      <x:c r="B134" s="9"/>
      <x:c r="C134" s="9"/>
      <x:c r="D134" s="9"/>
      <x:c r="E134" s="9"/>
      <x:c r="F134" s="11"/>
      <x:c r="G134" s="9"/>
      <x:c r="H134" s="9"/>
      <x:c r="I134" s="9"/>
      <x:c r="J134" s="9"/>
      <x:c r="K134" s="9"/>
      <x:c r="L134" s="9"/>
      <x:c r="M134" s="9"/>
      <x:c r="N134" s="12" t="str">
        <x:f>IF(A134="","",IF(ISNUMBER(F134),F134-'Tableau de bord'!$F$5,""))</x:f>
      </x:c>
      <x:c r="O134" s="12" t="str">
        <x:f>IF(A134="","",IF(ISNUMBER(F134),IF(N134&lt;0,"Expiré",IF(N134&lt;='Paramètres'!$E$6,"À renouveler","À jour")),"À compléter"))</x:f>
      </x:c>
      <x:c r="P134" s="12" t="str">
        <x:f>IF(A134="","",IF(AND(ISNUMBER(F134),F134&gt;'Tableau de bord'!$F$5,G134="Oui",H134="Oui",I134="Oui",J134="Oui",K134="Oui"),1,0))</x:f>
      </x:c>
      <x:c r="Q134" s="9"/>
      <x:c r="R134" s="12" t="str">
        <x:f>IF(A134="","",IF(C134="","OTP manquant",IF(COUNTIFS($A$6:$A$505,A134,$C$6:$C$505,C134)&gt;1,"Doublon OTP","")))</x:f>
      </x:c>
    </x:row>
    <x:row r="135" ht="23" customHeight="1">
      <x:c r="A135" s="9"/>
      <x:c r="B135" s="9"/>
      <x:c r="C135" s="9"/>
      <x:c r="D135" s="9"/>
      <x:c r="E135" s="9"/>
      <x:c r="F135" s="11"/>
      <x:c r="G135" s="9"/>
      <x:c r="H135" s="9"/>
      <x:c r="I135" s="9"/>
      <x:c r="J135" s="9"/>
      <x:c r="K135" s="9"/>
      <x:c r="L135" s="9"/>
      <x:c r="M135" s="9"/>
      <x:c r="N135" s="12" t="str">
        <x:f>IF(A135="","",IF(ISNUMBER(F135),F135-'Tableau de bord'!$F$5,""))</x:f>
      </x:c>
      <x:c r="O135" s="12" t="str">
        <x:f>IF(A135="","",IF(ISNUMBER(F135),IF(N135&lt;0,"Expiré",IF(N135&lt;='Paramètres'!$E$6,"À renouveler","À jour")),"À compléter"))</x:f>
      </x:c>
      <x:c r="P135" s="12" t="str">
        <x:f>IF(A135="","",IF(AND(ISNUMBER(F135),F135&gt;'Tableau de bord'!$F$5,G135="Oui",H135="Oui",I135="Oui",J135="Oui",K135="Oui"),1,0))</x:f>
      </x:c>
      <x:c r="Q135" s="9"/>
      <x:c r="R135" s="12" t="str">
        <x:f>IF(A135="","",IF(C135="","OTP manquant",IF(COUNTIFS($A$6:$A$505,A135,$C$6:$C$505,C135)&gt;1,"Doublon OTP","")))</x:f>
      </x:c>
    </x:row>
    <x:row r="136" ht="23" customHeight="1">
      <x:c r="A136" s="9"/>
      <x:c r="B136" s="9"/>
      <x:c r="C136" s="9"/>
      <x:c r="D136" s="9"/>
      <x:c r="E136" s="9"/>
      <x:c r="F136" s="11"/>
      <x:c r="G136" s="9"/>
      <x:c r="H136" s="9"/>
      <x:c r="I136" s="9"/>
      <x:c r="J136" s="9"/>
      <x:c r="K136" s="9"/>
      <x:c r="L136" s="9"/>
      <x:c r="M136" s="9"/>
      <x:c r="N136" s="12" t="str">
        <x:f>IF(A136="","",IF(ISNUMBER(F136),F136-'Tableau de bord'!$F$5,""))</x:f>
      </x:c>
      <x:c r="O136" s="12" t="str">
        <x:f>IF(A136="","",IF(ISNUMBER(F136),IF(N136&lt;0,"Expiré",IF(N136&lt;='Paramètres'!$E$6,"À renouveler","À jour")),"À compléter"))</x:f>
      </x:c>
      <x:c r="P136" s="12" t="str">
        <x:f>IF(A136="","",IF(AND(ISNUMBER(F136),F136&gt;'Tableau de bord'!$F$5,G136="Oui",H136="Oui",I136="Oui",J136="Oui",K136="Oui"),1,0))</x:f>
      </x:c>
      <x:c r="Q136" s="9"/>
      <x:c r="R136" s="12" t="str">
        <x:f>IF(A136="","",IF(C136="","OTP manquant",IF(COUNTIFS($A$6:$A$505,A136,$C$6:$C$505,C136)&gt;1,"Doublon OTP","")))</x:f>
      </x:c>
    </x:row>
    <x:row r="137" ht="23" customHeight="1">
      <x:c r="A137" s="9"/>
      <x:c r="B137" s="9"/>
      <x:c r="C137" s="9"/>
      <x:c r="D137" s="9"/>
      <x:c r="E137" s="9"/>
      <x:c r="F137" s="11"/>
      <x:c r="G137" s="9"/>
      <x:c r="H137" s="9"/>
      <x:c r="I137" s="9"/>
      <x:c r="J137" s="9"/>
      <x:c r="K137" s="9"/>
      <x:c r="L137" s="9"/>
      <x:c r="M137" s="9"/>
      <x:c r="N137" s="12" t="str">
        <x:f>IF(A137="","",IF(ISNUMBER(F137),F137-'Tableau de bord'!$F$5,""))</x:f>
      </x:c>
      <x:c r="O137" s="12" t="str">
        <x:f>IF(A137="","",IF(ISNUMBER(F137),IF(N137&lt;0,"Expiré",IF(N137&lt;='Paramètres'!$E$6,"À renouveler","À jour")),"À compléter"))</x:f>
      </x:c>
      <x:c r="P137" s="12" t="str">
        <x:f>IF(A137="","",IF(AND(ISNUMBER(F137),F137&gt;'Tableau de bord'!$F$5,G137="Oui",H137="Oui",I137="Oui",J137="Oui",K137="Oui"),1,0))</x:f>
      </x:c>
      <x:c r="Q137" s="9"/>
      <x:c r="R137" s="12" t="str">
        <x:f>IF(A137="","",IF(C137="","OTP manquant",IF(COUNTIFS($A$6:$A$505,A137,$C$6:$C$505,C137)&gt;1,"Doublon OTP","")))</x:f>
      </x:c>
    </x:row>
    <x:row r="138" ht="23" customHeight="1">
      <x:c r="A138" s="9"/>
      <x:c r="B138" s="9"/>
      <x:c r="C138" s="9"/>
      <x:c r="D138" s="9"/>
      <x:c r="E138" s="9"/>
      <x:c r="F138" s="11"/>
      <x:c r="G138" s="9"/>
      <x:c r="H138" s="9"/>
      <x:c r="I138" s="9"/>
      <x:c r="J138" s="9"/>
      <x:c r="K138" s="9"/>
      <x:c r="L138" s="9"/>
      <x:c r="M138" s="9"/>
      <x:c r="N138" s="12" t="str">
        <x:f>IF(A138="","",IF(ISNUMBER(F138),F138-'Tableau de bord'!$F$5,""))</x:f>
      </x:c>
      <x:c r="O138" s="12" t="str">
        <x:f>IF(A138="","",IF(ISNUMBER(F138),IF(N138&lt;0,"Expiré",IF(N138&lt;='Paramètres'!$E$6,"À renouveler","À jour")),"À compléter"))</x:f>
      </x:c>
      <x:c r="P138" s="12" t="str">
        <x:f>IF(A138="","",IF(AND(ISNUMBER(F138),F138&gt;'Tableau de bord'!$F$5,G138="Oui",H138="Oui",I138="Oui",J138="Oui",K138="Oui"),1,0))</x:f>
      </x:c>
      <x:c r="Q138" s="9"/>
      <x:c r="R138" s="12" t="str">
        <x:f>IF(A138="","",IF(C138="","OTP manquant",IF(COUNTIFS($A$6:$A$505,A138,$C$6:$C$505,C138)&gt;1,"Doublon OTP","")))</x:f>
      </x:c>
    </x:row>
    <x:row r="139" ht="23" customHeight="1">
      <x:c r="A139" s="9"/>
      <x:c r="B139" s="9"/>
      <x:c r="C139" s="9"/>
      <x:c r="D139" s="9"/>
      <x:c r="E139" s="9"/>
      <x:c r="F139" s="11"/>
      <x:c r="G139" s="9"/>
      <x:c r="H139" s="9"/>
      <x:c r="I139" s="9"/>
      <x:c r="J139" s="9"/>
      <x:c r="K139" s="9"/>
      <x:c r="L139" s="9"/>
      <x:c r="M139" s="9"/>
      <x:c r="N139" s="12" t="str">
        <x:f>IF(A139="","",IF(ISNUMBER(F139),F139-'Tableau de bord'!$F$5,""))</x:f>
      </x:c>
      <x:c r="O139" s="12" t="str">
        <x:f>IF(A139="","",IF(ISNUMBER(F139),IF(N139&lt;0,"Expiré",IF(N139&lt;='Paramètres'!$E$6,"À renouveler","À jour")),"À compléter"))</x:f>
      </x:c>
      <x:c r="P139" s="12" t="str">
        <x:f>IF(A139="","",IF(AND(ISNUMBER(F139),F139&gt;'Tableau de bord'!$F$5,G139="Oui",H139="Oui",I139="Oui",J139="Oui",K139="Oui"),1,0))</x:f>
      </x:c>
      <x:c r="Q139" s="9"/>
      <x:c r="R139" s="12" t="str">
        <x:f>IF(A139="","",IF(C139="","OTP manquant",IF(COUNTIFS($A$6:$A$505,A139,$C$6:$C$505,C139)&gt;1,"Doublon OTP","")))</x:f>
      </x:c>
    </x:row>
    <x:row r="140" ht="23" customHeight="1">
      <x:c r="A140" s="9"/>
      <x:c r="B140" s="9"/>
      <x:c r="C140" s="9"/>
      <x:c r="D140" s="9"/>
      <x:c r="E140" s="9"/>
      <x:c r="F140" s="11"/>
      <x:c r="G140" s="9"/>
      <x:c r="H140" s="9"/>
      <x:c r="I140" s="9"/>
      <x:c r="J140" s="9"/>
      <x:c r="K140" s="9"/>
      <x:c r="L140" s="9"/>
      <x:c r="M140" s="9"/>
      <x:c r="N140" s="12" t="str">
        <x:f>IF(A140="","",IF(ISNUMBER(F140),F140-'Tableau de bord'!$F$5,""))</x:f>
      </x:c>
      <x:c r="O140" s="12" t="str">
        <x:f>IF(A140="","",IF(ISNUMBER(F140),IF(N140&lt;0,"Expiré",IF(N140&lt;='Paramètres'!$E$6,"À renouveler","À jour")),"À compléter"))</x:f>
      </x:c>
      <x:c r="P140" s="12" t="str">
        <x:f>IF(A140="","",IF(AND(ISNUMBER(F140),F140&gt;'Tableau de bord'!$F$5,G140="Oui",H140="Oui",I140="Oui",J140="Oui",K140="Oui"),1,0))</x:f>
      </x:c>
      <x:c r="Q140" s="9"/>
      <x:c r="R140" s="12" t="str">
        <x:f>IF(A140="","",IF(C140="","OTP manquant",IF(COUNTIFS($A$6:$A$505,A140,$C$6:$C$505,C140)&gt;1,"Doublon OTP","")))</x:f>
      </x:c>
    </x:row>
    <x:row r="141" ht="23" customHeight="1">
      <x:c r="A141" s="9"/>
      <x:c r="B141" s="9"/>
      <x:c r="C141" s="9"/>
      <x:c r="D141" s="9"/>
      <x:c r="E141" s="9"/>
      <x:c r="F141" s="11"/>
      <x:c r="G141" s="9"/>
      <x:c r="H141" s="9"/>
      <x:c r="I141" s="9"/>
      <x:c r="J141" s="9"/>
      <x:c r="K141" s="9"/>
      <x:c r="L141" s="9"/>
      <x:c r="M141" s="9"/>
      <x:c r="N141" s="12" t="str">
        <x:f>IF(A141="","",IF(ISNUMBER(F141),F141-'Tableau de bord'!$F$5,""))</x:f>
      </x:c>
      <x:c r="O141" s="12" t="str">
        <x:f>IF(A141="","",IF(ISNUMBER(F141),IF(N141&lt;0,"Expiré",IF(N141&lt;='Paramètres'!$E$6,"À renouveler","À jour")),"À compléter"))</x:f>
      </x:c>
      <x:c r="P141" s="12" t="str">
        <x:f>IF(A141="","",IF(AND(ISNUMBER(F141),F141&gt;'Tableau de bord'!$F$5,G141="Oui",H141="Oui",I141="Oui",J141="Oui",K141="Oui"),1,0))</x:f>
      </x:c>
      <x:c r="Q141" s="9"/>
      <x:c r="R141" s="12" t="str">
        <x:f>IF(A141="","",IF(C141="","OTP manquant",IF(COUNTIFS($A$6:$A$505,A141,$C$6:$C$505,C141)&gt;1,"Doublon OTP","")))</x:f>
      </x:c>
    </x:row>
    <x:row r="142" ht="23" customHeight="1">
      <x:c r="A142" s="9"/>
      <x:c r="B142" s="9"/>
      <x:c r="C142" s="9"/>
      <x:c r="D142" s="9"/>
      <x:c r="E142" s="9"/>
      <x:c r="F142" s="11"/>
      <x:c r="G142" s="9"/>
      <x:c r="H142" s="9"/>
      <x:c r="I142" s="9"/>
      <x:c r="J142" s="9"/>
      <x:c r="K142" s="9"/>
      <x:c r="L142" s="9"/>
      <x:c r="M142" s="9"/>
      <x:c r="N142" s="12" t="str">
        <x:f>IF(A142="","",IF(ISNUMBER(F142),F142-'Tableau de bord'!$F$5,""))</x:f>
      </x:c>
      <x:c r="O142" s="12" t="str">
        <x:f>IF(A142="","",IF(ISNUMBER(F142),IF(N142&lt;0,"Expiré",IF(N142&lt;='Paramètres'!$E$6,"À renouveler","À jour")),"À compléter"))</x:f>
      </x:c>
      <x:c r="P142" s="12" t="str">
        <x:f>IF(A142="","",IF(AND(ISNUMBER(F142),F142&gt;'Tableau de bord'!$F$5,G142="Oui",H142="Oui",I142="Oui",J142="Oui",K142="Oui"),1,0))</x:f>
      </x:c>
      <x:c r="Q142" s="9"/>
      <x:c r="R142" s="12" t="str">
        <x:f>IF(A142="","",IF(C142="","OTP manquant",IF(COUNTIFS($A$6:$A$505,A142,$C$6:$C$505,C142)&gt;1,"Doublon OTP","")))</x:f>
      </x:c>
    </x:row>
    <x:row r="143" ht="23" customHeight="1">
      <x:c r="A143" s="9"/>
      <x:c r="B143" s="9"/>
      <x:c r="C143" s="9"/>
      <x:c r="D143" s="9"/>
      <x:c r="E143" s="9"/>
      <x:c r="F143" s="11"/>
      <x:c r="G143" s="9"/>
      <x:c r="H143" s="9"/>
      <x:c r="I143" s="9"/>
      <x:c r="J143" s="9"/>
      <x:c r="K143" s="9"/>
      <x:c r="L143" s="9"/>
      <x:c r="M143" s="9"/>
      <x:c r="N143" s="12" t="str">
        <x:f>IF(A143="","",IF(ISNUMBER(F143),F143-'Tableau de bord'!$F$5,""))</x:f>
      </x:c>
      <x:c r="O143" s="12" t="str">
        <x:f>IF(A143="","",IF(ISNUMBER(F143),IF(N143&lt;0,"Expiré",IF(N143&lt;='Paramètres'!$E$6,"À renouveler","À jour")),"À compléter"))</x:f>
      </x:c>
      <x:c r="P143" s="12" t="str">
        <x:f>IF(A143="","",IF(AND(ISNUMBER(F143),F143&gt;'Tableau de bord'!$F$5,G143="Oui",H143="Oui",I143="Oui",J143="Oui",K143="Oui"),1,0))</x:f>
      </x:c>
      <x:c r="Q143" s="9"/>
      <x:c r="R143" s="12" t="str">
        <x:f>IF(A143="","",IF(C143="","OTP manquant",IF(COUNTIFS($A$6:$A$505,A143,$C$6:$C$505,C143)&gt;1,"Doublon OTP","")))</x:f>
      </x:c>
    </x:row>
    <x:row r="144" ht="23" customHeight="1">
      <x:c r="A144" s="9"/>
      <x:c r="B144" s="9"/>
      <x:c r="C144" s="9"/>
      <x:c r="D144" s="9"/>
      <x:c r="E144" s="9"/>
      <x:c r="F144" s="11"/>
      <x:c r="G144" s="9"/>
      <x:c r="H144" s="9"/>
      <x:c r="I144" s="9"/>
      <x:c r="J144" s="9"/>
      <x:c r="K144" s="9"/>
      <x:c r="L144" s="9"/>
      <x:c r="M144" s="9"/>
      <x:c r="N144" s="12" t="str">
        <x:f>IF(A144="","",IF(ISNUMBER(F144),F144-'Tableau de bord'!$F$5,""))</x:f>
      </x:c>
      <x:c r="O144" s="12" t="str">
        <x:f>IF(A144="","",IF(ISNUMBER(F144),IF(N144&lt;0,"Expiré",IF(N144&lt;='Paramètres'!$E$6,"À renouveler","À jour")),"À compléter"))</x:f>
      </x:c>
      <x:c r="P144" s="12" t="str">
        <x:f>IF(A144="","",IF(AND(ISNUMBER(F144),F144&gt;'Tableau de bord'!$F$5,G144="Oui",H144="Oui",I144="Oui",J144="Oui",K144="Oui"),1,0))</x:f>
      </x:c>
      <x:c r="Q144" s="9"/>
      <x:c r="R144" s="12" t="str">
        <x:f>IF(A144="","",IF(C144="","OTP manquant",IF(COUNTIFS($A$6:$A$505,A144,$C$6:$C$505,C144)&gt;1,"Doublon OTP","")))</x:f>
      </x:c>
    </x:row>
    <x:row r="145" ht="23" customHeight="1">
      <x:c r="A145" s="9"/>
      <x:c r="B145" s="9"/>
      <x:c r="C145" s="9"/>
      <x:c r="D145" s="9"/>
      <x:c r="E145" s="9"/>
      <x:c r="F145" s="11"/>
      <x:c r="G145" s="9"/>
      <x:c r="H145" s="9"/>
      <x:c r="I145" s="9"/>
      <x:c r="J145" s="9"/>
      <x:c r="K145" s="9"/>
      <x:c r="L145" s="9"/>
      <x:c r="M145" s="9"/>
      <x:c r="N145" s="12" t="str">
        <x:f>IF(A145="","",IF(ISNUMBER(F145),F145-'Tableau de bord'!$F$5,""))</x:f>
      </x:c>
      <x:c r="O145" s="12" t="str">
        <x:f>IF(A145="","",IF(ISNUMBER(F145),IF(N145&lt;0,"Expiré",IF(N145&lt;='Paramètres'!$E$6,"À renouveler","À jour")),"À compléter"))</x:f>
      </x:c>
      <x:c r="P145" s="12" t="str">
        <x:f>IF(A145="","",IF(AND(ISNUMBER(F145),F145&gt;'Tableau de bord'!$F$5,G145="Oui",H145="Oui",I145="Oui",J145="Oui",K145="Oui"),1,0))</x:f>
      </x:c>
      <x:c r="Q145" s="9"/>
      <x:c r="R145" s="12" t="str">
        <x:f>IF(A145="","",IF(C145="","OTP manquant",IF(COUNTIFS($A$6:$A$505,A145,$C$6:$C$505,C145)&gt;1,"Doublon OTP","")))</x:f>
      </x:c>
    </x:row>
    <x:row r="146" ht="23" customHeight="1">
      <x:c r="A146" s="9"/>
      <x:c r="B146" s="9"/>
      <x:c r="C146" s="9"/>
      <x:c r="D146" s="9"/>
      <x:c r="E146" s="9"/>
      <x:c r="F146" s="11"/>
      <x:c r="G146" s="9"/>
      <x:c r="H146" s="9"/>
      <x:c r="I146" s="9"/>
      <x:c r="J146" s="9"/>
      <x:c r="K146" s="9"/>
      <x:c r="L146" s="9"/>
      <x:c r="M146" s="9"/>
      <x:c r="N146" s="12" t="str">
        <x:f>IF(A146="","",IF(ISNUMBER(F146),F146-'Tableau de bord'!$F$5,""))</x:f>
      </x:c>
      <x:c r="O146" s="12" t="str">
        <x:f>IF(A146="","",IF(ISNUMBER(F146),IF(N146&lt;0,"Expiré",IF(N146&lt;='Paramètres'!$E$6,"À renouveler","À jour")),"À compléter"))</x:f>
      </x:c>
      <x:c r="P146" s="12" t="str">
        <x:f>IF(A146="","",IF(AND(ISNUMBER(F146),F146&gt;'Tableau de bord'!$F$5,G146="Oui",H146="Oui",I146="Oui",J146="Oui",K146="Oui"),1,0))</x:f>
      </x:c>
      <x:c r="Q146" s="9"/>
      <x:c r="R146" s="12" t="str">
        <x:f>IF(A146="","",IF(C146="","OTP manquant",IF(COUNTIFS($A$6:$A$505,A146,$C$6:$C$505,C146)&gt;1,"Doublon OTP","")))</x:f>
      </x:c>
    </x:row>
    <x:row r="147" ht="23" customHeight="1">
      <x:c r="A147" s="9"/>
      <x:c r="B147" s="9"/>
      <x:c r="C147" s="9"/>
      <x:c r="D147" s="9"/>
      <x:c r="E147" s="9"/>
      <x:c r="F147" s="11"/>
      <x:c r="G147" s="9"/>
      <x:c r="H147" s="9"/>
      <x:c r="I147" s="9"/>
      <x:c r="J147" s="9"/>
      <x:c r="K147" s="9"/>
      <x:c r="L147" s="9"/>
      <x:c r="M147" s="9"/>
      <x:c r="N147" s="12" t="str">
        <x:f>IF(A147="","",IF(ISNUMBER(F147),F147-'Tableau de bord'!$F$5,""))</x:f>
      </x:c>
      <x:c r="O147" s="12" t="str">
        <x:f>IF(A147="","",IF(ISNUMBER(F147),IF(N147&lt;0,"Expiré",IF(N147&lt;='Paramètres'!$E$6,"À renouveler","À jour")),"À compléter"))</x:f>
      </x:c>
      <x:c r="P147" s="12" t="str">
        <x:f>IF(A147="","",IF(AND(ISNUMBER(F147),F147&gt;'Tableau de bord'!$F$5,G147="Oui",H147="Oui",I147="Oui",J147="Oui",K147="Oui"),1,0))</x:f>
      </x:c>
      <x:c r="Q147" s="9"/>
      <x:c r="R147" s="12" t="str">
        <x:f>IF(A147="","",IF(C147="","OTP manquant",IF(COUNTIFS($A$6:$A$505,A147,$C$6:$C$505,C147)&gt;1,"Doublon OTP","")))</x:f>
      </x:c>
    </x:row>
    <x:row r="148" ht="23" customHeight="1">
      <x:c r="A148" s="9"/>
      <x:c r="B148" s="9"/>
      <x:c r="C148" s="9"/>
      <x:c r="D148" s="9"/>
      <x:c r="E148" s="9"/>
      <x:c r="F148" s="11"/>
      <x:c r="G148" s="9"/>
      <x:c r="H148" s="9"/>
      <x:c r="I148" s="9"/>
      <x:c r="J148" s="9"/>
      <x:c r="K148" s="9"/>
      <x:c r="L148" s="9"/>
      <x:c r="M148" s="9"/>
      <x:c r="N148" s="12" t="str">
        <x:f>IF(A148="","",IF(ISNUMBER(F148),F148-'Tableau de bord'!$F$5,""))</x:f>
      </x:c>
      <x:c r="O148" s="12" t="str">
        <x:f>IF(A148="","",IF(ISNUMBER(F148),IF(N148&lt;0,"Expiré",IF(N148&lt;='Paramètres'!$E$6,"À renouveler","À jour")),"À compléter"))</x:f>
      </x:c>
      <x:c r="P148" s="12" t="str">
        <x:f>IF(A148="","",IF(AND(ISNUMBER(F148),F148&gt;'Tableau de bord'!$F$5,G148="Oui",H148="Oui",I148="Oui",J148="Oui",K148="Oui"),1,0))</x:f>
      </x:c>
      <x:c r="Q148" s="9"/>
      <x:c r="R148" s="12" t="str">
        <x:f>IF(A148="","",IF(C148="","OTP manquant",IF(COUNTIFS($A$6:$A$505,A148,$C$6:$C$505,C148)&gt;1,"Doublon OTP","")))</x:f>
      </x:c>
    </x:row>
    <x:row r="149" ht="23" customHeight="1">
      <x:c r="A149" s="9"/>
      <x:c r="B149" s="9"/>
      <x:c r="C149" s="9"/>
      <x:c r="D149" s="9"/>
      <x:c r="E149" s="9"/>
      <x:c r="F149" s="11"/>
      <x:c r="G149" s="9"/>
      <x:c r="H149" s="9"/>
      <x:c r="I149" s="9"/>
      <x:c r="J149" s="9"/>
      <x:c r="K149" s="9"/>
      <x:c r="L149" s="9"/>
      <x:c r="M149" s="9"/>
      <x:c r="N149" s="12" t="str">
        <x:f>IF(A149="","",IF(ISNUMBER(F149),F149-'Tableau de bord'!$F$5,""))</x:f>
      </x:c>
      <x:c r="O149" s="12" t="str">
        <x:f>IF(A149="","",IF(ISNUMBER(F149),IF(N149&lt;0,"Expiré",IF(N149&lt;='Paramètres'!$E$6,"À renouveler","À jour")),"À compléter"))</x:f>
      </x:c>
      <x:c r="P149" s="12" t="str">
        <x:f>IF(A149="","",IF(AND(ISNUMBER(F149),F149&gt;'Tableau de bord'!$F$5,G149="Oui",H149="Oui",I149="Oui",J149="Oui",K149="Oui"),1,0))</x:f>
      </x:c>
      <x:c r="Q149" s="9"/>
      <x:c r="R149" s="12" t="str">
        <x:f>IF(A149="","",IF(C149="","OTP manquant",IF(COUNTIFS($A$6:$A$505,A149,$C$6:$C$505,C149)&gt;1,"Doublon OTP","")))</x:f>
      </x:c>
    </x:row>
    <x:row r="150" ht="23" customHeight="1">
      <x:c r="A150" s="9"/>
      <x:c r="B150" s="9"/>
      <x:c r="C150" s="9"/>
      <x:c r="D150" s="9"/>
      <x:c r="E150" s="9"/>
      <x:c r="F150" s="11"/>
      <x:c r="G150" s="9"/>
      <x:c r="H150" s="9"/>
      <x:c r="I150" s="9"/>
      <x:c r="J150" s="9"/>
      <x:c r="K150" s="9"/>
      <x:c r="L150" s="9"/>
      <x:c r="M150" s="9"/>
      <x:c r="N150" s="12" t="str">
        <x:f>IF(A150="","",IF(ISNUMBER(F150),F150-'Tableau de bord'!$F$5,""))</x:f>
      </x:c>
      <x:c r="O150" s="12" t="str">
        <x:f>IF(A150="","",IF(ISNUMBER(F150),IF(N150&lt;0,"Expiré",IF(N150&lt;='Paramètres'!$E$6,"À renouveler","À jour")),"À compléter"))</x:f>
      </x:c>
      <x:c r="P150" s="12" t="str">
        <x:f>IF(A150="","",IF(AND(ISNUMBER(F150),F150&gt;'Tableau de bord'!$F$5,G150="Oui",H150="Oui",I150="Oui",J150="Oui",K150="Oui"),1,0))</x:f>
      </x:c>
      <x:c r="Q150" s="9"/>
      <x:c r="R150" s="12" t="str">
        <x:f>IF(A150="","",IF(C150="","OTP manquant",IF(COUNTIFS($A$6:$A$505,A150,$C$6:$C$505,C150)&gt;1,"Doublon OTP","")))</x:f>
      </x:c>
    </x:row>
    <x:row r="151" ht="23" customHeight="1">
      <x:c r="A151" s="9"/>
      <x:c r="B151" s="9"/>
      <x:c r="C151" s="9"/>
      <x:c r="D151" s="9"/>
      <x:c r="E151" s="9"/>
      <x:c r="F151" s="11"/>
      <x:c r="G151" s="9"/>
      <x:c r="H151" s="9"/>
      <x:c r="I151" s="9"/>
      <x:c r="J151" s="9"/>
      <x:c r="K151" s="9"/>
      <x:c r="L151" s="9"/>
      <x:c r="M151" s="9"/>
      <x:c r="N151" s="12" t="str">
        <x:f>IF(A151="","",IF(ISNUMBER(F151),F151-'Tableau de bord'!$F$5,""))</x:f>
      </x:c>
      <x:c r="O151" s="12" t="str">
        <x:f>IF(A151="","",IF(ISNUMBER(F151),IF(N151&lt;0,"Expiré",IF(N151&lt;='Paramètres'!$E$6,"À renouveler","À jour")),"À compléter"))</x:f>
      </x:c>
      <x:c r="P151" s="12" t="str">
        <x:f>IF(A151="","",IF(AND(ISNUMBER(F151),F151&gt;'Tableau de bord'!$F$5,G151="Oui",H151="Oui",I151="Oui",J151="Oui",K151="Oui"),1,0))</x:f>
      </x:c>
      <x:c r="Q151" s="9"/>
      <x:c r="R151" s="12" t="str">
        <x:f>IF(A151="","",IF(C151="","OTP manquant",IF(COUNTIFS($A$6:$A$505,A151,$C$6:$C$505,C151)&gt;1,"Doublon OTP","")))</x:f>
      </x:c>
    </x:row>
    <x:row r="152" ht="23" customHeight="1">
      <x:c r="A152" s="9"/>
      <x:c r="B152" s="9"/>
      <x:c r="C152" s="9"/>
      <x:c r="D152" s="9"/>
      <x:c r="E152" s="9"/>
      <x:c r="F152" s="11"/>
      <x:c r="G152" s="9"/>
      <x:c r="H152" s="9"/>
      <x:c r="I152" s="9"/>
      <x:c r="J152" s="9"/>
      <x:c r="K152" s="9"/>
      <x:c r="L152" s="9"/>
      <x:c r="M152" s="9"/>
      <x:c r="N152" s="12" t="str">
        <x:f>IF(A152="","",IF(ISNUMBER(F152),F152-'Tableau de bord'!$F$5,""))</x:f>
      </x:c>
      <x:c r="O152" s="12" t="str">
        <x:f>IF(A152="","",IF(ISNUMBER(F152),IF(N152&lt;0,"Expiré",IF(N152&lt;='Paramètres'!$E$6,"À renouveler","À jour")),"À compléter"))</x:f>
      </x:c>
      <x:c r="P152" s="12" t="str">
        <x:f>IF(A152="","",IF(AND(ISNUMBER(F152),F152&gt;'Tableau de bord'!$F$5,G152="Oui",H152="Oui",I152="Oui",J152="Oui",K152="Oui"),1,0))</x:f>
      </x:c>
      <x:c r="Q152" s="9"/>
      <x:c r="R152" s="12" t="str">
        <x:f>IF(A152="","",IF(C152="","OTP manquant",IF(COUNTIFS($A$6:$A$505,A152,$C$6:$C$505,C152)&gt;1,"Doublon OTP","")))</x:f>
      </x:c>
    </x:row>
    <x:row r="153" ht="23" customHeight="1">
      <x:c r="A153" s="9"/>
      <x:c r="B153" s="9"/>
      <x:c r="C153" s="9"/>
      <x:c r="D153" s="9"/>
      <x:c r="E153" s="9"/>
      <x:c r="F153" s="11"/>
      <x:c r="G153" s="9"/>
      <x:c r="H153" s="9"/>
      <x:c r="I153" s="9"/>
      <x:c r="J153" s="9"/>
      <x:c r="K153" s="9"/>
      <x:c r="L153" s="9"/>
      <x:c r="M153" s="9"/>
      <x:c r="N153" s="12" t="str">
        <x:f>IF(A153="","",IF(ISNUMBER(F153),F153-'Tableau de bord'!$F$5,""))</x:f>
      </x:c>
      <x:c r="O153" s="12" t="str">
        <x:f>IF(A153="","",IF(ISNUMBER(F153),IF(N153&lt;0,"Expiré",IF(N153&lt;='Paramètres'!$E$6,"À renouveler","À jour")),"À compléter"))</x:f>
      </x:c>
      <x:c r="P153" s="12" t="str">
        <x:f>IF(A153="","",IF(AND(ISNUMBER(F153),F153&gt;'Tableau de bord'!$F$5,G153="Oui",H153="Oui",I153="Oui",J153="Oui",K153="Oui"),1,0))</x:f>
      </x:c>
      <x:c r="Q153" s="9"/>
      <x:c r="R153" s="12" t="str">
        <x:f>IF(A153="","",IF(C153="","OTP manquant",IF(COUNTIFS($A$6:$A$505,A153,$C$6:$C$505,C153)&gt;1,"Doublon OTP","")))</x:f>
      </x:c>
    </x:row>
    <x:row r="154" ht="23" customHeight="1">
      <x:c r="A154" s="9"/>
      <x:c r="B154" s="9"/>
      <x:c r="C154" s="9"/>
      <x:c r="D154" s="9"/>
      <x:c r="E154" s="9"/>
      <x:c r="F154" s="11"/>
      <x:c r="G154" s="9"/>
      <x:c r="H154" s="9"/>
      <x:c r="I154" s="9"/>
      <x:c r="J154" s="9"/>
      <x:c r="K154" s="9"/>
      <x:c r="L154" s="9"/>
      <x:c r="M154" s="9"/>
      <x:c r="N154" s="12" t="str">
        <x:f>IF(A154="","",IF(ISNUMBER(F154),F154-'Tableau de bord'!$F$5,""))</x:f>
      </x:c>
      <x:c r="O154" s="12" t="str">
        <x:f>IF(A154="","",IF(ISNUMBER(F154),IF(N154&lt;0,"Expiré",IF(N154&lt;='Paramètres'!$E$6,"À renouveler","À jour")),"À compléter"))</x:f>
      </x:c>
      <x:c r="P154" s="12" t="str">
        <x:f>IF(A154="","",IF(AND(ISNUMBER(F154),F154&gt;'Tableau de bord'!$F$5,G154="Oui",H154="Oui",I154="Oui",J154="Oui",K154="Oui"),1,0))</x:f>
      </x:c>
      <x:c r="Q154" s="9"/>
      <x:c r="R154" s="12" t="str">
        <x:f>IF(A154="","",IF(C154="","OTP manquant",IF(COUNTIFS($A$6:$A$505,A154,$C$6:$C$505,C154)&gt;1,"Doublon OTP","")))</x:f>
      </x:c>
    </x:row>
    <x:row r="155" ht="23" customHeight="1">
      <x:c r="A155" s="9"/>
      <x:c r="B155" s="9"/>
      <x:c r="C155" s="9"/>
      <x:c r="D155" s="9"/>
      <x:c r="E155" s="9"/>
      <x:c r="F155" s="11"/>
      <x:c r="G155" s="9"/>
      <x:c r="H155" s="9"/>
      <x:c r="I155" s="9"/>
      <x:c r="J155" s="9"/>
      <x:c r="K155" s="9"/>
      <x:c r="L155" s="9"/>
      <x:c r="M155" s="9"/>
      <x:c r="N155" s="12" t="str">
        <x:f>IF(A155="","",IF(ISNUMBER(F155),F155-'Tableau de bord'!$F$5,""))</x:f>
      </x:c>
      <x:c r="O155" s="12" t="str">
        <x:f>IF(A155="","",IF(ISNUMBER(F155),IF(N155&lt;0,"Expiré",IF(N155&lt;='Paramètres'!$E$6,"À renouveler","À jour")),"À compléter"))</x:f>
      </x:c>
      <x:c r="P155" s="12" t="str">
        <x:f>IF(A155="","",IF(AND(ISNUMBER(F155),F155&gt;'Tableau de bord'!$F$5,G155="Oui",H155="Oui",I155="Oui",J155="Oui",K155="Oui"),1,0))</x:f>
      </x:c>
      <x:c r="Q155" s="9"/>
      <x:c r="R155" s="12" t="str">
        <x:f>IF(A155="","",IF(C155="","OTP manquant",IF(COUNTIFS($A$6:$A$505,A155,$C$6:$C$505,C155)&gt;1,"Doublon OTP","")))</x:f>
      </x:c>
    </x:row>
    <x:row r="156" ht="23" customHeight="1">
      <x:c r="A156" s="9"/>
      <x:c r="B156" s="9"/>
      <x:c r="C156" s="9"/>
      <x:c r="D156" s="9"/>
      <x:c r="E156" s="9"/>
      <x:c r="F156" s="11"/>
      <x:c r="G156" s="9"/>
      <x:c r="H156" s="9"/>
      <x:c r="I156" s="9"/>
      <x:c r="J156" s="9"/>
      <x:c r="K156" s="9"/>
      <x:c r="L156" s="9"/>
      <x:c r="M156" s="9"/>
      <x:c r="N156" s="12" t="str">
        <x:f>IF(A156="","",IF(ISNUMBER(F156),F156-'Tableau de bord'!$F$5,""))</x:f>
      </x:c>
      <x:c r="O156" s="12" t="str">
        <x:f>IF(A156="","",IF(ISNUMBER(F156),IF(N156&lt;0,"Expiré",IF(N156&lt;='Paramètres'!$E$6,"À renouveler","À jour")),"À compléter"))</x:f>
      </x:c>
      <x:c r="P156" s="12" t="str">
        <x:f>IF(A156="","",IF(AND(ISNUMBER(F156),F156&gt;'Tableau de bord'!$F$5,G156="Oui",H156="Oui",I156="Oui",J156="Oui",K156="Oui"),1,0))</x:f>
      </x:c>
      <x:c r="Q156" s="9"/>
      <x:c r="R156" s="12" t="str">
        <x:f>IF(A156="","",IF(C156="","OTP manquant",IF(COUNTIFS($A$6:$A$505,A156,$C$6:$C$505,C156)&gt;1,"Doublon OTP","")))</x:f>
      </x:c>
    </x:row>
    <x:row r="157" ht="23" customHeight="1">
      <x:c r="A157" s="9"/>
      <x:c r="B157" s="9"/>
      <x:c r="C157" s="9"/>
      <x:c r="D157" s="9"/>
      <x:c r="E157" s="9"/>
      <x:c r="F157" s="11"/>
      <x:c r="G157" s="9"/>
      <x:c r="H157" s="9"/>
      <x:c r="I157" s="9"/>
      <x:c r="J157" s="9"/>
      <x:c r="K157" s="9"/>
      <x:c r="L157" s="9"/>
      <x:c r="M157" s="9"/>
      <x:c r="N157" s="12" t="str">
        <x:f>IF(A157="","",IF(ISNUMBER(F157),F157-'Tableau de bord'!$F$5,""))</x:f>
      </x:c>
      <x:c r="O157" s="12" t="str">
        <x:f>IF(A157="","",IF(ISNUMBER(F157),IF(N157&lt;0,"Expiré",IF(N157&lt;='Paramètres'!$E$6,"À renouveler","À jour")),"À compléter"))</x:f>
      </x:c>
      <x:c r="P157" s="12" t="str">
        <x:f>IF(A157="","",IF(AND(ISNUMBER(F157),F157&gt;'Tableau de bord'!$F$5,G157="Oui",H157="Oui",I157="Oui",J157="Oui",K157="Oui"),1,0))</x:f>
      </x:c>
      <x:c r="Q157" s="9"/>
      <x:c r="R157" s="12" t="str">
        <x:f>IF(A157="","",IF(C157="","OTP manquant",IF(COUNTIFS($A$6:$A$505,A157,$C$6:$C$505,C157)&gt;1,"Doublon OTP","")))</x:f>
      </x:c>
    </x:row>
    <x:row r="158" ht="23" customHeight="1">
      <x:c r="A158" s="9"/>
      <x:c r="B158" s="9"/>
      <x:c r="C158" s="9"/>
      <x:c r="D158" s="9"/>
      <x:c r="E158" s="9"/>
      <x:c r="F158" s="11"/>
      <x:c r="G158" s="9"/>
      <x:c r="H158" s="9"/>
      <x:c r="I158" s="9"/>
      <x:c r="J158" s="9"/>
      <x:c r="K158" s="9"/>
      <x:c r="L158" s="9"/>
      <x:c r="M158" s="9"/>
      <x:c r="N158" s="12" t="str">
        <x:f>IF(A158="","",IF(ISNUMBER(F158),F158-'Tableau de bord'!$F$5,""))</x:f>
      </x:c>
      <x:c r="O158" s="12" t="str">
        <x:f>IF(A158="","",IF(ISNUMBER(F158),IF(N158&lt;0,"Expiré",IF(N158&lt;='Paramètres'!$E$6,"À renouveler","À jour")),"À compléter"))</x:f>
      </x:c>
      <x:c r="P158" s="12" t="str">
        <x:f>IF(A158="","",IF(AND(ISNUMBER(F158),F158&gt;'Tableau de bord'!$F$5,G158="Oui",H158="Oui",I158="Oui",J158="Oui",K158="Oui"),1,0))</x:f>
      </x:c>
      <x:c r="Q158" s="9"/>
      <x:c r="R158" s="12" t="str">
        <x:f>IF(A158="","",IF(C158="","OTP manquant",IF(COUNTIFS($A$6:$A$505,A158,$C$6:$C$505,C158)&gt;1,"Doublon OTP","")))</x:f>
      </x:c>
    </x:row>
    <x:row r="159" ht="23" customHeight="1">
      <x:c r="A159" s="9"/>
      <x:c r="B159" s="9"/>
      <x:c r="C159" s="9"/>
      <x:c r="D159" s="9"/>
      <x:c r="E159" s="9"/>
      <x:c r="F159" s="11"/>
      <x:c r="G159" s="9"/>
      <x:c r="H159" s="9"/>
      <x:c r="I159" s="9"/>
      <x:c r="J159" s="9"/>
      <x:c r="K159" s="9"/>
      <x:c r="L159" s="9"/>
      <x:c r="M159" s="9"/>
      <x:c r="N159" s="12" t="str">
        <x:f>IF(A159="","",IF(ISNUMBER(F159),F159-'Tableau de bord'!$F$5,""))</x:f>
      </x:c>
      <x:c r="O159" s="12" t="str">
        <x:f>IF(A159="","",IF(ISNUMBER(F159),IF(N159&lt;0,"Expiré",IF(N159&lt;='Paramètres'!$E$6,"À renouveler","À jour")),"À compléter"))</x:f>
      </x:c>
      <x:c r="P159" s="12" t="str">
        <x:f>IF(A159="","",IF(AND(ISNUMBER(F159),F159&gt;'Tableau de bord'!$F$5,G159="Oui",H159="Oui",I159="Oui",J159="Oui",K159="Oui"),1,0))</x:f>
      </x:c>
      <x:c r="Q159" s="9"/>
      <x:c r="R159" s="12" t="str">
        <x:f>IF(A159="","",IF(C159="","OTP manquant",IF(COUNTIFS($A$6:$A$505,A159,$C$6:$C$505,C159)&gt;1,"Doublon OTP","")))</x:f>
      </x:c>
    </x:row>
    <x:row r="160" ht="23" customHeight="1">
      <x:c r="A160" s="9"/>
      <x:c r="B160" s="9"/>
      <x:c r="C160" s="9"/>
      <x:c r="D160" s="9"/>
      <x:c r="E160" s="9"/>
      <x:c r="F160" s="11"/>
      <x:c r="G160" s="9"/>
      <x:c r="H160" s="9"/>
      <x:c r="I160" s="9"/>
      <x:c r="J160" s="9"/>
      <x:c r="K160" s="9"/>
      <x:c r="L160" s="9"/>
      <x:c r="M160" s="9"/>
      <x:c r="N160" s="12" t="str">
        <x:f>IF(A160="","",IF(ISNUMBER(F160),F160-'Tableau de bord'!$F$5,""))</x:f>
      </x:c>
      <x:c r="O160" s="12" t="str">
        <x:f>IF(A160="","",IF(ISNUMBER(F160),IF(N160&lt;0,"Expiré",IF(N160&lt;='Paramètres'!$E$6,"À renouveler","À jour")),"À compléter"))</x:f>
      </x:c>
      <x:c r="P160" s="12" t="str">
        <x:f>IF(A160="","",IF(AND(ISNUMBER(F160),F160&gt;'Tableau de bord'!$F$5,G160="Oui",H160="Oui",I160="Oui",J160="Oui",K160="Oui"),1,0))</x:f>
      </x:c>
      <x:c r="Q160" s="9"/>
      <x:c r="R160" s="12" t="str">
        <x:f>IF(A160="","",IF(C160="","OTP manquant",IF(COUNTIFS($A$6:$A$505,A160,$C$6:$C$505,C160)&gt;1,"Doublon OTP","")))</x:f>
      </x:c>
    </x:row>
    <x:row r="161" ht="23" customHeight="1">
      <x:c r="A161" s="9"/>
      <x:c r="B161" s="9"/>
      <x:c r="C161" s="9"/>
      <x:c r="D161" s="9"/>
      <x:c r="E161" s="9"/>
      <x:c r="F161" s="11"/>
      <x:c r="G161" s="9"/>
      <x:c r="H161" s="9"/>
      <x:c r="I161" s="9"/>
      <x:c r="J161" s="9"/>
      <x:c r="K161" s="9"/>
      <x:c r="L161" s="9"/>
      <x:c r="M161" s="9"/>
      <x:c r="N161" s="12" t="str">
        <x:f>IF(A161="","",IF(ISNUMBER(F161),F161-'Tableau de bord'!$F$5,""))</x:f>
      </x:c>
      <x:c r="O161" s="12" t="str">
        <x:f>IF(A161="","",IF(ISNUMBER(F161),IF(N161&lt;0,"Expiré",IF(N161&lt;='Paramètres'!$E$6,"À renouveler","À jour")),"À compléter"))</x:f>
      </x:c>
      <x:c r="P161" s="12" t="str">
        <x:f>IF(A161="","",IF(AND(ISNUMBER(F161),F161&gt;'Tableau de bord'!$F$5,G161="Oui",H161="Oui",I161="Oui",J161="Oui",K161="Oui"),1,0))</x:f>
      </x:c>
      <x:c r="Q161" s="9"/>
      <x:c r="R161" s="12" t="str">
        <x:f>IF(A161="","",IF(C161="","OTP manquant",IF(COUNTIFS($A$6:$A$505,A161,$C$6:$C$505,C161)&gt;1,"Doublon OTP","")))</x:f>
      </x:c>
    </x:row>
    <x:row r="162" ht="23" customHeight="1">
      <x:c r="A162" s="9"/>
      <x:c r="B162" s="9"/>
      <x:c r="C162" s="9"/>
      <x:c r="D162" s="9"/>
      <x:c r="E162" s="9"/>
      <x:c r="F162" s="11"/>
      <x:c r="G162" s="9"/>
      <x:c r="H162" s="9"/>
      <x:c r="I162" s="9"/>
      <x:c r="J162" s="9"/>
      <x:c r="K162" s="9"/>
      <x:c r="L162" s="9"/>
      <x:c r="M162" s="9"/>
      <x:c r="N162" s="12" t="str">
        <x:f>IF(A162="","",IF(ISNUMBER(F162),F162-'Tableau de bord'!$F$5,""))</x:f>
      </x:c>
      <x:c r="O162" s="12" t="str">
        <x:f>IF(A162="","",IF(ISNUMBER(F162),IF(N162&lt;0,"Expiré",IF(N162&lt;='Paramètres'!$E$6,"À renouveler","À jour")),"À compléter"))</x:f>
      </x:c>
      <x:c r="P162" s="12" t="str">
        <x:f>IF(A162="","",IF(AND(ISNUMBER(F162),F162&gt;'Tableau de bord'!$F$5,G162="Oui",H162="Oui",I162="Oui",J162="Oui",K162="Oui"),1,0))</x:f>
      </x:c>
      <x:c r="Q162" s="9"/>
      <x:c r="R162" s="12" t="str">
        <x:f>IF(A162="","",IF(C162="","OTP manquant",IF(COUNTIFS($A$6:$A$505,A162,$C$6:$C$505,C162)&gt;1,"Doublon OTP","")))</x:f>
      </x:c>
    </x:row>
    <x:row r="163" ht="23" customHeight="1">
      <x:c r="A163" s="9"/>
      <x:c r="B163" s="9"/>
      <x:c r="C163" s="9"/>
      <x:c r="D163" s="9"/>
      <x:c r="E163" s="9"/>
      <x:c r="F163" s="11"/>
      <x:c r="G163" s="9"/>
      <x:c r="H163" s="9"/>
      <x:c r="I163" s="9"/>
      <x:c r="J163" s="9"/>
      <x:c r="K163" s="9"/>
      <x:c r="L163" s="9"/>
      <x:c r="M163" s="9"/>
      <x:c r="N163" s="12" t="str">
        <x:f>IF(A163="","",IF(ISNUMBER(F163),F163-'Tableau de bord'!$F$5,""))</x:f>
      </x:c>
      <x:c r="O163" s="12" t="str">
        <x:f>IF(A163="","",IF(ISNUMBER(F163),IF(N163&lt;0,"Expiré",IF(N163&lt;='Paramètres'!$E$6,"À renouveler","À jour")),"À compléter"))</x:f>
      </x:c>
      <x:c r="P163" s="12" t="str">
        <x:f>IF(A163="","",IF(AND(ISNUMBER(F163),F163&gt;'Tableau de bord'!$F$5,G163="Oui",H163="Oui",I163="Oui",J163="Oui",K163="Oui"),1,0))</x:f>
      </x:c>
      <x:c r="Q163" s="9"/>
      <x:c r="R163" s="12" t="str">
        <x:f>IF(A163="","",IF(C163="","OTP manquant",IF(COUNTIFS($A$6:$A$505,A163,$C$6:$C$505,C163)&gt;1,"Doublon OTP","")))</x:f>
      </x:c>
    </x:row>
    <x:row r="164" ht="23" customHeight="1">
      <x:c r="A164" s="9"/>
      <x:c r="B164" s="9"/>
      <x:c r="C164" s="9"/>
      <x:c r="D164" s="9"/>
      <x:c r="E164" s="9"/>
      <x:c r="F164" s="11"/>
      <x:c r="G164" s="9"/>
      <x:c r="H164" s="9"/>
      <x:c r="I164" s="9"/>
      <x:c r="J164" s="9"/>
      <x:c r="K164" s="9"/>
      <x:c r="L164" s="9"/>
      <x:c r="M164" s="9"/>
      <x:c r="N164" s="12" t="str">
        <x:f>IF(A164="","",IF(ISNUMBER(F164),F164-'Tableau de bord'!$F$5,""))</x:f>
      </x:c>
      <x:c r="O164" s="12" t="str">
        <x:f>IF(A164="","",IF(ISNUMBER(F164),IF(N164&lt;0,"Expiré",IF(N164&lt;='Paramètres'!$E$6,"À renouveler","À jour")),"À compléter"))</x:f>
      </x:c>
      <x:c r="P164" s="12" t="str">
        <x:f>IF(A164="","",IF(AND(ISNUMBER(F164),F164&gt;'Tableau de bord'!$F$5,G164="Oui",H164="Oui",I164="Oui",J164="Oui",K164="Oui"),1,0))</x:f>
      </x:c>
      <x:c r="Q164" s="9"/>
      <x:c r="R164" s="12" t="str">
        <x:f>IF(A164="","",IF(C164="","OTP manquant",IF(COUNTIFS($A$6:$A$505,A164,$C$6:$C$505,C164)&gt;1,"Doublon OTP","")))</x:f>
      </x:c>
    </x:row>
    <x:row r="165" ht="23" customHeight="1">
      <x:c r="A165" s="9"/>
      <x:c r="B165" s="9"/>
      <x:c r="C165" s="9"/>
      <x:c r="D165" s="9"/>
      <x:c r="E165" s="9"/>
      <x:c r="F165" s="11"/>
      <x:c r="G165" s="9"/>
      <x:c r="H165" s="9"/>
      <x:c r="I165" s="9"/>
      <x:c r="J165" s="9"/>
      <x:c r="K165" s="9"/>
      <x:c r="L165" s="9"/>
      <x:c r="M165" s="9"/>
      <x:c r="N165" s="12" t="str">
        <x:f>IF(A165="","",IF(ISNUMBER(F165),F165-'Tableau de bord'!$F$5,""))</x:f>
      </x:c>
      <x:c r="O165" s="12" t="str">
        <x:f>IF(A165="","",IF(ISNUMBER(F165),IF(N165&lt;0,"Expiré",IF(N165&lt;='Paramètres'!$E$6,"À renouveler","À jour")),"À compléter"))</x:f>
      </x:c>
      <x:c r="P165" s="12" t="str">
        <x:f>IF(A165="","",IF(AND(ISNUMBER(F165),F165&gt;'Tableau de bord'!$F$5,G165="Oui",H165="Oui",I165="Oui",J165="Oui",K165="Oui"),1,0))</x:f>
      </x:c>
      <x:c r="Q165" s="9"/>
      <x:c r="R165" s="12" t="str">
        <x:f>IF(A165="","",IF(C165="","OTP manquant",IF(COUNTIFS($A$6:$A$505,A165,$C$6:$C$505,C165)&gt;1,"Doublon OTP","")))</x:f>
      </x:c>
    </x:row>
    <x:row r="166" ht="23" customHeight="1">
      <x:c r="A166" s="9"/>
      <x:c r="B166" s="9"/>
      <x:c r="C166" s="9"/>
      <x:c r="D166" s="9"/>
      <x:c r="E166" s="9"/>
      <x:c r="F166" s="11"/>
      <x:c r="G166" s="9"/>
      <x:c r="H166" s="9"/>
      <x:c r="I166" s="9"/>
      <x:c r="J166" s="9"/>
      <x:c r="K166" s="9"/>
      <x:c r="L166" s="9"/>
      <x:c r="M166" s="9"/>
      <x:c r="N166" s="12" t="str">
        <x:f>IF(A166="","",IF(ISNUMBER(F166),F166-'Tableau de bord'!$F$5,""))</x:f>
      </x:c>
      <x:c r="O166" s="12" t="str">
        <x:f>IF(A166="","",IF(ISNUMBER(F166),IF(N166&lt;0,"Expiré",IF(N166&lt;='Paramètres'!$E$6,"À renouveler","À jour")),"À compléter"))</x:f>
      </x:c>
      <x:c r="P166" s="12" t="str">
        <x:f>IF(A166="","",IF(AND(ISNUMBER(F166),F166&gt;'Tableau de bord'!$F$5,G166="Oui",H166="Oui",I166="Oui",J166="Oui",K166="Oui"),1,0))</x:f>
      </x:c>
      <x:c r="Q166" s="9"/>
      <x:c r="R166" s="12" t="str">
        <x:f>IF(A166="","",IF(C166="","OTP manquant",IF(COUNTIFS($A$6:$A$505,A166,$C$6:$C$505,C166)&gt;1,"Doublon OTP","")))</x:f>
      </x:c>
    </x:row>
    <x:row r="167" ht="23" customHeight="1">
      <x:c r="A167" s="9"/>
      <x:c r="B167" s="9"/>
      <x:c r="C167" s="9"/>
      <x:c r="D167" s="9"/>
      <x:c r="E167" s="9"/>
      <x:c r="F167" s="11"/>
      <x:c r="G167" s="9"/>
      <x:c r="H167" s="9"/>
      <x:c r="I167" s="9"/>
      <x:c r="J167" s="9"/>
      <x:c r="K167" s="9"/>
      <x:c r="L167" s="9"/>
      <x:c r="M167" s="9"/>
      <x:c r="N167" s="12" t="str">
        <x:f>IF(A167="","",IF(ISNUMBER(F167),F167-'Tableau de bord'!$F$5,""))</x:f>
      </x:c>
      <x:c r="O167" s="12" t="str">
        <x:f>IF(A167="","",IF(ISNUMBER(F167),IF(N167&lt;0,"Expiré",IF(N167&lt;='Paramètres'!$E$6,"À renouveler","À jour")),"À compléter"))</x:f>
      </x:c>
      <x:c r="P167" s="12" t="str">
        <x:f>IF(A167="","",IF(AND(ISNUMBER(F167),F167&gt;'Tableau de bord'!$F$5,G167="Oui",H167="Oui",I167="Oui",J167="Oui",K167="Oui"),1,0))</x:f>
      </x:c>
      <x:c r="Q167" s="9"/>
      <x:c r="R167" s="12" t="str">
        <x:f>IF(A167="","",IF(C167="","OTP manquant",IF(COUNTIFS($A$6:$A$505,A167,$C$6:$C$505,C167)&gt;1,"Doublon OTP","")))</x:f>
      </x:c>
    </x:row>
    <x:row r="168" ht="23" customHeight="1">
      <x:c r="A168" s="9"/>
      <x:c r="B168" s="9"/>
      <x:c r="C168" s="9"/>
      <x:c r="D168" s="9"/>
      <x:c r="E168" s="9"/>
      <x:c r="F168" s="11"/>
      <x:c r="G168" s="9"/>
      <x:c r="H168" s="9"/>
      <x:c r="I168" s="9"/>
      <x:c r="J168" s="9"/>
      <x:c r="K168" s="9"/>
      <x:c r="L168" s="9"/>
      <x:c r="M168" s="9"/>
      <x:c r="N168" s="12" t="str">
        <x:f>IF(A168="","",IF(ISNUMBER(F168),F168-'Tableau de bord'!$F$5,""))</x:f>
      </x:c>
      <x:c r="O168" s="12" t="str">
        <x:f>IF(A168="","",IF(ISNUMBER(F168),IF(N168&lt;0,"Expiré",IF(N168&lt;='Paramètres'!$E$6,"À renouveler","À jour")),"À compléter"))</x:f>
      </x:c>
      <x:c r="P168" s="12" t="str">
        <x:f>IF(A168="","",IF(AND(ISNUMBER(F168),F168&gt;'Tableau de bord'!$F$5,G168="Oui",H168="Oui",I168="Oui",J168="Oui",K168="Oui"),1,0))</x:f>
      </x:c>
      <x:c r="Q168" s="9"/>
      <x:c r="R168" s="12" t="str">
        <x:f>IF(A168="","",IF(C168="","OTP manquant",IF(COUNTIFS($A$6:$A$505,A168,$C$6:$C$505,C168)&gt;1,"Doublon OTP","")))</x:f>
      </x:c>
    </x:row>
    <x:row r="169" ht="23" customHeight="1">
      <x:c r="A169" s="9"/>
      <x:c r="B169" s="9"/>
      <x:c r="C169" s="9"/>
      <x:c r="D169" s="9"/>
      <x:c r="E169" s="9"/>
      <x:c r="F169" s="11"/>
      <x:c r="G169" s="9"/>
      <x:c r="H169" s="9"/>
      <x:c r="I169" s="9"/>
      <x:c r="J169" s="9"/>
      <x:c r="K169" s="9"/>
      <x:c r="L169" s="9"/>
      <x:c r="M169" s="9"/>
      <x:c r="N169" s="12" t="str">
        <x:f>IF(A169="","",IF(ISNUMBER(F169),F169-'Tableau de bord'!$F$5,""))</x:f>
      </x:c>
      <x:c r="O169" s="12" t="str">
        <x:f>IF(A169="","",IF(ISNUMBER(F169),IF(N169&lt;0,"Expiré",IF(N169&lt;='Paramètres'!$E$6,"À renouveler","À jour")),"À compléter"))</x:f>
      </x:c>
      <x:c r="P169" s="12" t="str">
        <x:f>IF(A169="","",IF(AND(ISNUMBER(F169),F169&gt;'Tableau de bord'!$F$5,G169="Oui",H169="Oui",I169="Oui",J169="Oui",K169="Oui"),1,0))</x:f>
      </x:c>
      <x:c r="Q169" s="9"/>
      <x:c r="R169" s="12" t="str">
        <x:f>IF(A169="","",IF(C169="","OTP manquant",IF(COUNTIFS($A$6:$A$505,A169,$C$6:$C$505,C169)&gt;1,"Doublon OTP","")))</x:f>
      </x:c>
    </x:row>
    <x:row r="170" ht="23" customHeight="1">
      <x:c r="A170" s="9"/>
      <x:c r="B170" s="9"/>
      <x:c r="C170" s="9"/>
      <x:c r="D170" s="9"/>
      <x:c r="E170" s="9"/>
      <x:c r="F170" s="11"/>
      <x:c r="G170" s="9"/>
      <x:c r="H170" s="9"/>
      <x:c r="I170" s="9"/>
      <x:c r="J170" s="9"/>
      <x:c r="K170" s="9"/>
      <x:c r="L170" s="9"/>
      <x:c r="M170" s="9"/>
      <x:c r="N170" s="12" t="str">
        <x:f>IF(A170="","",IF(ISNUMBER(F170),F170-'Tableau de bord'!$F$5,""))</x:f>
      </x:c>
      <x:c r="O170" s="12" t="str">
        <x:f>IF(A170="","",IF(ISNUMBER(F170),IF(N170&lt;0,"Expiré",IF(N170&lt;='Paramètres'!$E$6,"À renouveler","À jour")),"À compléter"))</x:f>
      </x:c>
      <x:c r="P170" s="12" t="str">
        <x:f>IF(A170="","",IF(AND(ISNUMBER(F170),F170&gt;'Tableau de bord'!$F$5,G170="Oui",H170="Oui",I170="Oui",J170="Oui",K170="Oui"),1,0))</x:f>
      </x:c>
      <x:c r="Q170" s="9"/>
      <x:c r="R170" s="12" t="str">
        <x:f>IF(A170="","",IF(C170="","OTP manquant",IF(COUNTIFS($A$6:$A$505,A170,$C$6:$C$505,C170)&gt;1,"Doublon OTP","")))</x:f>
      </x:c>
    </x:row>
    <x:row r="171" ht="23" customHeight="1">
      <x:c r="A171" s="9"/>
      <x:c r="B171" s="9"/>
      <x:c r="C171" s="9"/>
      <x:c r="D171" s="9"/>
      <x:c r="E171" s="9"/>
      <x:c r="F171" s="11"/>
      <x:c r="G171" s="9"/>
      <x:c r="H171" s="9"/>
      <x:c r="I171" s="9"/>
      <x:c r="J171" s="9"/>
      <x:c r="K171" s="9"/>
      <x:c r="L171" s="9"/>
      <x:c r="M171" s="9"/>
      <x:c r="N171" s="12" t="str">
        <x:f>IF(A171="","",IF(ISNUMBER(F171),F171-'Tableau de bord'!$F$5,""))</x:f>
      </x:c>
      <x:c r="O171" s="12" t="str">
        <x:f>IF(A171="","",IF(ISNUMBER(F171),IF(N171&lt;0,"Expiré",IF(N171&lt;='Paramètres'!$E$6,"À renouveler","À jour")),"À compléter"))</x:f>
      </x:c>
      <x:c r="P171" s="12" t="str">
        <x:f>IF(A171="","",IF(AND(ISNUMBER(F171),F171&gt;'Tableau de bord'!$F$5,G171="Oui",H171="Oui",I171="Oui",J171="Oui",K171="Oui"),1,0))</x:f>
      </x:c>
      <x:c r="Q171" s="9"/>
      <x:c r="R171" s="12" t="str">
        <x:f>IF(A171="","",IF(C171="","OTP manquant",IF(COUNTIFS($A$6:$A$505,A171,$C$6:$C$505,C171)&gt;1,"Doublon OTP","")))</x:f>
      </x:c>
    </x:row>
    <x:row r="172" ht="23" customHeight="1">
      <x:c r="A172" s="9"/>
      <x:c r="B172" s="9"/>
      <x:c r="C172" s="9"/>
      <x:c r="D172" s="9"/>
      <x:c r="E172" s="9"/>
      <x:c r="F172" s="11"/>
      <x:c r="G172" s="9"/>
      <x:c r="H172" s="9"/>
      <x:c r="I172" s="9"/>
      <x:c r="J172" s="9"/>
      <x:c r="K172" s="9"/>
      <x:c r="L172" s="9"/>
      <x:c r="M172" s="9"/>
      <x:c r="N172" s="12" t="str">
        <x:f>IF(A172="","",IF(ISNUMBER(F172),F172-'Tableau de bord'!$F$5,""))</x:f>
      </x:c>
      <x:c r="O172" s="12" t="str">
        <x:f>IF(A172="","",IF(ISNUMBER(F172),IF(N172&lt;0,"Expiré",IF(N172&lt;='Paramètres'!$E$6,"À renouveler","À jour")),"À compléter"))</x:f>
      </x:c>
      <x:c r="P172" s="12" t="str">
        <x:f>IF(A172="","",IF(AND(ISNUMBER(F172),F172&gt;'Tableau de bord'!$F$5,G172="Oui",H172="Oui",I172="Oui",J172="Oui",K172="Oui"),1,0))</x:f>
      </x:c>
      <x:c r="Q172" s="9"/>
      <x:c r="R172" s="12" t="str">
        <x:f>IF(A172="","",IF(C172="","OTP manquant",IF(COUNTIFS($A$6:$A$505,A172,$C$6:$C$505,C172)&gt;1,"Doublon OTP","")))</x:f>
      </x:c>
    </x:row>
    <x:row r="173" ht="23" customHeight="1">
      <x:c r="A173" s="9"/>
      <x:c r="B173" s="9"/>
      <x:c r="C173" s="9"/>
      <x:c r="D173" s="9"/>
      <x:c r="E173" s="9"/>
      <x:c r="F173" s="11"/>
      <x:c r="G173" s="9"/>
      <x:c r="H173" s="9"/>
      <x:c r="I173" s="9"/>
      <x:c r="J173" s="9"/>
      <x:c r="K173" s="9"/>
      <x:c r="L173" s="9"/>
      <x:c r="M173" s="9"/>
      <x:c r="N173" s="12" t="str">
        <x:f>IF(A173="","",IF(ISNUMBER(F173),F173-'Tableau de bord'!$F$5,""))</x:f>
      </x:c>
      <x:c r="O173" s="12" t="str">
        <x:f>IF(A173="","",IF(ISNUMBER(F173),IF(N173&lt;0,"Expiré",IF(N173&lt;='Paramètres'!$E$6,"À renouveler","À jour")),"À compléter"))</x:f>
      </x:c>
      <x:c r="P173" s="12" t="str">
        <x:f>IF(A173="","",IF(AND(ISNUMBER(F173),F173&gt;'Tableau de bord'!$F$5,G173="Oui",H173="Oui",I173="Oui",J173="Oui",K173="Oui"),1,0))</x:f>
      </x:c>
      <x:c r="Q173" s="9"/>
      <x:c r="R173" s="12" t="str">
        <x:f>IF(A173="","",IF(C173="","OTP manquant",IF(COUNTIFS($A$6:$A$505,A173,$C$6:$C$505,C173)&gt;1,"Doublon OTP","")))</x:f>
      </x:c>
    </x:row>
    <x:row r="174" ht="23" customHeight="1">
      <x:c r="A174" s="9"/>
      <x:c r="B174" s="9"/>
      <x:c r="C174" s="9"/>
      <x:c r="D174" s="9"/>
      <x:c r="E174" s="9"/>
      <x:c r="F174" s="11"/>
      <x:c r="G174" s="9"/>
      <x:c r="H174" s="9"/>
      <x:c r="I174" s="9"/>
      <x:c r="J174" s="9"/>
      <x:c r="K174" s="9"/>
      <x:c r="L174" s="9"/>
      <x:c r="M174" s="9"/>
      <x:c r="N174" s="12" t="str">
        <x:f>IF(A174="","",IF(ISNUMBER(F174),F174-'Tableau de bord'!$F$5,""))</x:f>
      </x:c>
      <x:c r="O174" s="12" t="str">
        <x:f>IF(A174="","",IF(ISNUMBER(F174),IF(N174&lt;0,"Expiré",IF(N174&lt;='Paramètres'!$E$6,"À renouveler","À jour")),"À compléter"))</x:f>
      </x:c>
      <x:c r="P174" s="12" t="str">
        <x:f>IF(A174="","",IF(AND(ISNUMBER(F174),F174&gt;'Tableau de bord'!$F$5,G174="Oui",H174="Oui",I174="Oui",J174="Oui",K174="Oui"),1,0))</x:f>
      </x:c>
      <x:c r="Q174" s="9"/>
      <x:c r="R174" s="12" t="str">
        <x:f>IF(A174="","",IF(C174="","OTP manquant",IF(COUNTIFS($A$6:$A$505,A174,$C$6:$C$505,C174)&gt;1,"Doublon OTP","")))</x:f>
      </x:c>
    </x:row>
    <x:row r="175" ht="23" customHeight="1">
      <x:c r="A175" s="9"/>
      <x:c r="B175" s="9"/>
      <x:c r="C175" s="9"/>
      <x:c r="D175" s="9"/>
      <x:c r="E175" s="9"/>
      <x:c r="F175" s="11"/>
      <x:c r="G175" s="9"/>
      <x:c r="H175" s="9"/>
      <x:c r="I175" s="9"/>
      <x:c r="J175" s="9"/>
      <x:c r="K175" s="9"/>
      <x:c r="L175" s="9"/>
      <x:c r="M175" s="9"/>
      <x:c r="N175" s="12" t="str">
        <x:f>IF(A175="","",IF(ISNUMBER(F175),F175-'Tableau de bord'!$F$5,""))</x:f>
      </x:c>
      <x:c r="O175" s="12" t="str">
        <x:f>IF(A175="","",IF(ISNUMBER(F175),IF(N175&lt;0,"Expiré",IF(N175&lt;='Paramètres'!$E$6,"À renouveler","À jour")),"À compléter"))</x:f>
      </x:c>
      <x:c r="P175" s="12" t="str">
        <x:f>IF(A175="","",IF(AND(ISNUMBER(F175),F175&gt;'Tableau de bord'!$F$5,G175="Oui",H175="Oui",I175="Oui",J175="Oui",K175="Oui"),1,0))</x:f>
      </x:c>
      <x:c r="Q175" s="9"/>
      <x:c r="R175" s="12" t="str">
        <x:f>IF(A175="","",IF(C175="","OTP manquant",IF(COUNTIFS($A$6:$A$505,A175,$C$6:$C$505,C175)&gt;1,"Doublon OTP","")))</x:f>
      </x:c>
    </x:row>
    <x:row r="176" ht="23" customHeight="1">
      <x:c r="A176" s="9"/>
      <x:c r="B176" s="9"/>
      <x:c r="C176" s="9"/>
      <x:c r="D176" s="9"/>
      <x:c r="E176" s="9"/>
      <x:c r="F176" s="11"/>
      <x:c r="G176" s="9"/>
      <x:c r="H176" s="9"/>
      <x:c r="I176" s="9"/>
      <x:c r="J176" s="9"/>
      <x:c r="K176" s="9"/>
      <x:c r="L176" s="9"/>
      <x:c r="M176" s="9"/>
      <x:c r="N176" s="12" t="str">
        <x:f>IF(A176="","",IF(ISNUMBER(F176),F176-'Tableau de bord'!$F$5,""))</x:f>
      </x:c>
      <x:c r="O176" s="12" t="str">
        <x:f>IF(A176="","",IF(ISNUMBER(F176),IF(N176&lt;0,"Expiré",IF(N176&lt;='Paramètres'!$E$6,"À renouveler","À jour")),"À compléter"))</x:f>
      </x:c>
      <x:c r="P176" s="12" t="str">
        <x:f>IF(A176="","",IF(AND(ISNUMBER(F176),F176&gt;'Tableau de bord'!$F$5,G176="Oui",H176="Oui",I176="Oui",J176="Oui",K176="Oui"),1,0))</x:f>
      </x:c>
      <x:c r="Q176" s="9"/>
      <x:c r="R176" s="12" t="str">
        <x:f>IF(A176="","",IF(C176="","OTP manquant",IF(COUNTIFS($A$6:$A$505,A176,$C$6:$C$505,C176)&gt;1,"Doublon OTP","")))</x:f>
      </x:c>
    </x:row>
    <x:row r="177" ht="23" customHeight="1">
      <x:c r="A177" s="9"/>
      <x:c r="B177" s="9"/>
      <x:c r="C177" s="9"/>
      <x:c r="D177" s="9"/>
      <x:c r="E177" s="9"/>
      <x:c r="F177" s="11"/>
      <x:c r="G177" s="9"/>
      <x:c r="H177" s="9"/>
      <x:c r="I177" s="9"/>
      <x:c r="J177" s="9"/>
      <x:c r="K177" s="9"/>
      <x:c r="L177" s="9"/>
      <x:c r="M177" s="9"/>
      <x:c r="N177" s="12" t="str">
        <x:f>IF(A177="","",IF(ISNUMBER(F177),F177-'Tableau de bord'!$F$5,""))</x:f>
      </x:c>
      <x:c r="O177" s="12" t="str">
        <x:f>IF(A177="","",IF(ISNUMBER(F177),IF(N177&lt;0,"Expiré",IF(N177&lt;='Paramètres'!$E$6,"À renouveler","À jour")),"À compléter"))</x:f>
      </x:c>
      <x:c r="P177" s="12" t="str">
        <x:f>IF(A177="","",IF(AND(ISNUMBER(F177),F177&gt;'Tableau de bord'!$F$5,G177="Oui",H177="Oui",I177="Oui",J177="Oui",K177="Oui"),1,0))</x:f>
      </x:c>
      <x:c r="Q177" s="9"/>
      <x:c r="R177" s="12" t="str">
        <x:f>IF(A177="","",IF(C177="","OTP manquant",IF(COUNTIFS($A$6:$A$505,A177,$C$6:$C$505,C177)&gt;1,"Doublon OTP","")))</x:f>
      </x:c>
    </x:row>
    <x:row r="178" ht="23" customHeight="1">
      <x:c r="A178" s="9"/>
      <x:c r="B178" s="9"/>
      <x:c r="C178" s="9"/>
      <x:c r="D178" s="9"/>
      <x:c r="E178" s="9"/>
      <x:c r="F178" s="11"/>
      <x:c r="G178" s="9"/>
      <x:c r="H178" s="9"/>
      <x:c r="I178" s="9"/>
      <x:c r="J178" s="9"/>
      <x:c r="K178" s="9"/>
      <x:c r="L178" s="9"/>
      <x:c r="M178" s="9"/>
      <x:c r="N178" s="12" t="str">
        <x:f>IF(A178="","",IF(ISNUMBER(F178),F178-'Tableau de bord'!$F$5,""))</x:f>
      </x:c>
      <x:c r="O178" s="12" t="str">
        <x:f>IF(A178="","",IF(ISNUMBER(F178),IF(N178&lt;0,"Expiré",IF(N178&lt;='Paramètres'!$E$6,"À renouveler","À jour")),"À compléter"))</x:f>
      </x:c>
      <x:c r="P178" s="12" t="str">
        <x:f>IF(A178="","",IF(AND(ISNUMBER(F178),F178&gt;'Tableau de bord'!$F$5,G178="Oui",H178="Oui",I178="Oui",J178="Oui",K178="Oui"),1,0))</x:f>
      </x:c>
      <x:c r="Q178" s="9"/>
      <x:c r="R178" s="12" t="str">
        <x:f>IF(A178="","",IF(C178="","OTP manquant",IF(COUNTIFS($A$6:$A$505,A178,$C$6:$C$505,C178)&gt;1,"Doublon OTP","")))</x:f>
      </x:c>
    </x:row>
    <x:row r="179" ht="23" customHeight="1">
      <x:c r="A179" s="9"/>
      <x:c r="B179" s="9"/>
      <x:c r="C179" s="9"/>
      <x:c r="D179" s="9"/>
      <x:c r="E179" s="9"/>
      <x:c r="F179" s="11"/>
      <x:c r="G179" s="9"/>
      <x:c r="H179" s="9"/>
      <x:c r="I179" s="9"/>
      <x:c r="J179" s="9"/>
      <x:c r="K179" s="9"/>
      <x:c r="L179" s="9"/>
      <x:c r="M179" s="9"/>
      <x:c r="N179" s="12" t="str">
        <x:f>IF(A179="","",IF(ISNUMBER(F179),F179-'Tableau de bord'!$F$5,""))</x:f>
      </x:c>
      <x:c r="O179" s="12" t="str">
        <x:f>IF(A179="","",IF(ISNUMBER(F179),IF(N179&lt;0,"Expiré",IF(N179&lt;='Paramètres'!$E$6,"À renouveler","À jour")),"À compléter"))</x:f>
      </x:c>
      <x:c r="P179" s="12" t="str">
        <x:f>IF(A179="","",IF(AND(ISNUMBER(F179),F179&gt;'Tableau de bord'!$F$5,G179="Oui",H179="Oui",I179="Oui",J179="Oui",K179="Oui"),1,0))</x:f>
      </x:c>
      <x:c r="Q179" s="9"/>
      <x:c r="R179" s="12" t="str">
        <x:f>IF(A179="","",IF(C179="","OTP manquant",IF(COUNTIFS($A$6:$A$505,A179,$C$6:$C$505,C179)&gt;1,"Doublon OTP","")))</x:f>
      </x:c>
    </x:row>
    <x:row r="180" ht="23" customHeight="1">
      <x:c r="A180" s="9"/>
      <x:c r="B180" s="9"/>
      <x:c r="C180" s="9"/>
      <x:c r="D180" s="9"/>
      <x:c r="E180" s="9"/>
      <x:c r="F180" s="11"/>
      <x:c r="G180" s="9"/>
      <x:c r="H180" s="9"/>
      <x:c r="I180" s="9"/>
      <x:c r="J180" s="9"/>
      <x:c r="K180" s="9"/>
      <x:c r="L180" s="9"/>
      <x:c r="M180" s="9"/>
      <x:c r="N180" s="12" t="str">
        <x:f>IF(A180="","",IF(ISNUMBER(F180),F180-'Tableau de bord'!$F$5,""))</x:f>
      </x:c>
      <x:c r="O180" s="12" t="str">
        <x:f>IF(A180="","",IF(ISNUMBER(F180),IF(N180&lt;0,"Expiré",IF(N180&lt;='Paramètres'!$E$6,"À renouveler","À jour")),"À compléter"))</x:f>
      </x:c>
      <x:c r="P180" s="12" t="str">
        <x:f>IF(A180="","",IF(AND(ISNUMBER(F180),F180&gt;'Tableau de bord'!$F$5,G180="Oui",H180="Oui",I180="Oui",J180="Oui",K180="Oui"),1,0))</x:f>
      </x:c>
      <x:c r="Q180" s="9"/>
      <x:c r="R180" s="12" t="str">
        <x:f>IF(A180="","",IF(C180="","OTP manquant",IF(COUNTIFS($A$6:$A$505,A180,$C$6:$C$505,C180)&gt;1,"Doublon OTP","")))</x:f>
      </x:c>
    </x:row>
    <x:row r="181" ht="23" customHeight="1">
      <x:c r="A181" s="9"/>
      <x:c r="B181" s="9"/>
      <x:c r="C181" s="9"/>
      <x:c r="D181" s="9"/>
      <x:c r="E181" s="9"/>
      <x:c r="F181" s="11"/>
      <x:c r="G181" s="9"/>
      <x:c r="H181" s="9"/>
      <x:c r="I181" s="9"/>
      <x:c r="J181" s="9"/>
      <x:c r="K181" s="9"/>
      <x:c r="L181" s="9"/>
      <x:c r="M181" s="9"/>
      <x:c r="N181" s="12" t="str">
        <x:f>IF(A181="","",IF(ISNUMBER(F181),F181-'Tableau de bord'!$F$5,""))</x:f>
      </x:c>
      <x:c r="O181" s="12" t="str">
        <x:f>IF(A181="","",IF(ISNUMBER(F181),IF(N181&lt;0,"Expiré",IF(N181&lt;='Paramètres'!$E$6,"À renouveler","À jour")),"À compléter"))</x:f>
      </x:c>
      <x:c r="P181" s="12" t="str">
        <x:f>IF(A181="","",IF(AND(ISNUMBER(F181),F181&gt;'Tableau de bord'!$F$5,G181="Oui",H181="Oui",I181="Oui",J181="Oui",K181="Oui"),1,0))</x:f>
      </x:c>
      <x:c r="Q181" s="9"/>
      <x:c r="R181" s="12" t="str">
        <x:f>IF(A181="","",IF(C181="","OTP manquant",IF(COUNTIFS($A$6:$A$505,A181,$C$6:$C$505,C181)&gt;1,"Doublon OTP","")))</x:f>
      </x:c>
    </x:row>
    <x:row r="182" ht="23" customHeight="1">
      <x:c r="A182" s="9"/>
      <x:c r="B182" s="9"/>
      <x:c r="C182" s="9"/>
      <x:c r="D182" s="9"/>
      <x:c r="E182" s="9"/>
      <x:c r="F182" s="11"/>
      <x:c r="G182" s="9"/>
      <x:c r="H182" s="9"/>
      <x:c r="I182" s="9"/>
      <x:c r="J182" s="9"/>
      <x:c r="K182" s="9"/>
      <x:c r="L182" s="9"/>
      <x:c r="M182" s="9"/>
      <x:c r="N182" s="12" t="str">
        <x:f>IF(A182="","",IF(ISNUMBER(F182),F182-'Tableau de bord'!$F$5,""))</x:f>
      </x:c>
      <x:c r="O182" s="12" t="str">
        <x:f>IF(A182="","",IF(ISNUMBER(F182),IF(N182&lt;0,"Expiré",IF(N182&lt;='Paramètres'!$E$6,"À renouveler","À jour")),"À compléter"))</x:f>
      </x:c>
      <x:c r="P182" s="12" t="str">
        <x:f>IF(A182="","",IF(AND(ISNUMBER(F182),F182&gt;'Tableau de bord'!$F$5,G182="Oui",H182="Oui",I182="Oui",J182="Oui",K182="Oui"),1,0))</x:f>
      </x:c>
      <x:c r="Q182" s="9"/>
      <x:c r="R182" s="12" t="str">
        <x:f>IF(A182="","",IF(C182="","OTP manquant",IF(COUNTIFS($A$6:$A$505,A182,$C$6:$C$505,C182)&gt;1,"Doublon OTP","")))</x:f>
      </x:c>
    </x:row>
    <x:row r="183" ht="23" customHeight="1">
      <x:c r="A183" s="9"/>
      <x:c r="B183" s="9"/>
      <x:c r="C183" s="9"/>
      <x:c r="D183" s="9"/>
      <x:c r="E183" s="9"/>
      <x:c r="F183" s="11"/>
      <x:c r="G183" s="9"/>
      <x:c r="H183" s="9"/>
      <x:c r="I183" s="9"/>
      <x:c r="J183" s="9"/>
      <x:c r="K183" s="9"/>
      <x:c r="L183" s="9"/>
      <x:c r="M183" s="9"/>
      <x:c r="N183" s="12" t="str">
        <x:f>IF(A183="","",IF(ISNUMBER(F183),F183-'Tableau de bord'!$F$5,""))</x:f>
      </x:c>
      <x:c r="O183" s="12" t="str">
        <x:f>IF(A183="","",IF(ISNUMBER(F183),IF(N183&lt;0,"Expiré",IF(N183&lt;='Paramètres'!$E$6,"À renouveler","À jour")),"À compléter"))</x:f>
      </x:c>
      <x:c r="P183" s="12" t="str">
        <x:f>IF(A183="","",IF(AND(ISNUMBER(F183),F183&gt;'Tableau de bord'!$F$5,G183="Oui",H183="Oui",I183="Oui",J183="Oui",K183="Oui"),1,0))</x:f>
      </x:c>
      <x:c r="Q183" s="9"/>
      <x:c r="R183" s="12" t="str">
        <x:f>IF(A183="","",IF(C183="","OTP manquant",IF(COUNTIFS($A$6:$A$505,A183,$C$6:$C$505,C183)&gt;1,"Doublon OTP","")))</x:f>
      </x:c>
    </x:row>
    <x:row r="184" ht="23" customHeight="1">
      <x:c r="A184" s="9"/>
      <x:c r="B184" s="9"/>
      <x:c r="C184" s="9"/>
      <x:c r="D184" s="9"/>
      <x:c r="E184" s="9"/>
      <x:c r="F184" s="11"/>
      <x:c r="G184" s="9"/>
      <x:c r="H184" s="9"/>
      <x:c r="I184" s="9"/>
      <x:c r="J184" s="9"/>
      <x:c r="K184" s="9"/>
      <x:c r="L184" s="9"/>
      <x:c r="M184" s="9"/>
      <x:c r="N184" s="12" t="str">
        <x:f>IF(A184="","",IF(ISNUMBER(F184),F184-'Tableau de bord'!$F$5,""))</x:f>
      </x:c>
      <x:c r="O184" s="12" t="str">
        <x:f>IF(A184="","",IF(ISNUMBER(F184),IF(N184&lt;0,"Expiré",IF(N184&lt;='Paramètres'!$E$6,"À renouveler","À jour")),"À compléter"))</x:f>
      </x:c>
      <x:c r="P184" s="12" t="str">
        <x:f>IF(A184="","",IF(AND(ISNUMBER(F184),F184&gt;'Tableau de bord'!$F$5,G184="Oui",H184="Oui",I184="Oui",J184="Oui",K184="Oui"),1,0))</x:f>
      </x:c>
      <x:c r="Q184" s="9"/>
      <x:c r="R184" s="12" t="str">
        <x:f>IF(A184="","",IF(C184="","OTP manquant",IF(COUNTIFS($A$6:$A$505,A184,$C$6:$C$505,C184)&gt;1,"Doublon OTP","")))</x:f>
      </x:c>
    </x:row>
    <x:row r="185" ht="23" customHeight="1">
      <x:c r="A185" s="9"/>
      <x:c r="B185" s="9"/>
      <x:c r="C185" s="9"/>
      <x:c r="D185" s="9"/>
      <x:c r="E185" s="9"/>
      <x:c r="F185" s="11"/>
      <x:c r="G185" s="9"/>
      <x:c r="H185" s="9"/>
      <x:c r="I185" s="9"/>
      <x:c r="J185" s="9"/>
      <x:c r="K185" s="9"/>
      <x:c r="L185" s="9"/>
      <x:c r="M185" s="9"/>
      <x:c r="N185" s="12" t="str">
        <x:f>IF(A185="","",IF(ISNUMBER(F185),F185-'Tableau de bord'!$F$5,""))</x:f>
      </x:c>
      <x:c r="O185" s="12" t="str">
        <x:f>IF(A185="","",IF(ISNUMBER(F185),IF(N185&lt;0,"Expiré",IF(N185&lt;='Paramètres'!$E$6,"À renouveler","À jour")),"À compléter"))</x:f>
      </x:c>
      <x:c r="P185" s="12" t="str">
        <x:f>IF(A185="","",IF(AND(ISNUMBER(F185),F185&gt;'Tableau de bord'!$F$5,G185="Oui",H185="Oui",I185="Oui",J185="Oui",K185="Oui"),1,0))</x:f>
      </x:c>
      <x:c r="Q185" s="9"/>
      <x:c r="R185" s="12" t="str">
        <x:f>IF(A185="","",IF(C185="","OTP manquant",IF(COUNTIFS($A$6:$A$505,A185,$C$6:$C$505,C185)&gt;1,"Doublon OTP","")))</x:f>
      </x:c>
    </x:row>
    <x:row r="186" ht="23" customHeight="1">
      <x:c r="A186" s="9"/>
      <x:c r="B186" s="9"/>
      <x:c r="C186" s="9"/>
      <x:c r="D186" s="9"/>
      <x:c r="E186" s="9"/>
      <x:c r="F186" s="11"/>
      <x:c r="G186" s="9"/>
      <x:c r="H186" s="9"/>
      <x:c r="I186" s="9"/>
      <x:c r="J186" s="9"/>
      <x:c r="K186" s="9"/>
      <x:c r="L186" s="9"/>
      <x:c r="M186" s="9"/>
      <x:c r="N186" s="12" t="str">
        <x:f>IF(A186="","",IF(ISNUMBER(F186),F186-'Tableau de bord'!$F$5,""))</x:f>
      </x:c>
      <x:c r="O186" s="12" t="str">
        <x:f>IF(A186="","",IF(ISNUMBER(F186),IF(N186&lt;0,"Expiré",IF(N186&lt;='Paramètres'!$E$6,"À renouveler","À jour")),"À compléter"))</x:f>
      </x:c>
      <x:c r="P186" s="12" t="str">
        <x:f>IF(A186="","",IF(AND(ISNUMBER(F186),F186&gt;'Tableau de bord'!$F$5,G186="Oui",H186="Oui",I186="Oui",J186="Oui",K186="Oui"),1,0))</x:f>
      </x:c>
      <x:c r="Q186" s="9"/>
      <x:c r="R186" s="12" t="str">
        <x:f>IF(A186="","",IF(C186="","OTP manquant",IF(COUNTIFS($A$6:$A$505,A186,$C$6:$C$505,C186)&gt;1,"Doublon OTP","")))</x:f>
      </x:c>
    </x:row>
    <x:row r="187" ht="23" customHeight="1">
      <x:c r="A187" s="9"/>
      <x:c r="B187" s="9"/>
      <x:c r="C187" s="9"/>
      <x:c r="D187" s="9"/>
      <x:c r="E187" s="9"/>
      <x:c r="F187" s="11"/>
      <x:c r="G187" s="9"/>
      <x:c r="H187" s="9"/>
      <x:c r="I187" s="9"/>
      <x:c r="J187" s="9"/>
      <x:c r="K187" s="9"/>
      <x:c r="L187" s="9"/>
      <x:c r="M187" s="9"/>
      <x:c r="N187" s="12" t="str">
        <x:f>IF(A187="","",IF(ISNUMBER(F187),F187-'Tableau de bord'!$F$5,""))</x:f>
      </x:c>
      <x:c r="O187" s="12" t="str">
        <x:f>IF(A187="","",IF(ISNUMBER(F187),IF(N187&lt;0,"Expiré",IF(N187&lt;='Paramètres'!$E$6,"À renouveler","À jour")),"À compléter"))</x:f>
      </x:c>
      <x:c r="P187" s="12" t="str">
        <x:f>IF(A187="","",IF(AND(ISNUMBER(F187),F187&gt;'Tableau de bord'!$F$5,G187="Oui",H187="Oui",I187="Oui",J187="Oui",K187="Oui"),1,0))</x:f>
      </x:c>
      <x:c r="Q187" s="9"/>
      <x:c r="R187" s="12" t="str">
        <x:f>IF(A187="","",IF(C187="","OTP manquant",IF(COUNTIFS($A$6:$A$505,A187,$C$6:$C$505,C187)&gt;1,"Doublon OTP","")))</x:f>
      </x:c>
    </x:row>
    <x:row r="188" ht="23" customHeight="1">
      <x:c r="A188" s="9"/>
      <x:c r="B188" s="9"/>
      <x:c r="C188" s="9"/>
      <x:c r="D188" s="9"/>
      <x:c r="E188" s="9"/>
      <x:c r="F188" s="11"/>
      <x:c r="G188" s="9"/>
      <x:c r="H188" s="9"/>
      <x:c r="I188" s="9"/>
      <x:c r="J188" s="9"/>
      <x:c r="K188" s="9"/>
      <x:c r="L188" s="9"/>
      <x:c r="M188" s="9"/>
      <x:c r="N188" s="12" t="str">
        <x:f>IF(A188="","",IF(ISNUMBER(F188),F188-'Tableau de bord'!$F$5,""))</x:f>
      </x:c>
      <x:c r="O188" s="12" t="str">
        <x:f>IF(A188="","",IF(ISNUMBER(F188),IF(N188&lt;0,"Expiré",IF(N188&lt;='Paramètres'!$E$6,"À renouveler","À jour")),"À compléter"))</x:f>
      </x:c>
      <x:c r="P188" s="12" t="str">
        <x:f>IF(A188="","",IF(AND(ISNUMBER(F188),F188&gt;'Tableau de bord'!$F$5,G188="Oui",H188="Oui",I188="Oui",J188="Oui",K188="Oui"),1,0))</x:f>
      </x:c>
      <x:c r="Q188" s="9"/>
      <x:c r="R188" s="12" t="str">
        <x:f>IF(A188="","",IF(C188="","OTP manquant",IF(COUNTIFS($A$6:$A$505,A188,$C$6:$C$505,C188)&gt;1,"Doublon OTP","")))</x:f>
      </x:c>
    </x:row>
    <x:row r="189" ht="23" customHeight="1">
      <x:c r="A189" s="9"/>
      <x:c r="B189" s="9"/>
      <x:c r="C189" s="9"/>
      <x:c r="D189" s="9"/>
      <x:c r="E189" s="9"/>
      <x:c r="F189" s="11"/>
      <x:c r="G189" s="9"/>
      <x:c r="H189" s="9"/>
      <x:c r="I189" s="9"/>
      <x:c r="J189" s="9"/>
      <x:c r="K189" s="9"/>
      <x:c r="L189" s="9"/>
      <x:c r="M189" s="9"/>
      <x:c r="N189" s="12" t="str">
        <x:f>IF(A189="","",IF(ISNUMBER(F189),F189-'Tableau de bord'!$F$5,""))</x:f>
      </x:c>
      <x:c r="O189" s="12" t="str">
        <x:f>IF(A189="","",IF(ISNUMBER(F189),IF(N189&lt;0,"Expiré",IF(N189&lt;='Paramètres'!$E$6,"À renouveler","À jour")),"À compléter"))</x:f>
      </x:c>
      <x:c r="P189" s="12" t="str">
        <x:f>IF(A189="","",IF(AND(ISNUMBER(F189),F189&gt;'Tableau de bord'!$F$5,G189="Oui",H189="Oui",I189="Oui",J189="Oui",K189="Oui"),1,0))</x:f>
      </x:c>
      <x:c r="Q189" s="9"/>
      <x:c r="R189" s="12" t="str">
        <x:f>IF(A189="","",IF(C189="","OTP manquant",IF(COUNTIFS($A$6:$A$505,A189,$C$6:$C$505,C189)&gt;1,"Doublon OTP","")))</x:f>
      </x:c>
    </x:row>
    <x:row r="190" ht="23" customHeight="1">
      <x:c r="A190" s="9"/>
      <x:c r="B190" s="9"/>
      <x:c r="C190" s="9"/>
      <x:c r="D190" s="9"/>
      <x:c r="E190" s="9"/>
      <x:c r="F190" s="11"/>
      <x:c r="G190" s="9"/>
      <x:c r="H190" s="9"/>
      <x:c r="I190" s="9"/>
      <x:c r="J190" s="9"/>
      <x:c r="K190" s="9"/>
      <x:c r="L190" s="9"/>
      <x:c r="M190" s="9"/>
      <x:c r="N190" s="12" t="str">
        <x:f>IF(A190="","",IF(ISNUMBER(F190),F190-'Tableau de bord'!$F$5,""))</x:f>
      </x:c>
      <x:c r="O190" s="12" t="str">
        <x:f>IF(A190="","",IF(ISNUMBER(F190),IF(N190&lt;0,"Expiré",IF(N190&lt;='Paramètres'!$E$6,"À renouveler","À jour")),"À compléter"))</x:f>
      </x:c>
      <x:c r="P190" s="12" t="str">
        <x:f>IF(A190="","",IF(AND(ISNUMBER(F190),F190&gt;'Tableau de bord'!$F$5,G190="Oui",H190="Oui",I190="Oui",J190="Oui",K190="Oui"),1,0))</x:f>
      </x:c>
      <x:c r="Q190" s="9"/>
      <x:c r="R190" s="12" t="str">
        <x:f>IF(A190="","",IF(C190="","OTP manquant",IF(COUNTIFS($A$6:$A$505,A190,$C$6:$C$505,C190)&gt;1,"Doublon OTP","")))</x:f>
      </x:c>
    </x:row>
    <x:row r="191" ht="23" customHeight="1">
      <x:c r="A191" s="9"/>
      <x:c r="B191" s="9"/>
      <x:c r="C191" s="9"/>
      <x:c r="D191" s="9"/>
      <x:c r="E191" s="9"/>
      <x:c r="F191" s="11"/>
      <x:c r="G191" s="9"/>
      <x:c r="H191" s="9"/>
      <x:c r="I191" s="9"/>
      <x:c r="J191" s="9"/>
      <x:c r="K191" s="9"/>
      <x:c r="L191" s="9"/>
      <x:c r="M191" s="9"/>
      <x:c r="N191" s="12" t="str">
        <x:f>IF(A191="","",IF(ISNUMBER(F191),F191-'Tableau de bord'!$F$5,""))</x:f>
      </x:c>
      <x:c r="O191" s="12" t="str">
        <x:f>IF(A191="","",IF(ISNUMBER(F191),IF(N191&lt;0,"Expiré",IF(N191&lt;='Paramètres'!$E$6,"À renouveler","À jour")),"À compléter"))</x:f>
      </x:c>
      <x:c r="P191" s="12" t="str">
        <x:f>IF(A191="","",IF(AND(ISNUMBER(F191),F191&gt;'Tableau de bord'!$F$5,G191="Oui",H191="Oui",I191="Oui",J191="Oui",K191="Oui"),1,0))</x:f>
      </x:c>
      <x:c r="Q191" s="9"/>
      <x:c r="R191" s="12" t="str">
        <x:f>IF(A191="","",IF(C191="","OTP manquant",IF(COUNTIFS($A$6:$A$505,A191,$C$6:$C$505,C191)&gt;1,"Doublon OTP","")))</x:f>
      </x:c>
    </x:row>
    <x:row r="192" ht="23" customHeight="1">
      <x:c r="A192" s="9"/>
      <x:c r="B192" s="9"/>
      <x:c r="C192" s="9"/>
      <x:c r="D192" s="9"/>
      <x:c r="E192" s="9"/>
      <x:c r="F192" s="11"/>
      <x:c r="G192" s="9"/>
      <x:c r="H192" s="9"/>
      <x:c r="I192" s="9"/>
      <x:c r="J192" s="9"/>
      <x:c r="K192" s="9"/>
      <x:c r="L192" s="9"/>
      <x:c r="M192" s="9"/>
      <x:c r="N192" s="12" t="str">
        <x:f>IF(A192="","",IF(ISNUMBER(F192),F192-'Tableau de bord'!$F$5,""))</x:f>
      </x:c>
      <x:c r="O192" s="12" t="str">
        <x:f>IF(A192="","",IF(ISNUMBER(F192),IF(N192&lt;0,"Expiré",IF(N192&lt;='Paramètres'!$E$6,"À renouveler","À jour")),"À compléter"))</x:f>
      </x:c>
      <x:c r="P192" s="12" t="str">
        <x:f>IF(A192="","",IF(AND(ISNUMBER(F192),F192&gt;'Tableau de bord'!$F$5,G192="Oui",H192="Oui",I192="Oui",J192="Oui",K192="Oui"),1,0))</x:f>
      </x:c>
      <x:c r="Q192" s="9"/>
      <x:c r="R192" s="12" t="str">
        <x:f>IF(A192="","",IF(C192="","OTP manquant",IF(COUNTIFS($A$6:$A$505,A192,$C$6:$C$505,C192)&gt;1,"Doublon OTP","")))</x:f>
      </x:c>
    </x:row>
    <x:row r="193" ht="23" customHeight="1">
      <x:c r="A193" s="9"/>
      <x:c r="B193" s="9"/>
      <x:c r="C193" s="9"/>
      <x:c r="D193" s="9"/>
      <x:c r="E193" s="9"/>
      <x:c r="F193" s="11"/>
      <x:c r="G193" s="9"/>
      <x:c r="H193" s="9"/>
      <x:c r="I193" s="9"/>
      <x:c r="J193" s="9"/>
      <x:c r="K193" s="9"/>
      <x:c r="L193" s="9"/>
      <x:c r="M193" s="9"/>
      <x:c r="N193" s="12" t="str">
        <x:f>IF(A193="","",IF(ISNUMBER(F193),F193-'Tableau de bord'!$F$5,""))</x:f>
      </x:c>
      <x:c r="O193" s="12" t="str">
        <x:f>IF(A193="","",IF(ISNUMBER(F193),IF(N193&lt;0,"Expiré",IF(N193&lt;='Paramètres'!$E$6,"À renouveler","À jour")),"À compléter"))</x:f>
      </x:c>
      <x:c r="P193" s="12" t="str">
        <x:f>IF(A193="","",IF(AND(ISNUMBER(F193),F193&gt;'Tableau de bord'!$F$5,G193="Oui",H193="Oui",I193="Oui",J193="Oui",K193="Oui"),1,0))</x:f>
      </x:c>
      <x:c r="Q193" s="9"/>
      <x:c r="R193" s="12" t="str">
        <x:f>IF(A193="","",IF(C193="","OTP manquant",IF(COUNTIFS($A$6:$A$505,A193,$C$6:$C$505,C193)&gt;1,"Doublon OTP","")))</x:f>
      </x:c>
    </x:row>
    <x:row r="194" ht="23" customHeight="1">
      <x:c r="A194" s="9"/>
      <x:c r="B194" s="9"/>
      <x:c r="C194" s="9"/>
      <x:c r="D194" s="9"/>
      <x:c r="E194" s="9"/>
      <x:c r="F194" s="11"/>
      <x:c r="G194" s="9"/>
      <x:c r="H194" s="9"/>
      <x:c r="I194" s="9"/>
      <x:c r="J194" s="9"/>
      <x:c r="K194" s="9"/>
      <x:c r="L194" s="9"/>
      <x:c r="M194" s="9"/>
      <x:c r="N194" s="12" t="str">
        <x:f>IF(A194="","",IF(ISNUMBER(F194),F194-'Tableau de bord'!$F$5,""))</x:f>
      </x:c>
      <x:c r="O194" s="12" t="str">
        <x:f>IF(A194="","",IF(ISNUMBER(F194),IF(N194&lt;0,"Expiré",IF(N194&lt;='Paramètres'!$E$6,"À renouveler","À jour")),"À compléter"))</x:f>
      </x:c>
      <x:c r="P194" s="12" t="str">
        <x:f>IF(A194="","",IF(AND(ISNUMBER(F194),F194&gt;'Tableau de bord'!$F$5,G194="Oui",H194="Oui",I194="Oui",J194="Oui",K194="Oui"),1,0))</x:f>
      </x:c>
      <x:c r="Q194" s="9"/>
      <x:c r="R194" s="12" t="str">
        <x:f>IF(A194="","",IF(C194="","OTP manquant",IF(COUNTIFS($A$6:$A$505,A194,$C$6:$C$505,C194)&gt;1,"Doublon OTP","")))</x:f>
      </x:c>
    </x:row>
    <x:row r="195" ht="23" customHeight="1">
      <x:c r="A195" s="9"/>
      <x:c r="B195" s="9"/>
      <x:c r="C195" s="9"/>
      <x:c r="D195" s="9"/>
      <x:c r="E195" s="9"/>
      <x:c r="F195" s="11"/>
      <x:c r="G195" s="9"/>
      <x:c r="H195" s="9"/>
      <x:c r="I195" s="9"/>
      <x:c r="J195" s="9"/>
      <x:c r="K195" s="9"/>
      <x:c r="L195" s="9"/>
      <x:c r="M195" s="9"/>
      <x:c r="N195" s="12" t="str">
        <x:f>IF(A195="","",IF(ISNUMBER(F195),F195-'Tableau de bord'!$F$5,""))</x:f>
      </x:c>
      <x:c r="O195" s="12" t="str">
        <x:f>IF(A195="","",IF(ISNUMBER(F195),IF(N195&lt;0,"Expiré",IF(N195&lt;='Paramètres'!$E$6,"À renouveler","À jour")),"À compléter"))</x:f>
      </x:c>
      <x:c r="P195" s="12" t="str">
        <x:f>IF(A195="","",IF(AND(ISNUMBER(F195),F195&gt;'Tableau de bord'!$F$5,G195="Oui",H195="Oui",I195="Oui",J195="Oui",K195="Oui"),1,0))</x:f>
      </x:c>
      <x:c r="Q195" s="9"/>
      <x:c r="R195" s="12" t="str">
        <x:f>IF(A195="","",IF(C195="","OTP manquant",IF(COUNTIFS($A$6:$A$505,A195,$C$6:$C$505,C195)&gt;1,"Doublon OTP","")))</x:f>
      </x:c>
    </x:row>
    <x:row r="196" ht="23" customHeight="1">
      <x:c r="A196" s="9"/>
      <x:c r="B196" s="9"/>
      <x:c r="C196" s="9"/>
      <x:c r="D196" s="9"/>
      <x:c r="E196" s="9"/>
      <x:c r="F196" s="11"/>
      <x:c r="G196" s="9"/>
      <x:c r="H196" s="9"/>
      <x:c r="I196" s="9"/>
      <x:c r="J196" s="9"/>
      <x:c r="K196" s="9"/>
      <x:c r="L196" s="9"/>
      <x:c r="M196" s="9"/>
      <x:c r="N196" s="12" t="str">
        <x:f>IF(A196="","",IF(ISNUMBER(F196),F196-'Tableau de bord'!$F$5,""))</x:f>
      </x:c>
      <x:c r="O196" s="12" t="str">
        <x:f>IF(A196="","",IF(ISNUMBER(F196),IF(N196&lt;0,"Expiré",IF(N196&lt;='Paramètres'!$E$6,"À renouveler","À jour")),"À compléter"))</x:f>
      </x:c>
      <x:c r="P196" s="12" t="str">
        <x:f>IF(A196="","",IF(AND(ISNUMBER(F196),F196&gt;'Tableau de bord'!$F$5,G196="Oui",H196="Oui",I196="Oui",J196="Oui",K196="Oui"),1,0))</x:f>
      </x:c>
      <x:c r="Q196" s="9"/>
      <x:c r="R196" s="12" t="str">
        <x:f>IF(A196="","",IF(C196="","OTP manquant",IF(COUNTIFS($A$6:$A$505,A196,$C$6:$C$505,C196)&gt;1,"Doublon OTP","")))</x:f>
      </x:c>
    </x:row>
    <x:row r="197" ht="23" customHeight="1">
      <x:c r="A197" s="9"/>
      <x:c r="B197" s="9"/>
      <x:c r="C197" s="9"/>
      <x:c r="D197" s="9"/>
      <x:c r="E197" s="9"/>
      <x:c r="F197" s="11"/>
      <x:c r="G197" s="9"/>
      <x:c r="H197" s="9"/>
      <x:c r="I197" s="9"/>
      <x:c r="J197" s="9"/>
      <x:c r="K197" s="9"/>
      <x:c r="L197" s="9"/>
      <x:c r="M197" s="9"/>
      <x:c r="N197" s="12" t="str">
        <x:f>IF(A197="","",IF(ISNUMBER(F197),F197-'Tableau de bord'!$F$5,""))</x:f>
      </x:c>
      <x:c r="O197" s="12" t="str">
        <x:f>IF(A197="","",IF(ISNUMBER(F197),IF(N197&lt;0,"Expiré",IF(N197&lt;='Paramètres'!$E$6,"À renouveler","À jour")),"À compléter"))</x:f>
      </x:c>
      <x:c r="P197" s="12" t="str">
        <x:f>IF(A197="","",IF(AND(ISNUMBER(F197),F197&gt;'Tableau de bord'!$F$5,G197="Oui",H197="Oui",I197="Oui",J197="Oui",K197="Oui"),1,0))</x:f>
      </x:c>
      <x:c r="Q197" s="9"/>
      <x:c r="R197" s="12" t="str">
        <x:f>IF(A197="","",IF(C197="","OTP manquant",IF(COUNTIFS($A$6:$A$505,A197,$C$6:$C$505,C197)&gt;1,"Doublon OTP","")))</x:f>
      </x:c>
    </x:row>
    <x:row r="198" ht="23" customHeight="1">
      <x:c r="A198" s="9"/>
      <x:c r="B198" s="9"/>
      <x:c r="C198" s="9"/>
      <x:c r="D198" s="9"/>
      <x:c r="E198" s="9"/>
      <x:c r="F198" s="11"/>
      <x:c r="G198" s="9"/>
      <x:c r="H198" s="9"/>
      <x:c r="I198" s="9"/>
      <x:c r="J198" s="9"/>
      <x:c r="K198" s="9"/>
      <x:c r="L198" s="9"/>
      <x:c r="M198" s="9"/>
      <x:c r="N198" s="12" t="str">
        <x:f>IF(A198="","",IF(ISNUMBER(F198),F198-'Tableau de bord'!$F$5,""))</x:f>
      </x:c>
      <x:c r="O198" s="12" t="str">
        <x:f>IF(A198="","",IF(ISNUMBER(F198),IF(N198&lt;0,"Expiré",IF(N198&lt;='Paramètres'!$E$6,"À renouveler","À jour")),"À compléter"))</x:f>
      </x:c>
      <x:c r="P198" s="12" t="str">
        <x:f>IF(A198="","",IF(AND(ISNUMBER(F198),F198&gt;'Tableau de bord'!$F$5,G198="Oui",H198="Oui",I198="Oui",J198="Oui",K198="Oui"),1,0))</x:f>
      </x:c>
      <x:c r="Q198" s="9"/>
      <x:c r="R198" s="12" t="str">
        <x:f>IF(A198="","",IF(C198="","OTP manquant",IF(COUNTIFS($A$6:$A$505,A198,$C$6:$C$505,C198)&gt;1,"Doublon OTP","")))</x:f>
      </x:c>
    </x:row>
    <x:row r="199" ht="23" customHeight="1">
      <x:c r="A199" s="9"/>
      <x:c r="B199" s="9"/>
      <x:c r="C199" s="9"/>
      <x:c r="D199" s="9"/>
      <x:c r="E199" s="9"/>
      <x:c r="F199" s="11"/>
      <x:c r="G199" s="9"/>
      <x:c r="H199" s="9"/>
      <x:c r="I199" s="9"/>
      <x:c r="J199" s="9"/>
      <x:c r="K199" s="9"/>
      <x:c r="L199" s="9"/>
      <x:c r="M199" s="9"/>
      <x:c r="N199" s="12" t="str">
        <x:f>IF(A199="","",IF(ISNUMBER(F199),F199-'Tableau de bord'!$F$5,""))</x:f>
      </x:c>
      <x:c r="O199" s="12" t="str">
        <x:f>IF(A199="","",IF(ISNUMBER(F199),IF(N199&lt;0,"Expiré",IF(N199&lt;='Paramètres'!$E$6,"À renouveler","À jour")),"À compléter"))</x:f>
      </x:c>
      <x:c r="P199" s="12" t="str">
        <x:f>IF(A199="","",IF(AND(ISNUMBER(F199),F199&gt;'Tableau de bord'!$F$5,G199="Oui",H199="Oui",I199="Oui",J199="Oui",K199="Oui"),1,0))</x:f>
      </x:c>
      <x:c r="Q199" s="9"/>
      <x:c r="R199" s="12" t="str">
        <x:f>IF(A199="","",IF(C199="","OTP manquant",IF(COUNTIFS($A$6:$A$505,A199,$C$6:$C$505,C199)&gt;1,"Doublon OTP","")))</x:f>
      </x:c>
    </x:row>
    <x:row r="200" ht="23" customHeight="1">
      <x:c r="A200" s="9"/>
      <x:c r="B200" s="9"/>
      <x:c r="C200" s="9"/>
      <x:c r="D200" s="9"/>
      <x:c r="E200" s="9"/>
      <x:c r="F200" s="11"/>
      <x:c r="G200" s="9"/>
      <x:c r="H200" s="9"/>
      <x:c r="I200" s="9"/>
      <x:c r="J200" s="9"/>
      <x:c r="K200" s="9"/>
      <x:c r="L200" s="9"/>
      <x:c r="M200" s="9"/>
      <x:c r="N200" s="12" t="str">
        <x:f>IF(A200="","",IF(ISNUMBER(F200),F200-'Tableau de bord'!$F$5,""))</x:f>
      </x:c>
      <x:c r="O200" s="12" t="str">
        <x:f>IF(A200="","",IF(ISNUMBER(F200),IF(N200&lt;0,"Expiré",IF(N200&lt;='Paramètres'!$E$6,"À renouveler","À jour")),"À compléter"))</x:f>
      </x:c>
      <x:c r="P200" s="12" t="str">
        <x:f>IF(A200="","",IF(AND(ISNUMBER(F200),F200&gt;'Tableau de bord'!$F$5,G200="Oui",H200="Oui",I200="Oui",J200="Oui",K200="Oui"),1,0))</x:f>
      </x:c>
      <x:c r="Q200" s="9"/>
      <x:c r="R200" s="12" t="str">
        <x:f>IF(A200="","",IF(C200="","OTP manquant",IF(COUNTIFS($A$6:$A$505,A200,$C$6:$C$505,C200)&gt;1,"Doublon OTP","")))</x:f>
      </x:c>
    </x:row>
    <x:row r="201" ht="23" customHeight="1">
      <x:c r="A201" s="9"/>
      <x:c r="B201" s="9"/>
      <x:c r="C201" s="9"/>
      <x:c r="D201" s="9"/>
      <x:c r="E201" s="9"/>
      <x:c r="F201" s="11"/>
      <x:c r="G201" s="9"/>
      <x:c r="H201" s="9"/>
      <x:c r="I201" s="9"/>
      <x:c r="J201" s="9"/>
      <x:c r="K201" s="9"/>
      <x:c r="L201" s="9"/>
      <x:c r="M201" s="9"/>
      <x:c r="N201" s="12" t="str">
        <x:f>IF(A201="","",IF(ISNUMBER(F201),F201-'Tableau de bord'!$F$5,""))</x:f>
      </x:c>
      <x:c r="O201" s="12" t="str">
        <x:f>IF(A201="","",IF(ISNUMBER(F201),IF(N201&lt;0,"Expiré",IF(N201&lt;='Paramètres'!$E$6,"À renouveler","À jour")),"À compléter"))</x:f>
      </x:c>
      <x:c r="P201" s="12" t="str">
        <x:f>IF(A201="","",IF(AND(ISNUMBER(F201),F201&gt;'Tableau de bord'!$F$5,G201="Oui",H201="Oui",I201="Oui",J201="Oui",K201="Oui"),1,0))</x:f>
      </x:c>
      <x:c r="Q201" s="9"/>
      <x:c r="R201" s="12" t="str">
        <x:f>IF(A201="","",IF(C201="","OTP manquant",IF(COUNTIFS($A$6:$A$505,A201,$C$6:$C$505,C201)&gt;1,"Doublon OTP","")))</x:f>
      </x:c>
    </x:row>
    <x:row r="202" ht="23" customHeight="1">
      <x:c r="A202" s="9"/>
      <x:c r="B202" s="9"/>
      <x:c r="C202" s="9"/>
      <x:c r="D202" s="9"/>
      <x:c r="E202" s="9"/>
      <x:c r="F202" s="11"/>
      <x:c r="G202" s="9"/>
      <x:c r="H202" s="9"/>
      <x:c r="I202" s="9"/>
      <x:c r="J202" s="9"/>
      <x:c r="K202" s="9"/>
      <x:c r="L202" s="9"/>
      <x:c r="M202" s="9"/>
      <x:c r="N202" s="12" t="str">
        <x:f>IF(A202="","",IF(ISNUMBER(F202),F202-'Tableau de bord'!$F$5,""))</x:f>
      </x:c>
      <x:c r="O202" s="12" t="str">
        <x:f>IF(A202="","",IF(ISNUMBER(F202),IF(N202&lt;0,"Expiré",IF(N202&lt;='Paramètres'!$E$6,"À renouveler","À jour")),"À compléter"))</x:f>
      </x:c>
      <x:c r="P202" s="12" t="str">
        <x:f>IF(A202="","",IF(AND(ISNUMBER(F202),F202&gt;'Tableau de bord'!$F$5,G202="Oui",H202="Oui",I202="Oui",J202="Oui",K202="Oui"),1,0))</x:f>
      </x:c>
      <x:c r="Q202" s="9"/>
      <x:c r="R202" s="12" t="str">
        <x:f>IF(A202="","",IF(C202="","OTP manquant",IF(COUNTIFS($A$6:$A$505,A202,$C$6:$C$505,C202)&gt;1,"Doublon OTP","")))</x:f>
      </x:c>
    </x:row>
    <x:row r="203" ht="23" customHeight="1">
      <x:c r="A203" s="9"/>
      <x:c r="B203" s="9"/>
      <x:c r="C203" s="9"/>
      <x:c r="D203" s="9"/>
      <x:c r="E203" s="9"/>
      <x:c r="F203" s="11"/>
      <x:c r="G203" s="9"/>
      <x:c r="H203" s="9"/>
      <x:c r="I203" s="9"/>
      <x:c r="J203" s="9"/>
      <x:c r="K203" s="9"/>
      <x:c r="L203" s="9"/>
      <x:c r="M203" s="9"/>
      <x:c r="N203" s="12" t="str">
        <x:f>IF(A203="","",IF(ISNUMBER(F203),F203-'Tableau de bord'!$F$5,""))</x:f>
      </x:c>
      <x:c r="O203" s="12" t="str">
        <x:f>IF(A203="","",IF(ISNUMBER(F203),IF(N203&lt;0,"Expiré",IF(N203&lt;='Paramètres'!$E$6,"À renouveler","À jour")),"À compléter"))</x:f>
      </x:c>
      <x:c r="P203" s="12" t="str">
        <x:f>IF(A203="","",IF(AND(ISNUMBER(F203),F203&gt;'Tableau de bord'!$F$5,G203="Oui",H203="Oui",I203="Oui",J203="Oui",K203="Oui"),1,0))</x:f>
      </x:c>
      <x:c r="Q203" s="9"/>
      <x:c r="R203" s="12" t="str">
        <x:f>IF(A203="","",IF(C203="","OTP manquant",IF(COUNTIFS($A$6:$A$505,A203,$C$6:$C$505,C203)&gt;1,"Doublon OTP","")))</x:f>
      </x:c>
    </x:row>
    <x:row r="204" ht="23" customHeight="1">
      <x:c r="A204" s="9"/>
      <x:c r="B204" s="9"/>
      <x:c r="C204" s="9"/>
      <x:c r="D204" s="9"/>
      <x:c r="E204" s="9"/>
      <x:c r="F204" s="11"/>
      <x:c r="G204" s="9"/>
      <x:c r="H204" s="9"/>
      <x:c r="I204" s="9"/>
      <x:c r="J204" s="9"/>
      <x:c r="K204" s="9"/>
      <x:c r="L204" s="9"/>
      <x:c r="M204" s="9"/>
      <x:c r="N204" s="12" t="str">
        <x:f>IF(A204="","",IF(ISNUMBER(F204),F204-'Tableau de bord'!$F$5,""))</x:f>
      </x:c>
      <x:c r="O204" s="12" t="str">
        <x:f>IF(A204="","",IF(ISNUMBER(F204),IF(N204&lt;0,"Expiré",IF(N204&lt;='Paramètres'!$E$6,"À renouveler","À jour")),"À compléter"))</x:f>
      </x:c>
      <x:c r="P204" s="12" t="str">
        <x:f>IF(A204="","",IF(AND(ISNUMBER(F204),F204&gt;'Tableau de bord'!$F$5,G204="Oui",H204="Oui",I204="Oui",J204="Oui",K204="Oui"),1,0))</x:f>
      </x:c>
      <x:c r="Q204" s="9"/>
      <x:c r="R204" s="12" t="str">
        <x:f>IF(A204="","",IF(C204="","OTP manquant",IF(COUNTIFS($A$6:$A$505,A204,$C$6:$C$505,C204)&gt;1,"Doublon OTP","")))</x:f>
      </x:c>
    </x:row>
    <x:row r="205" ht="23" customHeight="1">
      <x:c r="A205" s="9"/>
      <x:c r="B205" s="9"/>
      <x:c r="C205" s="9"/>
      <x:c r="D205" s="9"/>
      <x:c r="E205" s="9"/>
      <x:c r="F205" s="11"/>
      <x:c r="G205" s="9"/>
      <x:c r="H205" s="9"/>
      <x:c r="I205" s="9"/>
      <x:c r="J205" s="9"/>
      <x:c r="K205" s="9"/>
      <x:c r="L205" s="9"/>
      <x:c r="M205" s="9"/>
      <x:c r="N205" s="12" t="str">
        <x:f>IF(A205="","",IF(ISNUMBER(F205),F205-'Tableau de bord'!$F$5,""))</x:f>
      </x:c>
      <x:c r="O205" s="12" t="str">
        <x:f>IF(A205="","",IF(ISNUMBER(F205),IF(N205&lt;0,"Expiré",IF(N205&lt;='Paramètres'!$E$6,"À renouveler","À jour")),"À compléter"))</x:f>
      </x:c>
      <x:c r="P205" s="12" t="str">
        <x:f>IF(A205="","",IF(AND(ISNUMBER(F205),F205&gt;'Tableau de bord'!$F$5,G205="Oui",H205="Oui",I205="Oui",J205="Oui",K205="Oui"),1,0))</x:f>
      </x:c>
      <x:c r="Q205" s="9"/>
      <x:c r="R205" s="12" t="str">
        <x:f>IF(A205="","",IF(C205="","OTP manquant",IF(COUNTIFS($A$6:$A$505,A205,$C$6:$C$505,C205)&gt;1,"Doublon OTP","")))</x:f>
      </x:c>
    </x:row>
    <x:row r="206" ht="23" customHeight="1">
      <x:c r="A206" s="9"/>
      <x:c r="B206" s="9"/>
      <x:c r="C206" s="9"/>
      <x:c r="D206" s="9"/>
      <x:c r="E206" s="9"/>
      <x:c r="F206" s="11"/>
      <x:c r="G206" s="9"/>
      <x:c r="H206" s="9"/>
      <x:c r="I206" s="9"/>
      <x:c r="J206" s="9"/>
      <x:c r="K206" s="9"/>
      <x:c r="L206" s="9"/>
      <x:c r="M206" s="9"/>
      <x:c r="N206" s="12" t="str">
        <x:f>IF(A206="","",IF(ISNUMBER(F206),F206-'Tableau de bord'!$F$5,""))</x:f>
      </x:c>
      <x:c r="O206" s="12" t="str">
        <x:f>IF(A206="","",IF(ISNUMBER(F206),IF(N206&lt;0,"Expiré",IF(N206&lt;='Paramètres'!$E$6,"À renouveler","À jour")),"À compléter"))</x:f>
      </x:c>
      <x:c r="P206" s="12" t="str">
        <x:f>IF(A206="","",IF(AND(ISNUMBER(F206),F206&gt;'Tableau de bord'!$F$5,G206="Oui",H206="Oui",I206="Oui",J206="Oui",K206="Oui"),1,0))</x:f>
      </x:c>
      <x:c r="Q206" s="9"/>
      <x:c r="R206" s="12" t="str">
        <x:f>IF(A206="","",IF(C206="","OTP manquant",IF(COUNTIFS($A$6:$A$505,A206,$C$6:$C$505,C206)&gt;1,"Doublon OTP","")))</x:f>
      </x:c>
    </x:row>
    <x:row r="207" ht="23" customHeight="1">
      <x:c r="A207" s="9"/>
      <x:c r="B207" s="9"/>
      <x:c r="C207" s="9"/>
      <x:c r="D207" s="9"/>
      <x:c r="E207" s="9"/>
      <x:c r="F207" s="11"/>
      <x:c r="G207" s="9"/>
      <x:c r="H207" s="9"/>
      <x:c r="I207" s="9"/>
      <x:c r="J207" s="9"/>
      <x:c r="K207" s="9"/>
      <x:c r="L207" s="9"/>
      <x:c r="M207" s="9"/>
      <x:c r="N207" s="12" t="str">
        <x:f>IF(A207="","",IF(ISNUMBER(F207),F207-'Tableau de bord'!$F$5,""))</x:f>
      </x:c>
      <x:c r="O207" s="12" t="str">
        <x:f>IF(A207="","",IF(ISNUMBER(F207),IF(N207&lt;0,"Expiré",IF(N207&lt;='Paramètres'!$E$6,"À renouveler","À jour")),"À compléter"))</x:f>
      </x:c>
      <x:c r="P207" s="12" t="str">
        <x:f>IF(A207="","",IF(AND(ISNUMBER(F207),F207&gt;'Tableau de bord'!$F$5,G207="Oui",H207="Oui",I207="Oui",J207="Oui",K207="Oui"),1,0))</x:f>
      </x:c>
      <x:c r="Q207" s="9"/>
      <x:c r="R207" s="12" t="str">
        <x:f>IF(A207="","",IF(C207="","OTP manquant",IF(COUNTIFS($A$6:$A$505,A207,$C$6:$C$505,C207)&gt;1,"Doublon OTP","")))</x:f>
      </x:c>
    </x:row>
    <x:row r="208" ht="23" customHeight="1">
      <x:c r="A208" s="9"/>
      <x:c r="B208" s="9"/>
      <x:c r="C208" s="9"/>
      <x:c r="D208" s="9"/>
      <x:c r="E208" s="9"/>
      <x:c r="F208" s="11"/>
      <x:c r="G208" s="9"/>
      <x:c r="H208" s="9"/>
      <x:c r="I208" s="9"/>
      <x:c r="J208" s="9"/>
      <x:c r="K208" s="9"/>
      <x:c r="L208" s="9"/>
      <x:c r="M208" s="9"/>
      <x:c r="N208" s="12" t="str">
        <x:f>IF(A208="","",IF(ISNUMBER(F208),F208-'Tableau de bord'!$F$5,""))</x:f>
      </x:c>
      <x:c r="O208" s="12" t="str">
        <x:f>IF(A208="","",IF(ISNUMBER(F208),IF(N208&lt;0,"Expiré",IF(N208&lt;='Paramètres'!$E$6,"À renouveler","À jour")),"À compléter"))</x:f>
      </x:c>
      <x:c r="P208" s="12" t="str">
        <x:f>IF(A208="","",IF(AND(ISNUMBER(F208),F208&gt;'Tableau de bord'!$F$5,G208="Oui",H208="Oui",I208="Oui",J208="Oui",K208="Oui"),1,0))</x:f>
      </x:c>
      <x:c r="Q208" s="9"/>
      <x:c r="R208" s="12" t="str">
        <x:f>IF(A208="","",IF(C208="","OTP manquant",IF(COUNTIFS($A$6:$A$505,A208,$C$6:$C$505,C208)&gt;1,"Doublon OTP","")))</x:f>
      </x:c>
    </x:row>
    <x:row r="209" ht="23" customHeight="1">
      <x:c r="A209" s="9"/>
      <x:c r="B209" s="9"/>
      <x:c r="C209" s="9"/>
      <x:c r="D209" s="9"/>
      <x:c r="E209" s="9"/>
      <x:c r="F209" s="11"/>
      <x:c r="G209" s="9"/>
      <x:c r="H209" s="9"/>
      <x:c r="I209" s="9"/>
      <x:c r="J209" s="9"/>
      <x:c r="K209" s="9"/>
      <x:c r="L209" s="9"/>
      <x:c r="M209" s="9"/>
      <x:c r="N209" s="12" t="str">
        <x:f>IF(A209="","",IF(ISNUMBER(F209),F209-'Tableau de bord'!$F$5,""))</x:f>
      </x:c>
      <x:c r="O209" s="12" t="str">
        <x:f>IF(A209="","",IF(ISNUMBER(F209),IF(N209&lt;0,"Expiré",IF(N209&lt;='Paramètres'!$E$6,"À renouveler","À jour")),"À compléter"))</x:f>
      </x:c>
      <x:c r="P209" s="12" t="str">
        <x:f>IF(A209="","",IF(AND(ISNUMBER(F209),F209&gt;'Tableau de bord'!$F$5,G209="Oui",H209="Oui",I209="Oui",J209="Oui",K209="Oui"),1,0))</x:f>
      </x:c>
      <x:c r="Q209" s="9"/>
      <x:c r="R209" s="12" t="str">
        <x:f>IF(A209="","",IF(C209="","OTP manquant",IF(COUNTIFS($A$6:$A$505,A209,$C$6:$C$505,C209)&gt;1,"Doublon OTP","")))</x:f>
      </x:c>
    </x:row>
    <x:row r="210" ht="23" customHeight="1">
      <x:c r="A210" s="9"/>
      <x:c r="B210" s="9"/>
      <x:c r="C210" s="9"/>
      <x:c r="D210" s="9"/>
      <x:c r="E210" s="9"/>
      <x:c r="F210" s="11"/>
      <x:c r="G210" s="9"/>
      <x:c r="H210" s="9"/>
      <x:c r="I210" s="9"/>
      <x:c r="J210" s="9"/>
      <x:c r="K210" s="9"/>
      <x:c r="L210" s="9"/>
      <x:c r="M210" s="9"/>
      <x:c r="N210" s="12" t="str">
        <x:f>IF(A210="","",IF(ISNUMBER(F210),F210-'Tableau de bord'!$F$5,""))</x:f>
      </x:c>
      <x:c r="O210" s="12" t="str">
        <x:f>IF(A210="","",IF(ISNUMBER(F210),IF(N210&lt;0,"Expiré",IF(N210&lt;='Paramètres'!$E$6,"À renouveler","À jour")),"À compléter"))</x:f>
      </x:c>
      <x:c r="P210" s="12" t="str">
        <x:f>IF(A210="","",IF(AND(ISNUMBER(F210),F210&gt;'Tableau de bord'!$F$5,G210="Oui",H210="Oui",I210="Oui",J210="Oui",K210="Oui"),1,0))</x:f>
      </x:c>
      <x:c r="Q210" s="9"/>
      <x:c r="R210" s="12" t="str">
        <x:f>IF(A210="","",IF(C210="","OTP manquant",IF(COUNTIFS($A$6:$A$505,A210,$C$6:$C$505,C210)&gt;1,"Doublon OTP","")))</x:f>
      </x:c>
    </x:row>
    <x:row r="211" ht="23" customHeight="1">
      <x:c r="A211" s="9"/>
      <x:c r="B211" s="9"/>
      <x:c r="C211" s="9"/>
      <x:c r="D211" s="9"/>
      <x:c r="E211" s="9"/>
      <x:c r="F211" s="11"/>
      <x:c r="G211" s="9"/>
      <x:c r="H211" s="9"/>
      <x:c r="I211" s="9"/>
      <x:c r="J211" s="9"/>
      <x:c r="K211" s="9"/>
      <x:c r="L211" s="9"/>
      <x:c r="M211" s="9"/>
      <x:c r="N211" s="12" t="str">
        <x:f>IF(A211="","",IF(ISNUMBER(F211),F211-'Tableau de bord'!$F$5,""))</x:f>
      </x:c>
      <x:c r="O211" s="12" t="str">
        <x:f>IF(A211="","",IF(ISNUMBER(F211),IF(N211&lt;0,"Expiré",IF(N211&lt;='Paramètres'!$E$6,"À renouveler","À jour")),"À compléter"))</x:f>
      </x:c>
      <x:c r="P211" s="12" t="str">
        <x:f>IF(A211="","",IF(AND(ISNUMBER(F211),F211&gt;'Tableau de bord'!$F$5,G211="Oui",H211="Oui",I211="Oui",J211="Oui",K211="Oui"),1,0))</x:f>
      </x:c>
      <x:c r="Q211" s="9"/>
      <x:c r="R211" s="12" t="str">
        <x:f>IF(A211="","",IF(C211="","OTP manquant",IF(COUNTIFS($A$6:$A$505,A211,$C$6:$C$505,C211)&gt;1,"Doublon OTP","")))</x:f>
      </x:c>
    </x:row>
    <x:row r="212" ht="23" customHeight="1">
      <x:c r="A212" s="9"/>
      <x:c r="B212" s="9"/>
      <x:c r="C212" s="9"/>
      <x:c r="D212" s="9"/>
      <x:c r="E212" s="9"/>
      <x:c r="F212" s="11"/>
      <x:c r="G212" s="9"/>
      <x:c r="H212" s="9"/>
      <x:c r="I212" s="9"/>
      <x:c r="J212" s="9"/>
      <x:c r="K212" s="9"/>
      <x:c r="L212" s="9"/>
      <x:c r="M212" s="9"/>
      <x:c r="N212" s="12" t="str">
        <x:f>IF(A212="","",IF(ISNUMBER(F212),F212-'Tableau de bord'!$F$5,""))</x:f>
      </x:c>
      <x:c r="O212" s="12" t="str">
        <x:f>IF(A212="","",IF(ISNUMBER(F212),IF(N212&lt;0,"Expiré",IF(N212&lt;='Paramètres'!$E$6,"À renouveler","À jour")),"À compléter"))</x:f>
      </x:c>
      <x:c r="P212" s="12" t="str">
        <x:f>IF(A212="","",IF(AND(ISNUMBER(F212),F212&gt;'Tableau de bord'!$F$5,G212="Oui",H212="Oui",I212="Oui",J212="Oui",K212="Oui"),1,0))</x:f>
      </x:c>
      <x:c r="Q212" s="9"/>
      <x:c r="R212" s="12" t="str">
        <x:f>IF(A212="","",IF(C212="","OTP manquant",IF(COUNTIFS($A$6:$A$505,A212,$C$6:$C$505,C212)&gt;1,"Doublon OTP","")))</x:f>
      </x:c>
    </x:row>
    <x:row r="213" ht="23" customHeight="1">
      <x:c r="A213" s="9"/>
      <x:c r="B213" s="9"/>
      <x:c r="C213" s="9"/>
      <x:c r="D213" s="9"/>
      <x:c r="E213" s="9"/>
      <x:c r="F213" s="11"/>
      <x:c r="G213" s="9"/>
      <x:c r="H213" s="9"/>
      <x:c r="I213" s="9"/>
      <x:c r="J213" s="9"/>
      <x:c r="K213" s="9"/>
      <x:c r="L213" s="9"/>
      <x:c r="M213" s="9"/>
      <x:c r="N213" s="12" t="str">
        <x:f>IF(A213="","",IF(ISNUMBER(F213),F213-'Tableau de bord'!$F$5,""))</x:f>
      </x:c>
      <x:c r="O213" s="12" t="str">
        <x:f>IF(A213="","",IF(ISNUMBER(F213),IF(N213&lt;0,"Expiré",IF(N213&lt;='Paramètres'!$E$6,"À renouveler","À jour")),"À compléter"))</x:f>
      </x:c>
      <x:c r="P213" s="12" t="str">
        <x:f>IF(A213="","",IF(AND(ISNUMBER(F213),F213&gt;'Tableau de bord'!$F$5,G213="Oui",H213="Oui",I213="Oui",J213="Oui",K213="Oui"),1,0))</x:f>
      </x:c>
      <x:c r="Q213" s="9"/>
      <x:c r="R213" s="12" t="str">
        <x:f>IF(A213="","",IF(C213="","OTP manquant",IF(COUNTIFS($A$6:$A$505,A213,$C$6:$C$505,C213)&gt;1,"Doublon OTP","")))</x:f>
      </x:c>
    </x:row>
    <x:row r="214" ht="23" customHeight="1">
      <x:c r="A214" s="9"/>
      <x:c r="B214" s="9"/>
      <x:c r="C214" s="9"/>
      <x:c r="D214" s="9"/>
      <x:c r="E214" s="9"/>
      <x:c r="F214" s="11"/>
      <x:c r="G214" s="9"/>
      <x:c r="H214" s="9"/>
      <x:c r="I214" s="9"/>
      <x:c r="J214" s="9"/>
      <x:c r="K214" s="9"/>
      <x:c r="L214" s="9"/>
      <x:c r="M214" s="9"/>
      <x:c r="N214" s="12" t="str">
        <x:f>IF(A214="","",IF(ISNUMBER(F214),F214-'Tableau de bord'!$F$5,""))</x:f>
      </x:c>
      <x:c r="O214" s="12" t="str">
        <x:f>IF(A214="","",IF(ISNUMBER(F214),IF(N214&lt;0,"Expiré",IF(N214&lt;='Paramètres'!$E$6,"À renouveler","À jour")),"À compléter"))</x:f>
      </x:c>
      <x:c r="P214" s="12" t="str">
        <x:f>IF(A214="","",IF(AND(ISNUMBER(F214),F214&gt;'Tableau de bord'!$F$5,G214="Oui",H214="Oui",I214="Oui",J214="Oui",K214="Oui"),1,0))</x:f>
      </x:c>
      <x:c r="Q214" s="9"/>
      <x:c r="R214" s="12" t="str">
        <x:f>IF(A214="","",IF(C214="","OTP manquant",IF(COUNTIFS($A$6:$A$505,A214,$C$6:$C$505,C214)&gt;1,"Doublon OTP","")))</x:f>
      </x:c>
    </x:row>
    <x:row r="215" ht="23" customHeight="1">
      <x:c r="A215" s="9"/>
      <x:c r="B215" s="9"/>
      <x:c r="C215" s="9"/>
      <x:c r="D215" s="9"/>
      <x:c r="E215" s="9"/>
      <x:c r="F215" s="11"/>
      <x:c r="G215" s="9"/>
      <x:c r="H215" s="9"/>
      <x:c r="I215" s="9"/>
      <x:c r="J215" s="9"/>
      <x:c r="K215" s="9"/>
      <x:c r="L215" s="9"/>
      <x:c r="M215" s="9"/>
      <x:c r="N215" s="12" t="str">
        <x:f>IF(A215="","",IF(ISNUMBER(F215),F215-'Tableau de bord'!$F$5,""))</x:f>
      </x:c>
      <x:c r="O215" s="12" t="str">
        <x:f>IF(A215="","",IF(ISNUMBER(F215),IF(N215&lt;0,"Expiré",IF(N215&lt;='Paramètres'!$E$6,"À renouveler","À jour")),"À compléter"))</x:f>
      </x:c>
      <x:c r="P215" s="12" t="str">
        <x:f>IF(A215="","",IF(AND(ISNUMBER(F215),F215&gt;'Tableau de bord'!$F$5,G215="Oui",H215="Oui",I215="Oui",J215="Oui",K215="Oui"),1,0))</x:f>
      </x:c>
      <x:c r="Q215" s="9"/>
      <x:c r="R215" s="12" t="str">
        <x:f>IF(A215="","",IF(C215="","OTP manquant",IF(COUNTIFS($A$6:$A$505,A215,$C$6:$C$505,C215)&gt;1,"Doublon OTP","")))</x:f>
      </x:c>
    </x:row>
    <x:row r="216" ht="23" customHeight="1">
      <x:c r="A216" s="9"/>
      <x:c r="B216" s="9"/>
      <x:c r="C216" s="9"/>
      <x:c r="D216" s="9"/>
      <x:c r="E216" s="9"/>
      <x:c r="F216" s="11"/>
      <x:c r="G216" s="9"/>
      <x:c r="H216" s="9"/>
      <x:c r="I216" s="9"/>
      <x:c r="J216" s="9"/>
      <x:c r="K216" s="9"/>
      <x:c r="L216" s="9"/>
      <x:c r="M216" s="9"/>
      <x:c r="N216" s="12" t="str">
        <x:f>IF(A216="","",IF(ISNUMBER(F216),F216-'Tableau de bord'!$F$5,""))</x:f>
      </x:c>
      <x:c r="O216" s="12" t="str">
        <x:f>IF(A216="","",IF(ISNUMBER(F216),IF(N216&lt;0,"Expiré",IF(N216&lt;='Paramètres'!$E$6,"À renouveler","À jour")),"À compléter"))</x:f>
      </x:c>
      <x:c r="P216" s="12" t="str">
        <x:f>IF(A216="","",IF(AND(ISNUMBER(F216),F216&gt;'Tableau de bord'!$F$5,G216="Oui",H216="Oui",I216="Oui",J216="Oui",K216="Oui"),1,0))</x:f>
      </x:c>
      <x:c r="Q216" s="9"/>
      <x:c r="R216" s="12" t="str">
        <x:f>IF(A216="","",IF(C216="","OTP manquant",IF(COUNTIFS($A$6:$A$505,A216,$C$6:$C$505,C216)&gt;1,"Doublon OTP","")))</x:f>
      </x:c>
    </x:row>
    <x:row r="217" ht="23" customHeight="1">
      <x:c r="A217" s="9"/>
      <x:c r="B217" s="9"/>
      <x:c r="C217" s="9"/>
      <x:c r="D217" s="9"/>
      <x:c r="E217" s="9"/>
      <x:c r="F217" s="11"/>
      <x:c r="G217" s="9"/>
      <x:c r="H217" s="9"/>
      <x:c r="I217" s="9"/>
      <x:c r="J217" s="9"/>
      <x:c r="K217" s="9"/>
      <x:c r="L217" s="9"/>
      <x:c r="M217" s="9"/>
      <x:c r="N217" s="12" t="str">
        <x:f>IF(A217="","",IF(ISNUMBER(F217),F217-'Tableau de bord'!$F$5,""))</x:f>
      </x:c>
      <x:c r="O217" s="12" t="str">
        <x:f>IF(A217="","",IF(ISNUMBER(F217),IF(N217&lt;0,"Expiré",IF(N217&lt;='Paramètres'!$E$6,"À renouveler","À jour")),"À compléter"))</x:f>
      </x:c>
      <x:c r="P217" s="12" t="str">
        <x:f>IF(A217="","",IF(AND(ISNUMBER(F217),F217&gt;'Tableau de bord'!$F$5,G217="Oui",H217="Oui",I217="Oui",J217="Oui",K217="Oui"),1,0))</x:f>
      </x:c>
      <x:c r="Q217" s="9"/>
      <x:c r="R217" s="12" t="str">
        <x:f>IF(A217="","",IF(C217="","OTP manquant",IF(COUNTIFS($A$6:$A$505,A217,$C$6:$C$505,C217)&gt;1,"Doublon OTP","")))</x:f>
      </x:c>
    </x:row>
    <x:row r="218" ht="23" customHeight="1">
      <x:c r="A218" s="9"/>
      <x:c r="B218" s="9"/>
      <x:c r="C218" s="9"/>
      <x:c r="D218" s="9"/>
      <x:c r="E218" s="9"/>
      <x:c r="F218" s="11"/>
      <x:c r="G218" s="9"/>
      <x:c r="H218" s="9"/>
      <x:c r="I218" s="9"/>
      <x:c r="J218" s="9"/>
      <x:c r="K218" s="9"/>
      <x:c r="L218" s="9"/>
      <x:c r="M218" s="9"/>
      <x:c r="N218" s="12" t="str">
        <x:f>IF(A218="","",IF(ISNUMBER(F218),F218-'Tableau de bord'!$F$5,""))</x:f>
      </x:c>
      <x:c r="O218" s="12" t="str">
        <x:f>IF(A218="","",IF(ISNUMBER(F218),IF(N218&lt;0,"Expiré",IF(N218&lt;='Paramètres'!$E$6,"À renouveler","À jour")),"À compléter"))</x:f>
      </x:c>
      <x:c r="P218" s="12" t="str">
        <x:f>IF(A218="","",IF(AND(ISNUMBER(F218),F218&gt;'Tableau de bord'!$F$5,G218="Oui",H218="Oui",I218="Oui",J218="Oui",K218="Oui"),1,0))</x:f>
      </x:c>
      <x:c r="Q218" s="9"/>
      <x:c r="R218" s="12" t="str">
        <x:f>IF(A218="","",IF(C218="","OTP manquant",IF(COUNTIFS($A$6:$A$505,A218,$C$6:$C$505,C218)&gt;1,"Doublon OTP","")))</x:f>
      </x:c>
    </x:row>
    <x:row r="219" ht="23" customHeight="1">
      <x:c r="A219" s="9"/>
      <x:c r="B219" s="9"/>
      <x:c r="C219" s="9"/>
      <x:c r="D219" s="9"/>
      <x:c r="E219" s="9"/>
      <x:c r="F219" s="11"/>
      <x:c r="G219" s="9"/>
      <x:c r="H219" s="9"/>
      <x:c r="I219" s="9"/>
      <x:c r="J219" s="9"/>
      <x:c r="K219" s="9"/>
      <x:c r="L219" s="9"/>
      <x:c r="M219" s="9"/>
      <x:c r="N219" s="12" t="str">
        <x:f>IF(A219="","",IF(ISNUMBER(F219),F219-'Tableau de bord'!$F$5,""))</x:f>
      </x:c>
      <x:c r="O219" s="12" t="str">
        <x:f>IF(A219="","",IF(ISNUMBER(F219),IF(N219&lt;0,"Expiré",IF(N219&lt;='Paramètres'!$E$6,"À renouveler","À jour")),"À compléter"))</x:f>
      </x:c>
      <x:c r="P219" s="12" t="str">
        <x:f>IF(A219="","",IF(AND(ISNUMBER(F219),F219&gt;'Tableau de bord'!$F$5,G219="Oui",H219="Oui",I219="Oui",J219="Oui",K219="Oui"),1,0))</x:f>
      </x:c>
      <x:c r="Q219" s="9"/>
      <x:c r="R219" s="12" t="str">
        <x:f>IF(A219="","",IF(C219="","OTP manquant",IF(COUNTIFS($A$6:$A$505,A219,$C$6:$C$505,C219)&gt;1,"Doublon OTP","")))</x:f>
      </x:c>
    </x:row>
    <x:row r="220" ht="23" customHeight="1">
      <x:c r="A220" s="9"/>
      <x:c r="B220" s="9"/>
      <x:c r="C220" s="9"/>
      <x:c r="D220" s="9"/>
      <x:c r="E220" s="9"/>
      <x:c r="F220" s="11"/>
      <x:c r="G220" s="9"/>
      <x:c r="H220" s="9"/>
      <x:c r="I220" s="9"/>
      <x:c r="J220" s="9"/>
      <x:c r="K220" s="9"/>
      <x:c r="L220" s="9"/>
      <x:c r="M220" s="9"/>
      <x:c r="N220" s="12" t="str">
        <x:f>IF(A220="","",IF(ISNUMBER(F220),F220-'Tableau de bord'!$F$5,""))</x:f>
      </x:c>
      <x:c r="O220" s="12" t="str">
        <x:f>IF(A220="","",IF(ISNUMBER(F220),IF(N220&lt;0,"Expiré",IF(N220&lt;='Paramètres'!$E$6,"À renouveler","À jour")),"À compléter"))</x:f>
      </x:c>
      <x:c r="P220" s="12" t="str">
        <x:f>IF(A220="","",IF(AND(ISNUMBER(F220),F220&gt;'Tableau de bord'!$F$5,G220="Oui",H220="Oui",I220="Oui",J220="Oui",K220="Oui"),1,0))</x:f>
      </x:c>
      <x:c r="Q220" s="9"/>
      <x:c r="R220" s="12" t="str">
        <x:f>IF(A220="","",IF(C220="","OTP manquant",IF(COUNTIFS($A$6:$A$505,A220,$C$6:$C$505,C220)&gt;1,"Doublon OTP","")))</x:f>
      </x:c>
    </x:row>
    <x:row r="221" ht="23" customHeight="1">
      <x:c r="A221" s="9"/>
      <x:c r="B221" s="9"/>
      <x:c r="C221" s="9"/>
      <x:c r="D221" s="9"/>
      <x:c r="E221" s="9"/>
      <x:c r="F221" s="11"/>
      <x:c r="G221" s="9"/>
      <x:c r="H221" s="9"/>
      <x:c r="I221" s="9"/>
      <x:c r="J221" s="9"/>
      <x:c r="K221" s="9"/>
      <x:c r="L221" s="9"/>
      <x:c r="M221" s="9"/>
      <x:c r="N221" s="12" t="str">
        <x:f>IF(A221="","",IF(ISNUMBER(F221),F221-'Tableau de bord'!$F$5,""))</x:f>
      </x:c>
      <x:c r="O221" s="12" t="str">
        <x:f>IF(A221="","",IF(ISNUMBER(F221),IF(N221&lt;0,"Expiré",IF(N221&lt;='Paramètres'!$E$6,"À renouveler","À jour")),"À compléter"))</x:f>
      </x:c>
      <x:c r="P221" s="12" t="str">
        <x:f>IF(A221="","",IF(AND(ISNUMBER(F221),F221&gt;'Tableau de bord'!$F$5,G221="Oui",H221="Oui",I221="Oui",J221="Oui",K221="Oui"),1,0))</x:f>
      </x:c>
      <x:c r="Q221" s="9"/>
      <x:c r="R221" s="12" t="str">
        <x:f>IF(A221="","",IF(C221="","OTP manquant",IF(COUNTIFS($A$6:$A$505,A221,$C$6:$C$505,C221)&gt;1,"Doublon OTP","")))</x:f>
      </x:c>
    </x:row>
    <x:row r="222" ht="23" customHeight="1">
      <x:c r="A222" s="9"/>
      <x:c r="B222" s="9"/>
      <x:c r="C222" s="9"/>
      <x:c r="D222" s="9"/>
      <x:c r="E222" s="9"/>
      <x:c r="F222" s="11"/>
      <x:c r="G222" s="9"/>
      <x:c r="H222" s="9"/>
      <x:c r="I222" s="9"/>
      <x:c r="J222" s="9"/>
      <x:c r="K222" s="9"/>
      <x:c r="L222" s="9"/>
      <x:c r="M222" s="9"/>
      <x:c r="N222" s="12" t="str">
        <x:f>IF(A222="","",IF(ISNUMBER(F222),F222-'Tableau de bord'!$F$5,""))</x:f>
      </x:c>
      <x:c r="O222" s="12" t="str">
        <x:f>IF(A222="","",IF(ISNUMBER(F222),IF(N222&lt;0,"Expiré",IF(N222&lt;='Paramètres'!$E$6,"À renouveler","À jour")),"À compléter"))</x:f>
      </x:c>
      <x:c r="P222" s="12" t="str">
        <x:f>IF(A222="","",IF(AND(ISNUMBER(F222),F222&gt;'Tableau de bord'!$F$5,G222="Oui",H222="Oui",I222="Oui",J222="Oui",K222="Oui"),1,0))</x:f>
      </x:c>
      <x:c r="Q222" s="9"/>
      <x:c r="R222" s="12" t="str">
        <x:f>IF(A222="","",IF(C222="","OTP manquant",IF(COUNTIFS($A$6:$A$505,A222,$C$6:$C$505,C222)&gt;1,"Doublon OTP","")))</x:f>
      </x:c>
    </x:row>
    <x:row r="223" ht="23" customHeight="1">
      <x:c r="A223" s="9"/>
      <x:c r="B223" s="9"/>
      <x:c r="C223" s="9"/>
      <x:c r="D223" s="9"/>
      <x:c r="E223" s="9"/>
      <x:c r="F223" s="11"/>
      <x:c r="G223" s="9"/>
      <x:c r="H223" s="9"/>
      <x:c r="I223" s="9"/>
      <x:c r="J223" s="9"/>
      <x:c r="K223" s="9"/>
      <x:c r="L223" s="9"/>
      <x:c r="M223" s="9"/>
      <x:c r="N223" s="12" t="str">
        <x:f>IF(A223="","",IF(ISNUMBER(F223),F223-'Tableau de bord'!$F$5,""))</x:f>
      </x:c>
      <x:c r="O223" s="12" t="str">
        <x:f>IF(A223="","",IF(ISNUMBER(F223),IF(N223&lt;0,"Expiré",IF(N223&lt;='Paramètres'!$E$6,"À renouveler","À jour")),"À compléter"))</x:f>
      </x:c>
      <x:c r="P223" s="12" t="str">
        <x:f>IF(A223="","",IF(AND(ISNUMBER(F223),F223&gt;'Tableau de bord'!$F$5,G223="Oui",H223="Oui",I223="Oui",J223="Oui",K223="Oui"),1,0))</x:f>
      </x:c>
      <x:c r="Q223" s="9"/>
      <x:c r="R223" s="12" t="str">
        <x:f>IF(A223="","",IF(C223="","OTP manquant",IF(COUNTIFS($A$6:$A$505,A223,$C$6:$C$505,C223)&gt;1,"Doublon OTP","")))</x:f>
      </x:c>
    </x:row>
    <x:row r="224" ht="23" customHeight="1">
      <x:c r="A224" s="9"/>
      <x:c r="B224" s="9"/>
      <x:c r="C224" s="9"/>
      <x:c r="D224" s="9"/>
      <x:c r="E224" s="9"/>
      <x:c r="F224" s="11"/>
      <x:c r="G224" s="9"/>
      <x:c r="H224" s="9"/>
      <x:c r="I224" s="9"/>
      <x:c r="J224" s="9"/>
      <x:c r="K224" s="9"/>
      <x:c r="L224" s="9"/>
      <x:c r="M224" s="9"/>
      <x:c r="N224" s="12" t="str">
        <x:f>IF(A224="","",IF(ISNUMBER(F224),F224-'Tableau de bord'!$F$5,""))</x:f>
      </x:c>
      <x:c r="O224" s="12" t="str">
        <x:f>IF(A224="","",IF(ISNUMBER(F224),IF(N224&lt;0,"Expiré",IF(N224&lt;='Paramètres'!$E$6,"À renouveler","À jour")),"À compléter"))</x:f>
      </x:c>
      <x:c r="P224" s="12" t="str">
        <x:f>IF(A224="","",IF(AND(ISNUMBER(F224),F224&gt;'Tableau de bord'!$F$5,G224="Oui",H224="Oui",I224="Oui",J224="Oui",K224="Oui"),1,0))</x:f>
      </x:c>
      <x:c r="Q224" s="9"/>
      <x:c r="R224" s="12" t="str">
        <x:f>IF(A224="","",IF(C224="","OTP manquant",IF(COUNTIFS($A$6:$A$505,A224,$C$6:$C$505,C224)&gt;1,"Doublon OTP","")))</x:f>
      </x:c>
    </x:row>
    <x:row r="225" ht="23" customHeight="1">
      <x:c r="A225" s="9"/>
      <x:c r="B225" s="9"/>
      <x:c r="C225" s="9"/>
      <x:c r="D225" s="9"/>
      <x:c r="E225" s="9"/>
      <x:c r="F225" s="11"/>
      <x:c r="G225" s="9"/>
      <x:c r="H225" s="9"/>
      <x:c r="I225" s="9"/>
      <x:c r="J225" s="9"/>
      <x:c r="K225" s="9"/>
      <x:c r="L225" s="9"/>
      <x:c r="M225" s="9"/>
      <x:c r="N225" s="12" t="str">
        <x:f>IF(A225="","",IF(ISNUMBER(F225),F225-'Tableau de bord'!$F$5,""))</x:f>
      </x:c>
      <x:c r="O225" s="12" t="str">
        <x:f>IF(A225="","",IF(ISNUMBER(F225),IF(N225&lt;0,"Expiré",IF(N225&lt;='Paramètres'!$E$6,"À renouveler","À jour")),"À compléter"))</x:f>
      </x:c>
      <x:c r="P225" s="12" t="str">
        <x:f>IF(A225="","",IF(AND(ISNUMBER(F225),F225&gt;'Tableau de bord'!$F$5,G225="Oui",H225="Oui",I225="Oui",J225="Oui",K225="Oui"),1,0))</x:f>
      </x:c>
      <x:c r="Q225" s="9"/>
      <x:c r="R225" s="12" t="str">
        <x:f>IF(A225="","",IF(C225="","OTP manquant",IF(COUNTIFS($A$6:$A$505,A225,$C$6:$C$505,C225)&gt;1,"Doublon OTP","")))</x:f>
      </x:c>
    </x:row>
    <x:row r="226" ht="23" customHeight="1">
      <x:c r="A226" s="9"/>
      <x:c r="B226" s="9"/>
      <x:c r="C226" s="9"/>
      <x:c r="D226" s="9"/>
      <x:c r="E226" s="9"/>
      <x:c r="F226" s="11"/>
      <x:c r="G226" s="9"/>
      <x:c r="H226" s="9"/>
      <x:c r="I226" s="9"/>
      <x:c r="J226" s="9"/>
      <x:c r="K226" s="9"/>
      <x:c r="L226" s="9"/>
      <x:c r="M226" s="9"/>
      <x:c r="N226" s="12" t="str">
        <x:f>IF(A226="","",IF(ISNUMBER(F226),F226-'Tableau de bord'!$F$5,""))</x:f>
      </x:c>
      <x:c r="O226" s="12" t="str">
        <x:f>IF(A226="","",IF(ISNUMBER(F226),IF(N226&lt;0,"Expiré",IF(N226&lt;='Paramètres'!$E$6,"À renouveler","À jour")),"À compléter"))</x:f>
      </x:c>
      <x:c r="P226" s="12" t="str">
        <x:f>IF(A226="","",IF(AND(ISNUMBER(F226),F226&gt;'Tableau de bord'!$F$5,G226="Oui",H226="Oui",I226="Oui",J226="Oui",K226="Oui"),1,0))</x:f>
      </x:c>
      <x:c r="Q226" s="9"/>
      <x:c r="R226" s="12" t="str">
        <x:f>IF(A226="","",IF(C226="","OTP manquant",IF(COUNTIFS($A$6:$A$505,A226,$C$6:$C$505,C226)&gt;1,"Doublon OTP","")))</x:f>
      </x:c>
    </x:row>
    <x:row r="227" ht="23" customHeight="1">
      <x:c r="A227" s="9"/>
      <x:c r="B227" s="9"/>
      <x:c r="C227" s="9"/>
      <x:c r="D227" s="9"/>
      <x:c r="E227" s="9"/>
      <x:c r="F227" s="11"/>
      <x:c r="G227" s="9"/>
      <x:c r="H227" s="9"/>
      <x:c r="I227" s="9"/>
      <x:c r="J227" s="9"/>
      <x:c r="K227" s="9"/>
      <x:c r="L227" s="9"/>
      <x:c r="M227" s="9"/>
      <x:c r="N227" s="12" t="str">
        <x:f>IF(A227="","",IF(ISNUMBER(F227),F227-'Tableau de bord'!$F$5,""))</x:f>
      </x:c>
      <x:c r="O227" s="12" t="str">
        <x:f>IF(A227="","",IF(ISNUMBER(F227),IF(N227&lt;0,"Expiré",IF(N227&lt;='Paramètres'!$E$6,"À renouveler","À jour")),"À compléter"))</x:f>
      </x:c>
      <x:c r="P227" s="12" t="str">
        <x:f>IF(A227="","",IF(AND(ISNUMBER(F227),F227&gt;'Tableau de bord'!$F$5,G227="Oui",H227="Oui",I227="Oui",J227="Oui",K227="Oui"),1,0))</x:f>
      </x:c>
      <x:c r="Q227" s="9"/>
      <x:c r="R227" s="12" t="str">
        <x:f>IF(A227="","",IF(C227="","OTP manquant",IF(COUNTIFS($A$6:$A$505,A227,$C$6:$C$505,C227)&gt;1,"Doublon OTP","")))</x:f>
      </x:c>
    </x:row>
    <x:row r="228" ht="23" customHeight="1">
      <x:c r="A228" s="9"/>
      <x:c r="B228" s="9"/>
      <x:c r="C228" s="9"/>
      <x:c r="D228" s="9"/>
      <x:c r="E228" s="9"/>
      <x:c r="F228" s="11"/>
      <x:c r="G228" s="9"/>
      <x:c r="H228" s="9"/>
      <x:c r="I228" s="9"/>
      <x:c r="J228" s="9"/>
      <x:c r="K228" s="9"/>
      <x:c r="L228" s="9"/>
      <x:c r="M228" s="9"/>
      <x:c r="N228" s="12" t="str">
        <x:f>IF(A228="","",IF(ISNUMBER(F228),F228-'Tableau de bord'!$F$5,""))</x:f>
      </x:c>
      <x:c r="O228" s="12" t="str">
        <x:f>IF(A228="","",IF(ISNUMBER(F228),IF(N228&lt;0,"Expiré",IF(N228&lt;='Paramètres'!$E$6,"À renouveler","À jour")),"À compléter"))</x:f>
      </x:c>
      <x:c r="P228" s="12" t="str">
        <x:f>IF(A228="","",IF(AND(ISNUMBER(F228),F228&gt;'Tableau de bord'!$F$5,G228="Oui",H228="Oui",I228="Oui",J228="Oui",K228="Oui"),1,0))</x:f>
      </x:c>
      <x:c r="Q228" s="9"/>
      <x:c r="R228" s="12" t="str">
        <x:f>IF(A228="","",IF(C228="","OTP manquant",IF(COUNTIFS($A$6:$A$505,A228,$C$6:$C$505,C228)&gt;1,"Doublon OTP","")))</x:f>
      </x:c>
    </x:row>
    <x:row r="229" ht="23" customHeight="1">
      <x:c r="A229" s="9"/>
      <x:c r="B229" s="9"/>
      <x:c r="C229" s="9"/>
      <x:c r="D229" s="9"/>
      <x:c r="E229" s="9"/>
      <x:c r="F229" s="11"/>
      <x:c r="G229" s="9"/>
      <x:c r="H229" s="9"/>
      <x:c r="I229" s="9"/>
      <x:c r="J229" s="9"/>
      <x:c r="K229" s="9"/>
      <x:c r="L229" s="9"/>
      <x:c r="M229" s="9"/>
      <x:c r="N229" s="12" t="str">
        <x:f>IF(A229="","",IF(ISNUMBER(F229),F229-'Tableau de bord'!$F$5,""))</x:f>
      </x:c>
      <x:c r="O229" s="12" t="str">
        <x:f>IF(A229="","",IF(ISNUMBER(F229),IF(N229&lt;0,"Expiré",IF(N229&lt;='Paramètres'!$E$6,"À renouveler","À jour")),"À compléter"))</x:f>
      </x:c>
      <x:c r="P229" s="12" t="str">
        <x:f>IF(A229="","",IF(AND(ISNUMBER(F229),F229&gt;'Tableau de bord'!$F$5,G229="Oui",H229="Oui",I229="Oui",J229="Oui",K229="Oui"),1,0))</x:f>
      </x:c>
      <x:c r="Q229" s="9"/>
      <x:c r="R229" s="12" t="str">
        <x:f>IF(A229="","",IF(C229="","OTP manquant",IF(COUNTIFS($A$6:$A$505,A229,$C$6:$C$505,C229)&gt;1,"Doublon OTP","")))</x:f>
      </x:c>
    </x:row>
    <x:row r="230" ht="23" customHeight="1">
      <x:c r="A230" s="9"/>
      <x:c r="B230" s="9"/>
      <x:c r="C230" s="9"/>
      <x:c r="D230" s="9"/>
      <x:c r="E230" s="9"/>
      <x:c r="F230" s="11"/>
      <x:c r="G230" s="9"/>
      <x:c r="H230" s="9"/>
      <x:c r="I230" s="9"/>
      <x:c r="J230" s="9"/>
      <x:c r="K230" s="9"/>
      <x:c r="L230" s="9"/>
      <x:c r="M230" s="9"/>
      <x:c r="N230" s="12" t="str">
        <x:f>IF(A230="","",IF(ISNUMBER(F230),F230-'Tableau de bord'!$F$5,""))</x:f>
      </x:c>
      <x:c r="O230" s="12" t="str">
        <x:f>IF(A230="","",IF(ISNUMBER(F230),IF(N230&lt;0,"Expiré",IF(N230&lt;='Paramètres'!$E$6,"À renouveler","À jour")),"À compléter"))</x:f>
      </x:c>
      <x:c r="P230" s="12" t="str">
        <x:f>IF(A230="","",IF(AND(ISNUMBER(F230),F230&gt;'Tableau de bord'!$F$5,G230="Oui",H230="Oui",I230="Oui",J230="Oui",K230="Oui"),1,0))</x:f>
      </x:c>
      <x:c r="Q230" s="9"/>
      <x:c r="R230" s="12" t="str">
        <x:f>IF(A230="","",IF(C230="","OTP manquant",IF(COUNTIFS($A$6:$A$505,A230,$C$6:$C$505,C230)&gt;1,"Doublon OTP","")))</x:f>
      </x:c>
    </x:row>
    <x:row r="231" ht="23" customHeight="1">
      <x:c r="A231" s="9"/>
      <x:c r="B231" s="9"/>
      <x:c r="C231" s="9"/>
      <x:c r="D231" s="9"/>
      <x:c r="E231" s="9"/>
      <x:c r="F231" s="11"/>
      <x:c r="G231" s="9"/>
      <x:c r="H231" s="9"/>
      <x:c r="I231" s="9"/>
      <x:c r="J231" s="9"/>
      <x:c r="K231" s="9"/>
      <x:c r="L231" s="9"/>
      <x:c r="M231" s="9"/>
      <x:c r="N231" s="12" t="str">
        <x:f>IF(A231="","",IF(ISNUMBER(F231),F231-'Tableau de bord'!$F$5,""))</x:f>
      </x:c>
      <x:c r="O231" s="12" t="str">
        <x:f>IF(A231="","",IF(ISNUMBER(F231),IF(N231&lt;0,"Expiré",IF(N231&lt;='Paramètres'!$E$6,"À renouveler","À jour")),"À compléter"))</x:f>
      </x:c>
      <x:c r="P231" s="12" t="str">
        <x:f>IF(A231="","",IF(AND(ISNUMBER(F231),F231&gt;'Tableau de bord'!$F$5,G231="Oui",H231="Oui",I231="Oui",J231="Oui",K231="Oui"),1,0))</x:f>
      </x:c>
      <x:c r="Q231" s="9"/>
      <x:c r="R231" s="12" t="str">
        <x:f>IF(A231="","",IF(C231="","OTP manquant",IF(COUNTIFS($A$6:$A$505,A231,$C$6:$C$505,C231)&gt;1,"Doublon OTP","")))</x:f>
      </x:c>
    </x:row>
    <x:row r="232" ht="23" customHeight="1">
      <x:c r="A232" s="9"/>
      <x:c r="B232" s="9"/>
      <x:c r="C232" s="9"/>
      <x:c r="D232" s="9"/>
      <x:c r="E232" s="9"/>
      <x:c r="F232" s="11"/>
      <x:c r="G232" s="9"/>
      <x:c r="H232" s="9"/>
      <x:c r="I232" s="9"/>
      <x:c r="J232" s="9"/>
      <x:c r="K232" s="9"/>
      <x:c r="L232" s="9"/>
      <x:c r="M232" s="9"/>
      <x:c r="N232" s="12" t="str">
        <x:f>IF(A232="","",IF(ISNUMBER(F232),F232-'Tableau de bord'!$F$5,""))</x:f>
      </x:c>
      <x:c r="O232" s="12" t="str">
        <x:f>IF(A232="","",IF(ISNUMBER(F232),IF(N232&lt;0,"Expiré",IF(N232&lt;='Paramètres'!$E$6,"À renouveler","À jour")),"À compléter"))</x:f>
      </x:c>
      <x:c r="P232" s="12" t="str">
        <x:f>IF(A232="","",IF(AND(ISNUMBER(F232),F232&gt;'Tableau de bord'!$F$5,G232="Oui",H232="Oui",I232="Oui",J232="Oui",K232="Oui"),1,0))</x:f>
      </x:c>
      <x:c r="Q232" s="9"/>
      <x:c r="R232" s="12" t="str">
        <x:f>IF(A232="","",IF(C232="","OTP manquant",IF(COUNTIFS($A$6:$A$505,A232,$C$6:$C$505,C232)&gt;1,"Doublon OTP","")))</x:f>
      </x:c>
    </x:row>
    <x:row r="233" ht="23" customHeight="1">
      <x:c r="A233" s="9"/>
      <x:c r="B233" s="9"/>
      <x:c r="C233" s="9"/>
      <x:c r="D233" s="9"/>
      <x:c r="E233" s="9"/>
      <x:c r="F233" s="11"/>
      <x:c r="G233" s="9"/>
      <x:c r="H233" s="9"/>
      <x:c r="I233" s="9"/>
      <x:c r="J233" s="9"/>
      <x:c r="K233" s="9"/>
      <x:c r="L233" s="9"/>
      <x:c r="M233" s="9"/>
      <x:c r="N233" s="12" t="str">
        <x:f>IF(A233="","",IF(ISNUMBER(F233),F233-'Tableau de bord'!$F$5,""))</x:f>
      </x:c>
      <x:c r="O233" s="12" t="str">
        <x:f>IF(A233="","",IF(ISNUMBER(F233),IF(N233&lt;0,"Expiré",IF(N233&lt;='Paramètres'!$E$6,"À renouveler","À jour")),"À compléter"))</x:f>
      </x:c>
      <x:c r="P233" s="12" t="str">
        <x:f>IF(A233="","",IF(AND(ISNUMBER(F233),F233&gt;'Tableau de bord'!$F$5,G233="Oui",H233="Oui",I233="Oui",J233="Oui",K233="Oui"),1,0))</x:f>
      </x:c>
      <x:c r="Q233" s="9"/>
      <x:c r="R233" s="12" t="str">
        <x:f>IF(A233="","",IF(C233="","OTP manquant",IF(COUNTIFS($A$6:$A$505,A233,$C$6:$C$505,C233)&gt;1,"Doublon OTP","")))</x:f>
      </x:c>
    </x:row>
    <x:row r="234" ht="23" customHeight="1">
      <x:c r="A234" s="9"/>
      <x:c r="B234" s="9"/>
      <x:c r="C234" s="9"/>
      <x:c r="D234" s="9"/>
      <x:c r="E234" s="9"/>
      <x:c r="F234" s="11"/>
      <x:c r="G234" s="9"/>
      <x:c r="H234" s="9"/>
      <x:c r="I234" s="9"/>
      <x:c r="J234" s="9"/>
      <x:c r="K234" s="9"/>
      <x:c r="L234" s="9"/>
      <x:c r="M234" s="9"/>
      <x:c r="N234" s="12" t="str">
        <x:f>IF(A234="","",IF(ISNUMBER(F234),F234-'Tableau de bord'!$F$5,""))</x:f>
      </x:c>
      <x:c r="O234" s="12" t="str">
        <x:f>IF(A234="","",IF(ISNUMBER(F234),IF(N234&lt;0,"Expiré",IF(N234&lt;='Paramètres'!$E$6,"À renouveler","À jour")),"À compléter"))</x:f>
      </x:c>
      <x:c r="P234" s="12" t="str">
        <x:f>IF(A234="","",IF(AND(ISNUMBER(F234),F234&gt;'Tableau de bord'!$F$5,G234="Oui",H234="Oui",I234="Oui",J234="Oui",K234="Oui"),1,0))</x:f>
      </x:c>
      <x:c r="Q234" s="9"/>
      <x:c r="R234" s="12" t="str">
        <x:f>IF(A234="","",IF(C234="","OTP manquant",IF(COUNTIFS($A$6:$A$505,A234,$C$6:$C$505,C234)&gt;1,"Doublon OTP","")))</x:f>
      </x:c>
    </x:row>
    <x:row r="235" ht="23" customHeight="1">
      <x:c r="A235" s="9"/>
      <x:c r="B235" s="9"/>
      <x:c r="C235" s="9"/>
      <x:c r="D235" s="9"/>
      <x:c r="E235" s="9"/>
      <x:c r="F235" s="11"/>
      <x:c r="G235" s="9"/>
      <x:c r="H235" s="9"/>
      <x:c r="I235" s="9"/>
      <x:c r="J235" s="9"/>
      <x:c r="K235" s="9"/>
      <x:c r="L235" s="9"/>
      <x:c r="M235" s="9"/>
      <x:c r="N235" s="12" t="str">
        <x:f>IF(A235="","",IF(ISNUMBER(F235),F235-'Tableau de bord'!$F$5,""))</x:f>
      </x:c>
      <x:c r="O235" s="12" t="str">
        <x:f>IF(A235="","",IF(ISNUMBER(F235),IF(N235&lt;0,"Expiré",IF(N235&lt;='Paramètres'!$E$6,"À renouveler","À jour")),"À compléter"))</x:f>
      </x:c>
      <x:c r="P235" s="12" t="str">
        <x:f>IF(A235="","",IF(AND(ISNUMBER(F235),F235&gt;'Tableau de bord'!$F$5,G235="Oui",H235="Oui",I235="Oui",J235="Oui",K235="Oui"),1,0))</x:f>
      </x:c>
      <x:c r="Q235" s="9"/>
      <x:c r="R235" s="12" t="str">
        <x:f>IF(A235="","",IF(C235="","OTP manquant",IF(COUNTIFS($A$6:$A$505,A235,$C$6:$C$505,C235)&gt;1,"Doublon OTP","")))</x:f>
      </x:c>
    </x:row>
    <x:row r="236" ht="23" customHeight="1">
      <x:c r="A236" s="9"/>
      <x:c r="B236" s="9"/>
      <x:c r="C236" s="9"/>
      <x:c r="D236" s="9"/>
      <x:c r="E236" s="9"/>
      <x:c r="F236" s="11"/>
      <x:c r="G236" s="9"/>
      <x:c r="H236" s="9"/>
      <x:c r="I236" s="9"/>
      <x:c r="J236" s="9"/>
      <x:c r="K236" s="9"/>
      <x:c r="L236" s="9"/>
      <x:c r="M236" s="9"/>
      <x:c r="N236" s="12" t="str">
        <x:f>IF(A236="","",IF(ISNUMBER(F236),F236-'Tableau de bord'!$F$5,""))</x:f>
      </x:c>
      <x:c r="O236" s="12" t="str">
        <x:f>IF(A236="","",IF(ISNUMBER(F236),IF(N236&lt;0,"Expiré",IF(N236&lt;='Paramètres'!$E$6,"À renouveler","À jour")),"À compléter"))</x:f>
      </x:c>
      <x:c r="P236" s="12" t="str">
        <x:f>IF(A236="","",IF(AND(ISNUMBER(F236),F236&gt;'Tableau de bord'!$F$5,G236="Oui",H236="Oui",I236="Oui",J236="Oui",K236="Oui"),1,0))</x:f>
      </x:c>
      <x:c r="Q236" s="9"/>
      <x:c r="R236" s="12" t="str">
        <x:f>IF(A236="","",IF(C236="","OTP manquant",IF(COUNTIFS($A$6:$A$505,A236,$C$6:$C$505,C236)&gt;1,"Doublon OTP","")))</x:f>
      </x:c>
    </x:row>
    <x:row r="237" ht="23" customHeight="1">
      <x:c r="A237" s="9"/>
      <x:c r="B237" s="9"/>
      <x:c r="C237" s="9"/>
      <x:c r="D237" s="9"/>
      <x:c r="E237" s="9"/>
      <x:c r="F237" s="11"/>
      <x:c r="G237" s="9"/>
      <x:c r="H237" s="9"/>
      <x:c r="I237" s="9"/>
      <x:c r="J237" s="9"/>
      <x:c r="K237" s="9"/>
      <x:c r="L237" s="9"/>
      <x:c r="M237" s="9"/>
      <x:c r="N237" s="12" t="str">
        <x:f>IF(A237="","",IF(ISNUMBER(F237),F237-'Tableau de bord'!$F$5,""))</x:f>
      </x:c>
      <x:c r="O237" s="12" t="str">
        <x:f>IF(A237="","",IF(ISNUMBER(F237),IF(N237&lt;0,"Expiré",IF(N237&lt;='Paramètres'!$E$6,"À renouveler","À jour")),"À compléter"))</x:f>
      </x:c>
      <x:c r="P237" s="12" t="str">
        <x:f>IF(A237="","",IF(AND(ISNUMBER(F237),F237&gt;'Tableau de bord'!$F$5,G237="Oui",H237="Oui",I237="Oui",J237="Oui",K237="Oui"),1,0))</x:f>
      </x:c>
      <x:c r="Q237" s="9"/>
      <x:c r="R237" s="12" t="str">
        <x:f>IF(A237="","",IF(C237="","OTP manquant",IF(COUNTIFS($A$6:$A$505,A237,$C$6:$C$505,C237)&gt;1,"Doublon OTP","")))</x:f>
      </x:c>
    </x:row>
    <x:row r="238" ht="23" customHeight="1">
      <x:c r="A238" s="9"/>
      <x:c r="B238" s="9"/>
      <x:c r="C238" s="9"/>
      <x:c r="D238" s="9"/>
      <x:c r="E238" s="9"/>
      <x:c r="F238" s="11"/>
      <x:c r="G238" s="9"/>
      <x:c r="H238" s="9"/>
      <x:c r="I238" s="9"/>
      <x:c r="J238" s="9"/>
      <x:c r="K238" s="9"/>
      <x:c r="L238" s="9"/>
      <x:c r="M238" s="9"/>
      <x:c r="N238" s="12" t="str">
        <x:f>IF(A238="","",IF(ISNUMBER(F238),F238-'Tableau de bord'!$F$5,""))</x:f>
      </x:c>
      <x:c r="O238" s="12" t="str">
        <x:f>IF(A238="","",IF(ISNUMBER(F238),IF(N238&lt;0,"Expiré",IF(N238&lt;='Paramètres'!$E$6,"À renouveler","À jour")),"À compléter"))</x:f>
      </x:c>
      <x:c r="P238" s="12" t="str">
        <x:f>IF(A238="","",IF(AND(ISNUMBER(F238),F238&gt;'Tableau de bord'!$F$5,G238="Oui",H238="Oui",I238="Oui",J238="Oui",K238="Oui"),1,0))</x:f>
      </x:c>
      <x:c r="Q238" s="9"/>
      <x:c r="R238" s="12" t="str">
        <x:f>IF(A238="","",IF(C238="","OTP manquant",IF(COUNTIFS($A$6:$A$505,A238,$C$6:$C$505,C238)&gt;1,"Doublon OTP","")))</x:f>
      </x:c>
    </x:row>
    <x:row r="239" ht="23" customHeight="1">
      <x:c r="A239" s="9"/>
      <x:c r="B239" s="9"/>
      <x:c r="C239" s="9"/>
      <x:c r="D239" s="9"/>
      <x:c r="E239" s="9"/>
      <x:c r="F239" s="11"/>
      <x:c r="G239" s="9"/>
      <x:c r="H239" s="9"/>
      <x:c r="I239" s="9"/>
      <x:c r="J239" s="9"/>
      <x:c r="K239" s="9"/>
      <x:c r="L239" s="9"/>
      <x:c r="M239" s="9"/>
      <x:c r="N239" s="12" t="str">
        <x:f>IF(A239="","",IF(ISNUMBER(F239),F239-'Tableau de bord'!$F$5,""))</x:f>
      </x:c>
      <x:c r="O239" s="12" t="str">
        <x:f>IF(A239="","",IF(ISNUMBER(F239),IF(N239&lt;0,"Expiré",IF(N239&lt;='Paramètres'!$E$6,"À renouveler","À jour")),"À compléter"))</x:f>
      </x:c>
      <x:c r="P239" s="12" t="str">
        <x:f>IF(A239="","",IF(AND(ISNUMBER(F239),F239&gt;'Tableau de bord'!$F$5,G239="Oui",H239="Oui",I239="Oui",J239="Oui",K239="Oui"),1,0))</x:f>
      </x:c>
      <x:c r="Q239" s="9"/>
      <x:c r="R239" s="12" t="str">
        <x:f>IF(A239="","",IF(C239="","OTP manquant",IF(COUNTIFS($A$6:$A$505,A239,$C$6:$C$505,C239)&gt;1,"Doublon OTP","")))</x:f>
      </x:c>
    </x:row>
    <x:row r="240" ht="23" customHeight="1">
      <x:c r="A240" s="9"/>
      <x:c r="B240" s="9"/>
      <x:c r="C240" s="9"/>
      <x:c r="D240" s="9"/>
      <x:c r="E240" s="9"/>
      <x:c r="F240" s="11"/>
      <x:c r="G240" s="9"/>
      <x:c r="H240" s="9"/>
      <x:c r="I240" s="9"/>
      <x:c r="J240" s="9"/>
      <x:c r="K240" s="9"/>
      <x:c r="L240" s="9"/>
      <x:c r="M240" s="9"/>
      <x:c r="N240" s="12" t="str">
        <x:f>IF(A240="","",IF(ISNUMBER(F240),F240-'Tableau de bord'!$F$5,""))</x:f>
      </x:c>
      <x:c r="O240" s="12" t="str">
        <x:f>IF(A240="","",IF(ISNUMBER(F240),IF(N240&lt;0,"Expiré",IF(N240&lt;='Paramètres'!$E$6,"À renouveler","À jour")),"À compléter"))</x:f>
      </x:c>
      <x:c r="P240" s="12" t="str">
        <x:f>IF(A240="","",IF(AND(ISNUMBER(F240),F240&gt;'Tableau de bord'!$F$5,G240="Oui",H240="Oui",I240="Oui",J240="Oui",K240="Oui"),1,0))</x:f>
      </x:c>
      <x:c r="Q240" s="9"/>
      <x:c r="R240" s="12" t="str">
        <x:f>IF(A240="","",IF(C240="","OTP manquant",IF(COUNTIFS($A$6:$A$505,A240,$C$6:$C$505,C240)&gt;1,"Doublon OTP","")))</x:f>
      </x:c>
    </x:row>
    <x:row r="241" ht="23" customHeight="1">
      <x:c r="A241" s="9"/>
      <x:c r="B241" s="9"/>
      <x:c r="C241" s="9"/>
      <x:c r="D241" s="9"/>
      <x:c r="E241" s="9"/>
      <x:c r="F241" s="11"/>
      <x:c r="G241" s="9"/>
      <x:c r="H241" s="9"/>
      <x:c r="I241" s="9"/>
      <x:c r="J241" s="9"/>
      <x:c r="K241" s="9"/>
      <x:c r="L241" s="9"/>
      <x:c r="M241" s="9"/>
      <x:c r="N241" s="12" t="str">
        <x:f>IF(A241="","",IF(ISNUMBER(F241),F241-'Tableau de bord'!$F$5,""))</x:f>
      </x:c>
      <x:c r="O241" s="12" t="str">
        <x:f>IF(A241="","",IF(ISNUMBER(F241),IF(N241&lt;0,"Expiré",IF(N241&lt;='Paramètres'!$E$6,"À renouveler","À jour")),"À compléter"))</x:f>
      </x:c>
      <x:c r="P241" s="12" t="str">
        <x:f>IF(A241="","",IF(AND(ISNUMBER(F241),F241&gt;'Tableau de bord'!$F$5,G241="Oui",H241="Oui",I241="Oui",J241="Oui",K241="Oui"),1,0))</x:f>
      </x:c>
      <x:c r="Q241" s="9"/>
      <x:c r="R241" s="12" t="str">
        <x:f>IF(A241="","",IF(C241="","OTP manquant",IF(COUNTIFS($A$6:$A$505,A241,$C$6:$C$505,C241)&gt;1,"Doublon OTP","")))</x:f>
      </x:c>
    </x:row>
    <x:row r="242" ht="23" customHeight="1">
      <x:c r="A242" s="9"/>
      <x:c r="B242" s="9"/>
      <x:c r="C242" s="9"/>
      <x:c r="D242" s="9"/>
      <x:c r="E242" s="9"/>
      <x:c r="F242" s="11"/>
      <x:c r="G242" s="9"/>
      <x:c r="H242" s="9"/>
      <x:c r="I242" s="9"/>
      <x:c r="J242" s="9"/>
      <x:c r="K242" s="9"/>
      <x:c r="L242" s="9"/>
      <x:c r="M242" s="9"/>
      <x:c r="N242" s="12" t="str">
        <x:f>IF(A242="","",IF(ISNUMBER(F242),F242-'Tableau de bord'!$F$5,""))</x:f>
      </x:c>
      <x:c r="O242" s="12" t="str">
        <x:f>IF(A242="","",IF(ISNUMBER(F242),IF(N242&lt;0,"Expiré",IF(N242&lt;='Paramètres'!$E$6,"À renouveler","À jour")),"À compléter"))</x:f>
      </x:c>
      <x:c r="P242" s="12" t="str">
        <x:f>IF(A242="","",IF(AND(ISNUMBER(F242),F242&gt;'Tableau de bord'!$F$5,G242="Oui",H242="Oui",I242="Oui",J242="Oui",K242="Oui"),1,0))</x:f>
      </x:c>
      <x:c r="Q242" s="9"/>
      <x:c r="R242" s="12" t="str">
        <x:f>IF(A242="","",IF(C242="","OTP manquant",IF(COUNTIFS($A$6:$A$505,A242,$C$6:$C$505,C242)&gt;1,"Doublon OTP","")))</x:f>
      </x:c>
    </x:row>
    <x:row r="243" ht="23" customHeight="1">
      <x:c r="A243" s="9"/>
      <x:c r="B243" s="9"/>
      <x:c r="C243" s="9"/>
      <x:c r="D243" s="9"/>
      <x:c r="E243" s="9"/>
      <x:c r="F243" s="11"/>
      <x:c r="G243" s="9"/>
      <x:c r="H243" s="9"/>
      <x:c r="I243" s="9"/>
      <x:c r="J243" s="9"/>
      <x:c r="K243" s="9"/>
      <x:c r="L243" s="9"/>
      <x:c r="M243" s="9"/>
      <x:c r="N243" s="12" t="str">
        <x:f>IF(A243="","",IF(ISNUMBER(F243),F243-'Tableau de bord'!$F$5,""))</x:f>
      </x:c>
      <x:c r="O243" s="12" t="str">
        <x:f>IF(A243="","",IF(ISNUMBER(F243),IF(N243&lt;0,"Expiré",IF(N243&lt;='Paramètres'!$E$6,"À renouveler","À jour")),"À compléter"))</x:f>
      </x:c>
      <x:c r="P243" s="12" t="str">
        <x:f>IF(A243="","",IF(AND(ISNUMBER(F243),F243&gt;'Tableau de bord'!$F$5,G243="Oui",H243="Oui",I243="Oui",J243="Oui",K243="Oui"),1,0))</x:f>
      </x:c>
      <x:c r="Q243" s="9"/>
      <x:c r="R243" s="12" t="str">
        <x:f>IF(A243="","",IF(C243="","OTP manquant",IF(COUNTIFS($A$6:$A$505,A243,$C$6:$C$505,C243)&gt;1,"Doublon OTP","")))</x:f>
      </x:c>
    </x:row>
    <x:row r="244" ht="23" customHeight="1">
      <x:c r="A244" s="9"/>
      <x:c r="B244" s="9"/>
      <x:c r="C244" s="9"/>
      <x:c r="D244" s="9"/>
      <x:c r="E244" s="9"/>
      <x:c r="F244" s="11"/>
      <x:c r="G244" s="9"/>
      <x:c r="H244" s="9"/>
      <x:c r="I244" s="9"/>
      <x:c r="J244" s="9"/>
      <x:c r="K244" s="9"/>
      <x:c r="L244" s="9"/>
      <x:c r="M244" s="9"/>
      <x:c r="N244" s="12" t="str">
        <x:f>IF(A244="","",IF(ISNUMBER(F244),F244-'Tableau de bord'!$F$5,""))</x:f>
      </x:c>
      <x:c r="O244" s="12" t="str">
        <x:f>IF(A244="","",IF(ISNUMBER(F244),IF(N244&lt;0,"Expiré",IF(N244&lt;='Paramètres'!$E$6,"À renouveler","À jour")),"À compléter"))</x:f>
      </x:c>
      <x:c r="P244" s="12" t="str">
        <x:f>IF(A244="","",IF(AND(ISNUMBER(F244),F244&gt;'Tableau de bord'!$F$5,G244="Oui",H244="Oui",I244="Oui",J244="Oui",K244="Oui"),1,0))</x:f>
      </x:c>
      <x:c r="Q244" s="9"/>
      <x:c r="R244" s="12" t="str">
        <x:f>IF(A244="","",IF(C244="","OTP manquant",IF(COUNTIFS($A$6:$A$505,A244,$C$6:$C$505,C244)&gt;1,"Doublon OTP","")))</x:f>
      </x:c>
    </x:row>
    <x:row r="245" ht="23" customHeight="1">
      <x:c r="A245" s="9"/>
      <x:c r="B245" s="9"/>
      <x:c r="C245" s="9"/>
      <x:c r="D245" s="9"/>
      <x:c r="E245" s="9"/>
      <x:c r="F245" s="11"/>
      <x:c r="G245" s="9"/>
      <x:c r="H245" s="9"/>
      <x:c r="I245" s="9"/>
      <x:c r="J245" s="9"/>
      <x:c r="K245" s="9"/>
      <x:c r="L245" s="9"/>
      <x:c r="M245" s="9"/>
      <x:c r="N245" s="12" t="str">
        <x:f>IF(A245="","",IF(ISNUMBER(F245),F245-'Tableau de bord'!$F$5,""))</x:f>
      </x:c>
      <x:c r="O245" s="12" t="str">
        <x:f>IF(A245="","",IF(ISNUMBER(F245),IF(N245&lt;0,"Expiré",IF(N245&lt;='Paramètres'!$E$6,"À renouveler","À jour")),"À compléter"))</x:f>
      </x:c>
      <x:c r="P245" s="12" t="str">
        <x:f>IF(A245="","",IF(AND(ISNUMBER(F245),F245&gt;'Tableau de bord'!$F$5,G245="Oui",H245="Oui",I245="Oui",J245="Oui",K245="Oui"),1,0))</x:f>
      </x:c>
      <x:c r="Q245" s="9"/>
      <x:c r="R245" s="12" t="str">
        <x:f>IF(A245="","",IF(C245="","OTP manquant",IF(COUNTIFS($A$6:$A$505,A245,$C$6:$C$505,C245)&gt;1,"Doublon OTP","")))</x:f>
      </x:c>
    </x:row>
    <x:row r="246" ht="23" customHeight="1">
      <x:c r="A246" s="9"/>
      <x:c r="B246" s="9"/>
      <x:c r="C246" s="9"/>
      <x:c r="D246" s="9"/>
      <x:c r="E246" s="9"/>
      <x:c r="F246" s="11"/>
      <x:c r="G246" s="9"/>
      <x:c r="H246" s="9"/>
      <x:c r="I246" s="9"/>
      <x:c r="J246" s="9"/>
      <x:c r="K246" s="9"/>
      <x:c r="L246" s="9"/>
      <x:c r="M246" s="9"/>
      <x:c r="N246" s="12" t="str">
        <x:f>IF(A246="","",IF(ISNUMBER(F246),F246-'Tableau de bord'!$F$5,""))</x:f>
      </x:c>
      <x:c r="O246" s="12" t="str">
        <x:f>IF(A246="","",IF(ISNUMBER(F246),IF(N246&lt;0,"Expiré",IF(N246&lt;='Paramètres'!$E$6,"À renouveler","À jour")),"À compléter"))</x:f>
      </x:c>
      <x:c r="P246" s="12" t="str">
        <x:f>IF(A246="","",IF(AND(ISNUMBER(F246),F246&gt;'Tableau de bord'!$F$5,G246="Oui",H246="Oui",I246="Oui",J246="Oui",K246="Oui"),1,0))</x:f>
      </x:c>
      <x:c r="Q246" s="9"/>
      <x:c r="R246" s="12" t="str">
        <x:f>IF(A246="","",IF(C246="","OTP manquant",IF(COUNTIFS($A$6:$A$505,A246,$C$6:$C$505,C246)&gt;1,"Doublon OTP","")))</x:f>
      </x:c>
    </x:row>
    <x:row r="247" ht="23" customHeight="1">
      <x:c r="A247" s="9"/>
      <x:c r="B247" s="9"/>
      <x:c r="C247" s="9"/>
      <x:c r="D247" s="9"/>
      <x:c r="E247" s="9"/>
      <x:c r="F247" s="11"/>
      <x:c r="G247" s="9"/>
      <x:c r="H247" s="9"/>
      <x:c r="I247" s="9"/>
      <x:c r="J247" s="9"/>
      <x:c r="K247" s="9"/>
      <x:c r="L247" s="9"/>
      <x:c r="M247" s="9"/>
      <x:c r="N247" s="12" t="str">
        <x:f>IF(A247="","",IF(ISNUMBER(F247),F247-'Tableau de bord'!$F$5,""))</x:f>
      </x:c>
      <x:c r="O247" s="12" t="str">
        <x:f>IF(A247="","",IF(ISNUMBER(F247),IF(N247&lt;0,"Expiré",IF(N247&lt;='Paramètres'!$E$6,"À renouveler","À jour")),"À compléter"))</x:f>
      </x:c>
      <x:c r="P247" s="12" t="str">
        <x:f>IF(A247="","",IF(AND(ISNUMBER(F247),F247&gt;'Tableau de bord'!$F$5,G247="Oui",H247="Oui",I247="Oui",J247="Oui",K247="Oui"),1,0))</x:f>
      </x:c>
      <x:c r="Q247" s="9"/>
      <x:c r="R247" s="12" t="str">
        <x:f>IF(A247="","",IF(C247="","OTP manquant",IF(COUNTIFS($A$6:$A$505,A247,$C$6:$C$505,C247)&gt;1,"Doublon OTP","")))</x:f>
      </x:c>
    </x:row>
    <x:row r="248" ht="23" customHeight="1">
      <x:c r="A248" s="9"/>
      <x:c r="B248" s="9"/>
      <x:c r="C248" s="9"/>
      <x:c r="D248" s="9"/>
      <x:c r="E248" s="9"/>
      <x:c r="F248" s="11"/>
      <x:c r="G248" s="9"/>
      <x:c r="H248" s="9"/>
      <x:c r="I248" s="9"/>
      <x:c r="J248" s="9"/>
      <x:c r="K248" s="9"/>
      <x:c r="L248" s="9"/>
      <x:c r="M248" s="9"/>
      <x:c r="N248" s="12" t="str">
        <x:f>IF(A248="","",IF(ISNUMBER(F248),F248-'Tableau de bord'!$F$5,""))</x:f>
      </x:c>
      <x:c r="O248" s="12" t="str">
        <x:f>IF(A248="","",IF(ISNUMBER(F248),IF(N248&lt;0,"Expiré",IF(N248&lt;='Paramètres'!$E$6,"À renouveler","À jour")),"À compléter"))</x:f>
      </x:c>
      <x:c r="P248" s="12" t="str">
        <x:f>IF(A248="","",IF(AND(ISNUMBER(F248),F248&gt;'Tableau de bord'!$F$5,G248="Oui",H248="Oui",I248="Oui",J248="Oui",K248="Oui"),1,0))</x:f>
      </x:c>
      <x:c r="Q248" s="9"/>
      <x:c r="R248" s="12" t="str">
        <x:f>IF(A248="","",IF(C248="","OTP manquant",IF(COUNTIFS($A$6:$A$505,A248,$C$6:$C$505,C248)&gt;1,"Doublon OTP","")))</x:f>
      </x:c>
    </x:row>
    <x:row r="249" ht="23" customHeight="1">
      <x:c r="A249" s="9"/>
      <x:c r="B249" s="9"/>
      <x:c r="C249" s="9"/>
      <x:c r="D249" s="9"/>
      <x:c r="E249" s="9"/>
      <x:c r="F249" s="11"/>
      <x:c r="G249" s="9"/>
      <x:c r="H249" s="9"/>
      <x:c r="I249" s="9"/>
      <x:c r="J249" s="9"/>
      <x:c r="K249" s="9"/>
      <x:c r="L249" s="9"/>
      <x:c r="M249" s="9"/>
      <x:c r="N249" s="12" t="str">
        <x:f>IF(A249="","",IF(ISNUMBER(F249),F249-'Tableau de bord'!$F$5,""))</x:f>
      </x:c>
      <x:c r="O249" s="12" t="str">
        <x:f>IF(A249="","",IF(ISNUMBER(F249),IF(N249&lt;0,"Expiré",IF(N249&lt;='Paramètres'!$E$6,"À renouveler","À jour")),"À compléter"))</x:f>
      </x:c>
      <x:c r="P249" s="12" t="str">
        <x:f>IF(A249="","",IF(AND(ISNUMBER(F249),F249&gt;'Tableau de bord'!$F$5,G249="Oui",H249="Oui",I249="Oui",J249="Oui",K249="Oui"),1,0))</x:f>
      </x:c>
      <x:c r="Q249" s="9"/>
      <x:c r="R249" s="12" t="str">
        <x:f>IF(A249="","",IF(C249="","OTP manquant",IF(COUNTIFS($A$6:$A$505,A249,$C$6:$C$505,C249)&gt;1,"Doublon OTP","")))</x:f>
      </x:c>
    </x:row>
    <x:row r="250" ht="23" customHeight="1">
      <x:c r="A250" s="9"/>
      <x:c r="B250" s="9"/>
      <x:c r="C250" s="9"/>
      <x:c r="D250" s="9"/>
      <x:c r="E250" s="9"/>
      <x:c r="F250" s="11"/>
      <x:c r="G250" s="9"/>
      <x:c r="H250" s="9"/>
      <x:c r="I250" s="9"/>
      <x:c r="J250" s="9"/>
      <x:c r="K250" s="9"/>
      <x:c r="L250" s="9"/>
      <x:c r="M250" s="9"/>
      <x:c r="N250" s="12" t="str">
        <x:f>IF(A250="","",IF(ISNUMBER(F250),F250-'Tableau de bord'!$F$5,""))</x:f>
      </x:c>
      <x:c r="O250" s="12" t="str">
        <x:f>IF(A250="","",IF(ISNUMBER(F250),IF(N250&lt;0,"Expiré",IF(N250&lt;='Paramètres'!$E$6,"À renouveler","À jour")),"À compléter"))</x:f>
      </x:c>
      <x:c r="P250" s="12" t="str">
        <x:f>IF(A250="","",IF(AND(ISNUMBER(F250),F250&gt;'Tableau de bord'!$F$5,G250="Oui",H250="Oui",I250="Oui",J250="Oui",K250="Oui"),1,0))</x:f>
      </x:c>
      <x:c r="Q250" s="9"/>
      <x:c r="R250" s="12" t="str">
        <x:f>IF(A250="","",IF(C250="","OTP manquant",IF(COUNTIFS($A$6:$A$505,A250,$C$6:$C$505,C250)&gt;1,"Doublon OTP","")))</x:f>
      </x:c>
    </x:row>
    <x:row r="251" ht="23" customHeight="1">
      <x:c r="A251" s="9"/>
      <x:c r="B251" s="9"/>
      <x:c r="C251" s="9"/>
      <x:c r="D251" s="9"/>
      <x:c r="E251" s="9"/>
      <x:c r="F251" s="11"/>
      <x:c r="G251" s="9"/>
      <x:c r="H251" s="9"/>
      <x:c r="I251" s="9"/>
      <x:c r="J251" s="9"/>
      <x:c r="K251" s="9"/>
      <x:c r="L251" s="9"/>
      <x:c r="M251" s="9"/>
      <x:c r="N251" s="12" t="str">
        <x:f>IF(A251="","",IF(ISNUMBER(F251),F251-'Tableau de bord'!$F$5,""))</x:f>
      </x:c>
      <x:c r="O251" s="12" t="str">
        <x:f>IF(A251="","",IF(ISNUMBER(F251),IF(N251&lt;0,"Expiré",IF(N251&lt;='Paramètres'!$E$6,"À renouveler","À jour")),"À compléter"))</x:f>
      </x:c>
      <x:c r="P251" s="12" t="str">
        <x:f>IF(A251="","",IF(AND(ISNUMBER(F251),F251&gt;'Tableau de bord'!$F$5,G251="Oui",H251="Oui",I251="Oui",J251="Oui",K251="Oui"),1,0))</x:f>
      </x:c>
      <x:c r="Q251" s="9"/>
      <x:c r="R251" s="12" t="str">
        <x:f>IF(A251="","",IF(C251="","OTP manquant",IF(COUNTIFS($A$6:$A$505,A251,$C$6:$C$505,C251)&gt;1,"Doublon OTP","")))</x:f>
      </x:c>
    </x:row>
    <x:row r="252" ht="23" customHeight="1">
      <x:c r="A252" s="9"/>
      <x:c r="B252" s="9"/>
      <x:c r="C252" s="9"/>
      <x:c r="D252" s="9"/>
      <x:c r="E252" s="9"/>
      <x:c r="F252" s="11"/>
      <x:c r="G252" s="9"/>
      <x:c r="H252" s="9"/>
      <x:c r="I252" s="9"/>
      <x:c r="J252" s="9"/>
      <x:c r="K252" s="9"/>
      <x:c r="L252" s="9"/>
      <x:c r="M252" s="9"/>
      <x:c r="N252" s="12" t="str">
        <x:f>IF(A252="","",IF(ISNUMBER(F252),F252-'Tableau de bord'!$F$5,""))</x:f>
      </x:c>
      <x:c r="O252" s="12" t="str">
        <x:f>IF(A252="","",IF(ISNUMBER(F252),IF(N252&lt;0,"Expiré",IF(N252&lt;='Paramètres'!$E$6,"À renouveler","À jour")),"À compléter"))</x:f>
      </x:c>
      <x:c r="P252" s="12" t="str">
        <x:f>IF(A252="","",IF(AND(ISNUMBER(F252),F252&gt;'Tableau de bord'!$F$5,G252="Oui",H252="Oui",I252="Oui",J252="Oui",K252="Oui"),1,0))</x:f>
      </x:c>
      <x:c r="Q252" s="9"/>
      <x:c r="R252" s="12" t="str">
        <x:f>IF(A252="","",IF(C252="","OTP manquant",IF(COUNTIFS($A$6:$A$505,A252,$C$6:$C$505,C252)&gt;1,"Doublon OTP","")))</x:f>
      </x:c>
    </x:row>
    <x:row r="253" ht="23" customHeight="1">
      <x:c r="A253" s="9"/>
      <x:c r="B253" s="9"/>
      <x:c r="C253" s="9"/>
      <x:c r="D253" s="9"/>
      <x:c r="E253" s="9"/>
      <x:c r="F253" s="11"/>
      <x:c r="G253" s="9"/>
      <x:c r="H253" s="9"/>
      <x:c r="I253" s="9"/>
      <x:c r="J253" s="9"/>
      <x:c r="K253" s="9"/>
      <x:c r="L253" s="9"/>
      <x:c r="M253" s="9"/>
      <x:c r="N253" s="12" t="str">
        <x:f>IF(A253="","",IF(ISNUMBER(F253),F253-'Tableau de bord'!$F$5,""))</x:f>
      </x:c>
      <x:c r="O253" s="12" t="str">
        <x:f>IF(A253="","",IF(ISNUMBER(F253),IF(N253&lt;0,"Expiré",IF(N253&lt;='Paramètres'!$E$6,"À renouveler","À jour")),"À compléter"))</x:f>
      </x:c>
      <x:c r="P253" s="12" t="str">
        <x:f>IF(A253="","",IF(AND(ISNUMBER(F253),F253&gt;'Tableau de bord'!$F$5,G253="Oui",H253="Oui",I253="Oui",J253="Oui",K253="Oui"),1,0))</x:f>
      </x:c>
      <x:c r="Q253" s="9"/>
      <x:c r="R253" s="12" t="str">
        <x:f>IF(A253="","",IF(C253="","OTP manquant",IF(COUNTIFS($A$6:$A$505,A253,$C$6:$C$505,C253)&gt;1,"Doublon OTP","")))</x:f>
      </x:c>
    </x:row>
    <x:row r="254" ht="23" customHeight="1">
      <x:c r="A254" s="9"/>
      <x:c r="B254" s="9"/>
      <x:c r="C254" s="9"/>
      <x:c r="D254" s="9"/>
      <x:c r="E254" s="9"/>
      <x:c r="F254" s="11"/>
      <x:c r="G254" s="9"/>
      <x:c r="H254" s="9"/>
      <x:c r="I254" s="9"/>
      <x:c r="J254" s="9"/>
      <x:c r="K254" s="9"/>
      <x:c r="L254" s="9"/>
      <x:c r="M254" s="9"/>
      <x:c r="N254" s="12" t="str">
        <x:f>IF(A254="","",IF(ISNUMBER(F254),F254-'Tableau de bord'!$F$5,""))</x:f>
      </x:c>
      <x:c r="O254" s="12" t="str">
        <x:f>IF(A254="","",IF(ISNUMBER(F254),IF(N254&lt;0,"Expiré",IF(N254&lt;='Paramètres'!$E$6,"À renouveler","À jour")),"À compléter"))</x:f>
      </x:c>
      <x:c r="P254" s="12" t="str">
        <x:f>IF(A254="","",IF(AND(ISNUMBER(F254),F254&gt;'Tableau de bord'!$F$5,G254="Oui",H254="Oui",I254="Oui",J254="Oui",K254="Oui"),1,0))</x:f>
      </x:c>
      <x:c r="Q254" s="9"/>
      <x:c r="R254" s="12" t="str">
        <x:f>IF(A254="","",IF(C254="","OTP manquant",IF(COUNTIFS($A$6:$A$505,A254,$C$6:$C$505,C254)&gt;1,"Doublon OTP","")))</x:f>
      </x:c>
    </x:row>
    <x:row r="255" ht="23" customHeight="1">
      <x:c r="A255" s="9"/>
      <x:c r="B255" s="9"/>
      <x:c r="C255" s="9"/>
      <x:c r="D255" s="9"/>
      <x:c r="E255" s="9"/>
      <x:c r="F255" s="11"/>
      <x:c r="G255" s="9"/>
      <x:c r="H255" s="9"/>
      <x:c r="I255" s="9"/>
      <x:c r="J255" s="9"/>
      <x:c r="K255" s="9"/>
      <x:c r="L255" s="9"/>
      <x:c r="M255" s="9"/>
      <x:c r="N255" s="12" t="str">
        <x:f>IF(A255="","",IF(ISNUMBER(F255),F255-'Tableau de bord'!$F$5,""))</x:f>
      </x:c>
      <x:c r="O255" s="12" t="str">
        <x:f>IF(A255="","",IF(ISNUMBER(F255),IF(N255&lt;0,"Expiré",IF(N255&lt;='Paramètres'!$E$6,"À renouveler","À jour")),"À compléter"))</x:f>
      </x:c>
      <x:c r="P255" s="12" t="str">
        <x:f>IF(A255="","",IF(AND(ISNUMBER(F255),F255&gt;'Tableau de bord'!$F$5,G255="Oui",H255="Oui",I255="Oui",J255="Oui",K255="Oui"),1,0))</x:f>
      </x:c>
      <x:c r="Q255" s="9"/>
      <x:c r="R255" s="12" t="str">
        <x:f>IF(A255="","",IF(C255="","OTP manquant",IF(COUNTIFS($A$6:$A$505,A255,$C$6:$C$505,C255)&gt;1,"Doublon OTP","")))</x:f>
      </x:c>
    </x:row>
    <x:row r="256" ht="23" customHeight="1">
      <x:c r="A256" s="9"/>
      <x:c r="B256" s="9"/>
      <x:c r="C256" s="9"/>
      <x:c r="D256" s="9"/>
      <x:c r="E256" s="9"/>
      <x:c r="F256" s="11"/>
      <x:c r="G256" s="9"/>
      <x:c r="H256" s="9"/>
      <x:c r="I256" s="9"/>
      <x:c r="J256" s="9"/>
      <x:c r="K256" s="9"/>
      <x:c r="L256" s="9"/>
      <x:c r="M256" s="9"/>
      <x:c r="N256" s="12" t="str">
        <x:f>IF(A256="","",IF(ISNUMBER(F256),F256-'Tableau de bord'!$F$5,""))</x:f>
      </x:c>
      <x:c r="O256" s="12" t="str">
        <x:f>IF(A256="","",IF(ISNUMBER(F256),IF(N256&lt;0,"Expiré",IF(N256&lt;='Paramètres'!$E$6,"À renouveler","À jour")),"À compléter"))</x:f>
      </x:c>
      <x:c r="P256" s="12" t="str">
        <x:f>IF(A256="","",IF(AND(ISNUMBER(F256),F256&gt;'Tableau de bord'!$F$5,G256="Oui",H256="Oui",I256="Oui",J256="Oui",K256="Oui"),1,0))</x:f>
      </x:c>
      <x:c r="Q256" s="9"/>
      <x:c r="R256" s="12" t="str">
        <x:f>IF(A256="","",IF(C256="","OTP manquant",IF(COUNTIFS($A$6:$A$505,A256,$C$6:$C$505,C256)&gt;1,"Doublon OTP","")))</x:f>
      </x:c>
    </x:row>
    <x:row r="257" ht="23" customHeight="1">
      <x:c r="A257" s="9"/>
      <x:c r="B257" s="9"/>
      <x:c r="C257" s="9"/>
      <x:c r="D257" s="9"/>
      <x:c r="E257" s="9"/>
      <x:c r="F257" s="11"/>
      <x:c r="G257" s="9"/>
      <x:c r="H257" s="9"/>
      <x:c r="I257" s="9"/>
      <x:c r="J257" s="9"/>
      <x:c r="K257" s="9"/>
      <x:c r="L257" s="9"/>
      <x:c r="M257" s="9"/>
      <x:c r="N257" s="12" t="str">
        <x:f>IF(A257="","",IF(ISNUMBER(F257),F257-'Tableau de bord'!$F$5,""))</x:f>
      </x:c>
      <x:c r="O257" s="12" t="str">
        <x:f>IF(A257="","",IF(ISNUMBER(F257),IF(N257&lt;0,"Expiré",IF(N257&lt;='Paramètres'!$E$6,"À renouveler","À jour")),"À compléter"))</x:f>
      </x:c>
      <x:c r="P257" s="12" t="str">
        <x:f>IF(A257="","",IF(AND(ISNUMBER(F257),F257&gt;'Tableau de bord'!$F$5,G257="Oui",H257="Oui",I257="Oui",J257="Oui",K257="Oui"),1,0))</x:f>
      </x:c>
      <x:c r="Q257" s="9"/>
      <x:c r="R257" s="12" t="str">
        <x:f>IF(A257="","",IF(C257="","OTP manquant",IF(COUNTIFS($A$6:$A$505,A257,$C$6:$C$505,C257)&gt;1,"Doublon OTP","")))</x:f>
      </x:c>
    </x:row>
    <x:row r="258" ht="23" customHeight="1">
      <x:c r="A258" s="9"/>
      <x:c r="B258" s="9"/>
      <x:c r="C258" s="9"/>
      <x:c r="D258" s="9"/>
      <x:c r="E258" s="9"/>
      <x:c r="F258" s="11"/>
      <x:c r="G258" s="9"/>
      <x:c r="H258" s="9"/>
      <x:c r="I258" s="9"/>
      <x:c r="J258" s="9"/>
      <x:c r="K258" s="9"/>
      <x:c r="L258" s="9"/>
      <x:c r="M258" s="9"/>
      <x:c r="N258" s="12" t="str">
        <x:f>IF(A258="","",IF(ISNUMBER(F258),F258-'Tableau de bord'!$F$5,""))</x:f>
      </x:c>
      <x:c r="O258" s="12" t="str">
        <x:f>IF(A258="","",IF(ISNUMBER(F258),IF(N258&lt;0,"Expiré",IF(N258&lt;='Paramètres'!$E$6,"À renouveler","À jour")),"À compléter"))</x:f>
      </x:c>
      <x:c r="P258" s="12" t="str">
        <x:f>IF(A258="","",IF(AND(ISNUMBER(F258),F258&gt;'Tableau de bord'!$F$5,G258="Oui",H258="Oui",I258="Oui",J258="Oui",K258="Oui"),1,0))</x:f>
      </x:c>
      <x:c r="Q258" s="9"/>
      <x:c r="R258" s="12" t="str">
        <x:f>IF(A258="","",IF(C258="","OTP manquant",IF(COUNTIFS($A$6:$A$505,A258,$C$6:$C$505,C258)&gt;1,"Doublon OTP","")))</x:f>
      </x:c>
    </x:row>
    <x:row r="259" ht="23" customHeight="1">
      <x:c r="A259" s="9"/>
      <x:c r="B259" s="9"/>
      <x:c r="C259" s="9"/>
      <x:c r="D259" s="9"/>
      <x:c r="E259" s="9"/>
      <x:c r="F259" s="11"/>
      <x:c r="G259" s="9"/>
      <x:c r="H259" s="9"/>
      <x:c r="I259" s="9"/>
      <x:c r="J259" s="9"/>
      <x:c r="K259" s="9"/>
      <x:c r="L259" s="9"/>
      <x:c r="M259" s="9"/>
      <x:c r="N259" s="12" t="str">
        <x:f>IF(A259="","",IF(ISNUMBER(F259),F259-'Tableau de bord'!$F$5,""))</x:f>
      </x:c>
      <x:c r="O259" s="12" t="str">
        <x:f>IF(A259="","",IF(ISNUMBER(F259),IF(N259&lt;0,"Expiré",IF(N259&lt;='Paramètres'!$E$6,"À renouveler","À jour")),"À compléter"))</x:f>
      </x:c>
      <x:c r="P259" s="12" t="str">
        <x:f>IF(A259="","",IF(AND(ISNUMBER(F259),F259&gt;'Tableau de bord'!$F$5,G259="Oui",H259="Oui",I259="Oui",J259="Oui",K259="Oui"),1,0))</x:f>
      </x:c>
      <x:c r="Q259" s="9"/>
      <x:c r="R259" s="12" t="str">
        <x:f>IF(A259="","",IF(C259="","OTP manquant",IF(COUNTIFS($A$6:$A$505,A259,$C$6:$C$505,C259)&gt;1,"Doublon OTP","")))</x:f>
      </x:c>
    </x:row>
    <x:row r="260" ht="23" customHeight="1">
      <x:c r="A260" s="9"/>
      <x:c r="B260" s="9"/>
      <x:c r="C260" s="9"/>
      <x:c r="D260" s="9"/>
      <x:c r="E260" s="9"/>
      <x:c r="F260" s="11"/>
      <x:c r="G260" s="9"/>
      <x:c r="H260" s="9"/>
      <x:c r="I260" s="9"/>
      <x:c r="J260" s="9"/>
      <x:c r="K260" s="9"/>
      <x:c r="L260" s="9"/>
      <x:c r="M260" s="9"/>
      <x:c r="N260" s="12" t="str">
        <x:f>IF(A260="","",IF(ISNUMBER(F260),F260-'Tableau de bord'!$F$5,""))</x:f>
      </x:c>
      <x:c r="O260" s="12" t="str">
        <x:f>IF(A260="","",IF(ISNUMBER(F260),IF(N260&lt;0,"Expiré",IF(N260&lt;='Paramètres'!$E$6,"À renouveler","À jour")),"À compléter"))</x:f>
      </x:c>
      <x:c r="P260" s="12" t="str">
        <x:f>IF(A260="","",IF(AND(ISNUMBER(F260),F260&gt;'Tableau de bord'!$F$5,G260="Oui",H260="Oui",I260="Oui",J260="Oui",K260="Oui"),1,0))</x:f>
      </x:c>
      <x:c r="Q260" s="9"/>
      <x:c r="R260" s="12" t="str">
        <x:f>IF(A260="","",IF(C260="","OTP manquant",IF(COUNTIFS($A$6:$A$505,A260,$C$6:$C$505,C260)&gt;1,"Doublon OTP","")))</x:f>
      </x:c>
    </x:row>
    <x:row r="261" ht="23" customHeight="1">
      <x:c r="A261" s="9"/>
      <x:c r="B261" s="9"/>
      <x:c r="C261" s="9"/>
      <x:c r="D261" s="9"/>
      <x:c r="E261" s="9"/>
      <x:c r="F261" s="11"/>
      <x:c r="G261" s="9"/>
      <x:c r="H261" s="9"/>
      <x:c r="I261" s="9"/>
      <x:c r="J261" s="9"/>
      <x:c r="K261" s="9"/>
      <x:c r="L261" s="9"/>
      <x:c r="M261" s="9"/>
      <x:c r="N261" s="12" t="str">
        <x:f>IF(A261="","",IF(ISNUMBER(F261),F261-'Tableau de bord'!$F$5,""))</x:f>
      </x:c>
      <x:c r="O261" s="12" t="str">
        <x:f>IF(A261="","",IF(ISNUMBER(F261),IF(N261&lt;0,"Expiré",IF(N261&lt;='Paramètres'!$E$6,"À renouveler","À jour")),"À compléter"))</x:f>
      </x:c>
      <x:c r="P261" s="12" t="str">
        <x:f>IF(A261="","",IF(AND(ISNUMBER(F261),F261&gt;'Tableau de bord'!$F$5,G261="Oui",H261="Oui",I261="Oui",J261="Oui",K261="Oui"),1,0))</x:f>
      </x:c>
      <x:c r="Q261" s="9"/>
      <x:c r="R261" s="12" t="str">
        <x:f>IF(A261="","",IF(C261="","OTP manquant",IF(COUNTIFS($A$6:$A$505,A261,$C$6:$C$505,C261)&gt;1,"Doublon OTP","")))</x:f>
      </x:c>
    </x:row>
    <x:row r="262" ht="23" customHeight="1">
      <x:c r="A262" s="9"/>
      <x:c r="B262" s="9"/>
      <x:c r="C262" s="9"/>
      <x:c r="D262" s="9"/>
      <x:c r="E262" s="9"/>
      <x:c r="F262" s="11"/>
      <x:c r="G262" s="9"/>
      <x:c r="H262" s="9"/>
      <x:c r="I262" s="9"/>
      <x:c r="J262" s="9"/>
      <x:c r="K262" s="9"/>
      <x:c r="L262" s="9"/>
      <x:c r="M262" s="9"/>
      <x:c r="N262" s="12" t="str">
        <x:f>IF(A262="","",IF(ISNUMBER(F262),F262-'Tableau de bord'!$F$5,""))</x:f>
      </x:c>
      <x:c r="O262" s="12" t="str">
        <x:f>IF(A262="","",IF(ISNUMBER(F262),IF(N262&lt;0,"Expiré",IF(N262&lt;='Paramètres'!$E$6,"À renouveler","À jour")),"À compléter"))</x:f>
      </x:c>
      <x:c r="P262" s="12" t="str">
        <x:f>IF(A262="","",IF(AND(ISNUMBER(F262),F262&gt;'Tableau de bord'!$F$5,G262="Oui",H262="Oui",I262="Oui",J262="Oui",K262="Oui"),1,0))</x:f>
      </x:c>
      <x:c r="Q262" s="9"/>
      <x:c r="R262" s="12" t="str">
        <x:f>IF(A262="","",IF(C262="","OTP manquant",IF(COUNTIFS($A$6:$A$505,A262,$C$6:$C$505,C262)&gt;1,"Doublon OTP","")))</x:f>
      </x:c>
    </x:row>
    <x:row r="263" ht="23" customHeight="1">
      <x:c r="A263" s="9"/>
      <x:c r="B263" s="9"/>
      <x:c r="C263" s="9"/>
      <x:c r="D263" s="9"/>
      <x:c r="E263" s="9"/>
      <x:c r="F263" s="11"/>
      <x:c r="G263" s="9"/>
      <x:c r="H263" s="9"/>
      <x:c r="I263" s="9"/>
      <x:c r="J263" s="9"/>
      <x:c r="K263" s="9"/>
      <x:c r="L263" s="9"/>
      <x:c r="M263" s="9"/>
      <x:c r="N263" s="12" t="str">
        <x:f>IF(A263="","",IF(ISNUMBER(F263),F263-'Tableau de bord'!$F$5,""))</x:f>
      </x:c>
      <x:c r="O263" s="12" t="str">
        <x:f>IF(A263="","",IF(ISNUMBER(F263),IF(N263&lt;0,"Expiré",IF(N263&lt;='Paramètres'!$E$6,"À renouveler","À jour")),"À compléter"))</x:f>
      </x:c>
      <x:c r="P263" s="12" t="str">
        <x:f>IF(A263="","",IF(AND(ISNUMBER(F263),F263&gt;'Tableau de bord'!$F$5,G263="Oui",H263="Oui",I263="Oui",J263="Oui",K263="Oui"),1,0))</x:f>
      </x:c>
      <x:c r="Q263" s="9"/>
      <x:c r="R263" s="12" t="str">
        <x:f>IF(A263="","",IF(C263="","OTP manquant",IF(COUNTIFS($A$6:$A$505,A263,$C$6:$C$505,C263)&gt;1,"Doublon OTP","")))</x:f>
      </x:c>
    </x:row>
    <x:row r="264" ht="23" customHeight="1">
      <x:c r="A264" s="9"/>
      <x:c r="B264" s="9"/>
      <x:c r="C264" s="9"/>
      <x:c r="D264" s="9"/>
      <x:c r="E264" s="9"/>
      <x:c r="F264" s="11"/>
      <x:c r="G264" s="9"/>
      <x:c r="H264" s="9"/>
      <x:c r="I264" s="9"/>
      <x:c r="J264" s="9"/>
      <x:c r="K264" s="9"/>
      <x:c r="L264" s="9"/>
      <x:c r="M264" s="9"/>
      <x:c r="N264" s="12" t="str">
        <x:f>IF(A264="","",IF(ISNUMBER(F264),F264-'Tableau de bord'!$F$5,""))</x:f>
      </x:c>
      <x:c r="O264" s="12" t="str">
        <x:f>IF(A264="","",IF(ISNUMBER(F264),IF(N264&lt;0,"Expiré",IF(N264&lt;='Paramètres'!$E$6,"À renouveler","À jour")),"À compléter"))</x:f>
      </x:c>
      <x:c r="P264" s="12" t="str">
        <x:f>IF(A264="","",IF(AND(ISNUMBER(F264),F264&gt;'Tableau de bord'!$F$5,G264="Oui",H264="Oui",I264="Oui",J264="Oui",K264="Oui"),1,0))</x:f>
      </x:c>
      <x:c r="Q264" s="9"/>
      <x:c r="R264" s="12" t="str">
        <x:f>IF(A264="","",IF(C264="","OTP manquant",IF(COUNTIFS($A$6:$A$505,A264,$C$6:$C$505,C264)&gt;1,"Doublon OTP","")))</x:f>
      </x:c>
    </x:row>
    <x:row r="265" ht="23" customHeight="1">
      <x:c r="A265" s="9"/>
      <x:c r="B265" s="9"/>
      <x:c r="C265" s="9"/>
      <x:c r="D265" s="9"/>
      <x:c r="E265" s="9"/>
      <x:c r="F265" s="11"/>
      <x:c r="G265" s="9"/>
      <x:c r="H265" s="9"/>
      <x:c r="I265" s="9"/>
      <x:c r="J265" s="9"/>
      <x:c r="K265" s="9"/>
      <x:c r="L265" s="9"/>
      <x:c r="M265" s="9"/>
      <x:c r="N265" s="12" t="str">
        <x:f>IF(A265="","",IF(ISNUMBER(F265),F265-'Tableau de bord'!$F$5,""))</x:f>
      </x:c>
      <x:c r="O265" s="12" t="str">
        <x:f>IF(A265="","",IF(ISNUMBER(F265),IF(N265&lt;0,"Expiré",IF(N265&lt;='Paramètres'!$E$6,"À renouveler","À jour")),"À compléter"))</x:f>
      </x:c>
      <x:c r="P265" s="12" t="str">
        <x:f>IF(A265="","",IF(AND(ISNUMBER(F265),F265&gt;'Tableau de bord'!$F$5,G265="Oui",H265="Oui",I265="Oui",J265="Oui",K265="Oui"),1,0))</x:f>
      </x:c>
      <x:c r="Q265" s="9"/>
      <x:c r="R265" s="12" t="str">
        <x:f>IF(A265="","",IF(C265="","OTP manquant",IF(COUNTIFS($A$6:$A$505,A265,$C$6:$C$505,C265)&gt;1,"Doublon OTP","")))</x:f>
      </x:c>
    </x:row>
    <x:row r="266" ht="23" customHeight="1">
      <x:c r="A266" s="9"/>
      <x:c r="B266" s="9"/>
      <x:c r="C266" s="9"/>
      <x:c r="D266" s="9"/>
      <x:c r="E266" s="9"/>
      <x:c r="F266" s="11"/>
      <x:c r="G266" s="9"/>
      <x:c r="H266" s="9"/>
      <x:c r="I266" s="9"/>
      <x:c r="J266" s="9"/>
      <x:c r="K266" s="9"/>
      <x:c r="L266" s="9"/>
      <x:c r="M266" s="9"/>
      <x:c r="N266" s="12" t="str">
        <x:f>IF(A266="","",IF(ISNUMBER(F266),F266-'Tableau de bord'!$F$5,""))</x:f>
      </x:c>
      <x:c r="O266" s="12" t="str">
        <x:f>IF(A266="","",IF(ISNUMBER(F266),IF(N266&lt;0,"Expiré",IF(N266&lt;='Paramètres'!$E$6,"À renouveler","À jour")),"À compléter"))</x:f>
      </x:c>
      <x:c r="P266" s="12" t="str">
        <x:f>IF(A266="","",IF(AND(ISNUMBER(F266),F266&gt;'Tableau de bord'!$F$5,G266="Oui",H266="Oui",I266="Oui",J266="Oui",K266="Oui"),1,0))</x:f>
      </x:c>
      <x:c r="Q266" s="9"/>
      <x:c r="R266" s="12" t="str">
        <x:f>IF(A266="","",IF(C266="","OTP manquant",IF(COUNTIFS($A$6:$A$505,A266,$C$6:$C$505,C266)&gt;1,"Doublon OTP","")))</x:f>
      </x:c>
    </x:row>
    <x:row r="267" ht="23" customHeight="1">
      <x:c r="A267" s="9"/>
      <x:c r="B267" s="9"/>
      <x:c r="C267" s="9"/>
      <x:c r="D267" s="9"/>
      <x:c r="E267" s="9"/>
      <x:c r="F267" s="11"/>
      <x:c r="G267" s="9"/>
      <x:c r="H267" s="9"/>
      <x:c r="I267" s="9"/>
      <x:c r="J267" s="9"/>
      <x:c r="K267" s="9"/>
      <x:c r="L267" s="9"/>
      <x:c r="M267" s="9"/>
      <x:c r="N267" s="12" t="str">
        <x:f>IF(A267="","",IF(ISNUMBER(F267),F267-'Tableau de bord'!$F$5,""))</x:f>
      </x:c>
      <x:c r="O267" s="12" t="str">
        <x:f>IF(A267="","",IF(ISNUMBER(F267),IF(N267&lt;0,"Expiré",IF(N267&lt;='Paramètres'!$E$6,"À renouveler","À jour")),"À compléter"))</x:f>
      </x:c>
      <x:c r="P267" s="12" t="str">
        <x:f>IF(A267="","",IF(AND(ISNUMBER(F267),F267&gt;'Tableau de bord'!$F$5,G267="Oui",H267="Oui",I267="Oui",J267="Oui",K267="Oui"),1,0))</x:f>
      </x:c>
      <x:c r="Q267" s="9"/>
      <x:c r="R267" s="12" t="str">
        <x:f>IF(A267="","",IF(C267="","OTP manquant",IF(COUNTIFS($A$6:$A$505,A267,$C$6:$C$505,C267)&gt;1,"Doublon OTP","")))</x:f>
      </x:c>
    </x:row>
    <x:row r="268" ht="23" customHeight="1">
      <x:c r="A268" s="9"/>
      <x:c r="B268" s="9"/>
      <x:c r="C268" s="9"/>
      <x:c r="D268" s="9"/>
      <x:c r="E268" s="9"/>
      <x:c r="F268" s="11"/>
      <x:c r="G268" s="9"/>
      <x:c r="H268" s="9"/>
      <x:c r="I268" s="9"/>
      <x:c r="J268" s="9"/>
      <x:c r="K268" s="9"/>
      <x:c r="L268" s="9"/>
      <x:c r="M268" s="9"/>
      <x:c r="N268" s="12" t="str">
        <x:f>IF(A268="","",IF(ISNUMBER(F268),F268-'Tableau de bord'!$F$5,""))</x:f>
      </x:c>
      <x:c r="O268" s="12" t="str">
        <x:f>IF(A268="","",IF(ISNUMBER(F268),IF(N268&lt;0,"Expiré",IF(N268&lt;='Paramètres'!$E$6,"À renouveler","À jour")),"À compléter"))</x:f>
      </x:c>
      <x:c r="P268" s="12" t="str">
        <x:f>IF(A268="","",IF(AND(ISNUMBER(F268),F268&gt;'Tableau de bord'!$F$5,G268="Oui",H268="Oui",I268="Oui",J268="Oui",K268="Oui"),1,0))</x:f>
      </x:c>
      <x:c r="Q268" s="9"/>
      <x:c r="R268" s="12" t="str">
        <x:f>IF(A268="","",IF(C268="","OTP manquant",IF(COUNTIFS($A$6:$A$505,A268,$C$6:$C$505,C268)&gt;1,"Doublon OTP","")))</x:f>
      </x:c>
    </x:row>
    <x:row r="269" ht="23" customHeight="1">
      <x:c r="A269" s="9"/>
      <x:c r="B269" s="9"/>
      <x:c r="C269" s="9"/>
      <x:c r="D269" s="9"/>
      <x:c r="E269" s="9"/>
      <x:c r="F269" s="11"/>
      <x:c r="G269" s="9"/>
      <x:c r="H269" s="9"/>
      <x:c r="I269" s="9"/>
      <x:c r="J269" s="9"/>
      <x:c r="K269" s="9"/>
      <x:c r="L269" s="9"/>
      <x:c r="M269" s="9"/>
      <x:c r="N269" s="12" t="str">
        <x:f>IF(A269="","",IF(ISNUMBER(F269),F269-'Tableau de bord'!$F$5,""))</x:f>
      </x:c>
      <x:c r="O269" s="12" t="str">
        <x:f>IF(A269="","",IF(ISNUMBER(F269),IF(N269&lt;0,"Expiré",IF(N269&lt;='Paramètres'!$E$6,"À renouveler","À jour")),"À compléter"))</x:f>
      </x:c>
      <x:c r="P269" s="12" t="str">
        <x:f>IF(A269="","",IF(AND(ISNUMBER(F269),F269&gt;'Tableau de bord'!$F$5,G269="Oui",H269="Oui",I269="Oui",J269="Oui",K269="Oui"),1,0))</x:f>
      </x:c>
      <x:c r="Q269" s="9"/>
      <x:c r="R269" s="12" t="str">
        <x:f>IF(A269="","",IF(C269="","OTP manquant",IF(COUNTIFS($A$6:$A$505,A269,$C$6:$C$505,C269)&gt;1,"Doublon OTP","")))</x:f>
      </x:c>
    </x:row>
    <x:row r="270" ht="23" customHeight="1">
      <x:c r="A270" s="9"/>
      <x:c r="B270" s="9"/>
      <x:c r="C270" s="9"/>
      <x:c r="D270" s="9"/>
      <x:c r="E270" s="9"/>
      <x:c r="F270" s="11"/>
      <x:c r="G270" s="9"/>
      <x:c r="H270" s="9"/>
      <x:c r="I270" s="9"/>
      <x:c r="J270" s="9"/>
      <x:c r="K270" s="9"/>
      <x:c r="L270" s="9"/>
      <x:c r="M270" s="9"/>
      <x:c r="N270" s="12" t="str">
        <x:f>IF(A270="","",IF(ISNUMBER(F270),F270-'Tableau de bord'!$F$5,""))</x:f>
      </x:c>
      <x:c r="O270" s="12" t="str">
        <x:f>IF(A270="","",IF(ISNUMBER(F270),IF(N270&lt;0,"Expiré",IF(N270&lt;='Paramètres'!$E$6,"À renouveler","À jour")),"À compléter"))</x:f>
      </x:c>
      <x:c r="P270" s="12" t="str">
        <x:f>IF(A270="","",IF(AND(ISNUMBER(F270),F270&gt;'Tableau de bord'!$F$5,G270="Oui",H270="Oui",I270="Oui",J270="Oui",K270="Oui"),1,0))</x:f>
      </x:c>
      <x:c r="Q270" s="9"/>
      <x:c r="R270" s="12" t="str">
        <x:f>IF(A270="","",IF(C270="","OTP manquant",IF(COUNTIFS($A$6:$A$505,A270,$C$6:$C$505,C270)&gt;1,"Doublon OTP","")))</x:f>
      </x:c>
    </x:row>
    <x:row r="271" ht="23" customHeight="1">
      <x:c r="A271" s="9"/>
      <x:c r="B271" s="9"/>
      <x:c r="C271" s="9"/>
      <x:c r="D271" s="9"/>
      <x:c r="E271" s="9"/>
      <x:c r="F271" s="11"/>
      <x:c r="G271" s="9"/>
      <x:c r="H271" s="9"/>
      <x:c r="I271" s="9"/>
      <x:c r="J271" s="9"/>
      <x:c r="K271" s="9"/>
      <x:c r="L271" s="9"/>
      <x:c r="M271" s="9"/>
      <x:c r="N271" s="12" t="str">
        <x:f>IF(A271="","",IF(ISNUMBER(F271),F271-'Tableau de bord'!$F$5,""))</x:f>
      </x:c>
      <x:c r="O271" s="12" t="str">
        <x:f>IF(A271="","",IF(ISNUMBER(F271),IF(N271&lt;0,"Expiré",IF(N271&lt;='Paramètres'!$E$6,"À renouveler","À jour")),"À compléter"))</x:f>
      </x:c>
      <x:c r="P271" s="12" t="str">
        <x:f>IF(A271="","",IF(AND(ISNUMBER(F271),F271&gt;'Tableau de bord'!$F$5,G271="Oui",H271="Oui",I271="Oui",J271="Oui",K271="Oui"),1,0))</x:f>
      </x:c>
      <x:c r="Q271" s="9"/>
      <x:c r="R271" s="12" t="str">
        <x:f>IF(A271="","",IF(C271="","OTP manquant",IF(COUNTIFS($A$6:$A$505,A271,$C$6:$C$505,C271)&gt;1,"Doublon OTP","")))</x:f>
      </x:c>
    </x:row>
    <x:row r="272" ht="23" customHeight="1">
      <x:c r="A272" s="9"/>
      <x:c r="B272" s="9"/>
      <x:c r="C272" s="9"/>
      <x:c r="D272" s="9"/>
      <x:c r="E272" s="9"/>
      <x:c r="F272" s="11"/>
      <x:c r="G272" s="9"/>
      <x:c r="H272" s="9"/>
      <x:c r="I272" s="9"/>
      <x:c r="J272" s="9"/>
      <x:c r="K272" s="9"/>
      <x:c r="L272" s="9"/>
      <x:c r="M272" s="9"/>
      <x:c r="N272" s="12" t="str">
        <x:f>IF(A272="","",IF(ISNUMBER(F272),F272-'Tableau de bord'!$F$5,""))</x:f>
      </x:c>
      <x:c r="O272" s="12" t="str">
        <x:f>IF(A272="","",IF(ISNUMBER(F272),IF(N272&lt;0,"Expiré",IF(N272&lt;='Paramètres'!$E$6,"À renouveler","À jour")),"À compléter"))</x:f>
      </x:c>
      <x:c r="P272" s="12" t="str">
        <x:f>IF(A272="","",IF(AND(ISNUMBER(F272),F272&gt;'Tableau de bord'!$F$5,G272="Oui",H272="Oui",I272="Oui",J272="Oui",K272="Oui"),1,0))</x:f>
      </x:c>
      <x:c r="Q272" s="9"/>
      <x:c r="R272" s="12" t="str">
        <x:f>IF(A272="","",IF(C272="","OTP manquant",IF(COUNTIFS($A$6:$A$505,A272,$C$6:$C$505,C272)&gt;1,"Doublon OTP","")))</x:f>
      </x:c>
    </x:row>
    <x:row r="273" ht="23" customHeight="1">
      <x:c r="A273" s="9"/>
      <x:c r="B273" s="9"/>
      <x:c r="C273" s="9"/>
      <x:c r="D273" s="9"/>
      <x:c r="E273" s="9"/>
      <x:c r="F273" s="11"/>
      <x:c r="G273" s="9"/>
      <x:c r="H273" s="9"/>
      <x:c r="I273" s="9"/>
      <x:c r="J273" s="9"/>
      <x:c r="K273" s="9"/>
      <x:c r="L273" s="9"/>
      <x:c r="M273" s="9"/>
      <x:c r="N273" s="12" t="str">
        <x:f>IF(A273="","",IF(ISNUMBER(F273),F273-'Tableau de bord'!$F$5,""))</x:f>
      </x:c>
      <x:c r="O273" s="12" t="str">
        <x:f>IF(A273="","",IF(ISNUMBER(F273),IF(N273&lt;0,"Expiré",IF(N273&lt;='Paramètres'!$E$6,"À renouveler","À jour")),"À compléter"))</x:f>
      </x:c>
      <x:c r="P273" s="12" t="str">
        <x:f>IF(A273="","",IF(AND(ISNUMBER(F273),F273&gt;'Tableau de bord'!$F$5,G273="Oui",H273="Oui",I273="Oui",J273="Oui",K273="Oui"),1,0))</x:f>
      </x:c>
      <x:c r="Q273" s="9"/>
      <x:c r="R273" s="12" t="str">
        <x:f>IF(A273="","",IF(C273="","OTP manquant",IF(COUNTIFS($A$6:$A$505,A273,$C$6:$C$505,C273)&gt;1,"Doublon OTP","")))</x:f>
      </x:c>
    </x:row>
    <x:row r="274" ht="23" customHeight="1">
      <x:c r="A274" s="9"/>
      <x:c r="B274" s="9"/>
      <x:c r="C274" s="9"/>
      <x:c r="D274" s="9"/>
      <x:c r="E274" s="9"/>
      <x:c r="F274" s="11"/>
      <x:c r="G274" s="9"/>
      <x:c r="H274" s="9"/>
      <x:c r="I274" s="9"/>
      <x:c r="J274" s="9"/>
      <x:c r="K274" s="9"/>
      <x:c r="L274" s="9"/>
      <x:c r="M274" s="9"/>
      <x:c r="N274" s="12" t="str">
        <x:f>IF(A274="","",IF(ISNUMBER(F274),F274-'Tableau de bord'!$F$5,""))</x:f>
      </x:c>
      <x:c r="O274" s="12" t="str">
        <x:f>IF(A274="","",IF(ISNUMBER(F274),IF(N274&lt;0,"Expiré",IF(N274&lt;='Paramètres'!$E$6,"À renouveler","À jour")),"À compléter"))</x:f>
      </x:c>
      <x:c r="P274" s="12" t="str">
        <x:f>IF(A274="","",IF(AND(ISNUMBER(F274),F274&gt;'Tableau de bord'!$F$5,G274="Oui",H274="Oui",I274="Oui",J274="Oui",K274="Oui"),1,0))</x:f>
      </x:c>
      <x:c r="Q274" s="9"/>
      <x:c r="R274" s="12" t="str">
        <x:f>IF(A274="","",IF(C274="","OTP manquant",IF(COUNTIFS($A$6:$A$505,A274,$C$6:$C$505,C274)&gt;1,"Doublon OTP","")))</x:f>
      </x:c>
    </x:row>
    <x:row r="275" ht="23" customHeight="1">
      <x:c r="A275" s="9"/>
      <x:c r="B275" s="9"/>
      <x:c r="C275" s="9"/>
      <x:c r="D275" s="9"/>
      <x:c r="E275" s="9"/>
      <x:c r="F275" s="11"/>
      <x:c r="G275" s="9"/>
      <x:c r="H275" s="9"/>
      <x:c r="I275" s="9"/>
      <x:c r="J275" s="9"/>
      <x:c r="K275" s="9"/>
      <x:c r="L275" s="9"/>
      <x:c r="M275" s="9"/>
      <x:c r="N275" s="12" t="str">
        <x:f>IF(A275="","",IF(ISNUMBER(F275),F275-'Tableau de bord'!$F$5,""))</x:f>
      </x:c>
      <x:c r="O275" s="12" t="str">
        <x:f>IF(A275="","",IF(ISNUMBER(F275),IF(N275&lt;0,"Expiré",IF(N275&lt;='Paramètres'!$E$6,"À renouveler","À jour")),"À compléter"))</x:f>
      </x:c>
      <x:c r="P275" s="12" t="str">
        <x:f>IF(A275="","",IF(AND(ISNUMBER(F275),F275&gt;'Tableau de bord'!$F$5,G275="Oui",H275="Oui",I275="Oui",J275="Oui",K275="Oui"),1,0))</x:f>
      </x:c>
      <x:c r="Q275" s="9"/>
      <x:c r="R275" s="12" t="str">
        <x:f>IF(A275="","",IF(C275="","OTP manquant",IF(COUNTIFS($A$6:$A$505,A275,$C$6:$C$505,C275)&gt;1,"Doublon OTP","")))</x:f>
      </x:c>
    </x:row>
    <x:row r="276" ht="23" customHeight="1">
      <x:c r="A276" s="9"/>
      <x:c r="B276" s="9"/>
      <x:c r="C276" s="9"/>
      <x:c r="D276" s="9"/>
      <x:c r="E276" s="9"/>
      <x:c r="F276" s="11"/>
      <x:c r="G276" s="9"/>
      <x:c r="H276" s="9"/>
      <x:c r="I276" s="9"/>
      <x:c r="J276" s="9"/>
      <x:c r="K276" s="9"/>
      <x:c r="L276" s="9"/>
      <x:c r="M276" s="9"/>
      <x:c r="N276" s="12" t="str">
        <x:f>IF(A276="","",IF(ISNUMBER(F276),F276-'Tableau de bord'!$F$5,""))</x:f>
      </x:c>
      <x:c r="O276" s="12" t="str">
        <x:f>IF(A276="","",IF(ISNUMBER(F276),IF(N276&lt;0,"Expiré",IF(N276&lt;='Paramètres'!$E$6,"À renouveler","À jour")),"À compléter"))</x:f>
      </x:c>
      <x:c r="P276" s="12" t="str">
        <x:f>IF(A276="","",IF(AND(ISNUMBER(F276),F276&gt;'Tableau de bord'!$F$5,G276="Oui",H276="Oui",I276="Oui",J276="Oui",K276="Oui"),1,0))</x:f>
      </x:c>
      <x:c r="Q276" s="9"/>
      <x:c r="R276" s="12" t="str">
        <x:f>IF(A276="","",IF(C276="","OTP manquant",IF(COUNTIFS($A$6:$A$505,A276,$C$6:$C$505,C276)&gt;1,"Doublon OTP","")))</x:f>
      </x:c>
    </x:row>
    <x:row r="277" ht="23" customHeight="1">
      <x:c r="A277" s="9"/>
      <x:c r="B277" s="9"/>
      <x:c r="C277" s="9"/>
      <x:c r="D277" s="9"/>
      <x:c r="E277" s="9"/>
      <x:c r="F277" s="11"/>
      <x:c r="G277" s="9"/>
      <x:c r="H277" s="9"/>
      <x:c r="I277" s="9"/>
      <x:c r="J277" s="9"/>
      <x:c r="K277" s="9"/>
      <x:c r="L277" s="9"/>
      <x:c r="M277" s="9"/>
      <x:c r="N277" s="12" t="str">
        <x:f>IF(A277="","",IF(ISNUMBER(F277),F277-'Tableau de bord'!$F$5,""))</x:f>
      </x:c>
      <x:c r="O277" s="12" t="str">
        <x:f>IF(A277="","",IF(ISNUMBER(F277),IF(N277&lt;0,"Expiré",IF(N277&lt;='Paramètres'!$E$6,"À renouveler","À jour")),"À compléter"))</x:f>
      </x:c>
      <x:c r="P277" s="12" t="str">
        <x:f>IF(A277="","",IF(AND(ISNUMBER(F277),F277&gt;'Tableau de bord'!$F$5,G277="Oui",H277="Oui",I277="Oui",J277="Oui",K277="Oui"),1,0))</x:f>
      </x:c>
      <x:c r="Q277" s="9"/>
      <x:c r="R277" s="12" t="str">
        <x:f>IF(A277="","",IF(C277="","OTP manquant",IF(COUNTIFS($A$6:$A$505,A277,$C$6:$C$505,C277)&gt;1,"Doublon OTP","")))</x:f>
      </x:c>
    </x:row>
    <x:row r="278" ht="23" customHeight="1">
      <x:c r="A278" s="9"/>
      <x:c r="B278" s="9"/>
      <x:c r="C278" s="9"/>
      <x:c r="D278" s="9"/>
      <x:c r="E278" s="9"/>
      <x:c r="F278" s="11"/>
      <x:c r="G278" s="9"/>
      <x:c r="H278" s="9"/>
      <x:c r="I278" s="9"/>
      <x:c r="J278" s="9"/>
      <x:c r="K278" s="9"/>
      <x:c r="L278" s="9"/>
      <x:c r="M278" s="9"/>
      <x:c r="N278" s="12" t="str">
        <x:f>IF(A278="","",IF(ISNUMBER(F278),F278-'Tableau de bord'!$F$5,""))</x:f>
      </x:c>
      <x:c r="O278" s="12" t="str">
        <x:f>IF(A278="","",IF(ISNUMBER(F278),IF(N278&lt;0,"Expiré",IF(N278&lt;='Paramètres'!$E$6,"À renouveler","À jour")),"À compléter"))</x:f>
      </x:c>
      <x:c r="P278" s="12" t="str">
        <x:f>IF(A278="","",IF(AND(ISNUMBER(F278),F278&gt;'Tableau de bord'!$F$5,G278="Oui",H278="Oui",I278="Oui",J278="Oui",K278="Oui"),1,0))</x:f>
      </x:c>
      <x:c r="Q278" s="9"/>
      <x:c r="R278" s="12" t="str">
        <x:f>IF(A278="","",IF(C278="","OTP manquant",IF(COUNTIFS($A$6:$A$505,A278,$C$6:$C$505,C278)&gt;1,"Doublon OTP","")))</x:f>
      </x:c>
    </x:row>
    <x:row r="279" ht="23" customHeight="1">
      <x:c r="A279" s="9"/>
      <x:c r="B279" s="9"/>
      <x:c r="C279" s="9"/>
      <x:c r="D279" s="9"/>
      <x:c r="E279" s="9"/>
      <x:c r="F279" s="11"/>
      <x:c r="G279" s="9"/>
      <x:c r="H279" s="9"/>
      <x:c r="I279" s="9"/>
      <x:c r="J279" s="9"/>
      <x:c r="K279" s="9"/>
      <x:c r="L279" s="9"/>
      <x:c r="M279" s="9"/>
      <x:c r="N279" s="12" t="str">
        <x:f>IF(A279="","",IF(ISNUMBER(F279),F279-'Tableau de bord'!$F$5,""))</x:f>
      </x:c>
      <x:c r="O279" s="12" t="str">
        <x:f>IF(A279="","",IF(ISNUMBER(F279),IF(N279&lt;0,"Expiré",IF(N279&lt;='Paramètres'!$E$6,"À renouveler","À jour")),"À compléter"))</x:f>
      </x:c>
      <x:c r="P279" s="12" t="str">
        <x:f>IF(A279="","",IF(AND(ISNUMBER(F279),F279&gt;'Tableau de bord'!$F$5,G279="Oui",H279="Oui",I279="Oui",J279="Oui",K279="Oui"),1,0))</x:f>
      </x:c>
      <x:c r="Q279" s="9"/>
      <x:c r="R279" s="12" t="str">
        <x:f>IF(A279="","",IF(C279="","OTP manquant",IF(COUNTIFS($A$6:$A$505,A279,$C$6:$C$505,C279)&gt;1,"Doublon OTP","")))</x:f>
      </x:c>
    </x:row>
    <x:row r="280" ht="23" customHeight="1">
      <x:c r="A280" s="9"/>
      <x:c r="B280" s="9"/>
      <x:c r="C280" s="9"/>
      <x:c r="D280" s="9"/>
      <x:c r="E280" s="9"/>
      <x:c r="F280" s="11"/>
      <x:c r="G280" s="9"/>
      <x:c r="H280" s="9"/>
      <x:c r="I280" s="9"/>
      <x:c r="J280" s="9"/>
      <x:c r="K280" s="9"/>
      <x:c r="L280" s="9"/>
      <x:c r="M280" s="9"/>
      <x:c r="N280" s="12" t="str">
        <x:f>IF(A280="","",IF(ISNUMBER(F280),F280-'Tableau de bord'!$F$5,""))</x:f>
      </x:c>
      <x:c r="O280" s="12" t="str">
        <x:f>IF(A280="","",IF(ISNUMBER(F280),IF(N280&lt;0,"Expiré",IF(N280&lt;='Paramètres'!$E$6,"À renouveler","À jour")),"À compléter"))</x:f>
      </x:c>
      <x:c r="P280" s="12" t="str">
        <x:f>IF(A280="","",IF(AND(ISNUMBER(F280),F280&gt;'Tableau de bord'!$F$5,G280="Oui",H280="Oui",I280="Oui",J280="Oui",K280="Oui"),1,0))</x:f>
      </x:c>
      <x:c r="Q280" s="9"/>
      <x:c r="R280" s="12" t="str">
        <x:f>IF(A280="","",IF(C280="","OTP manquant",IF(COUNTIFS($A$6:$A$505,A280,$C$6:$C$505,C280)&gt;1,"Doublon OTP","")))</x:f>
      </x:c>
    </x:row>
    <x:row r="281" ht="23" customHeight="1">
      <x:c r="A281" s="9"/>
      <x:c r="B281" s="9"/>
      <x:c r="C281" s="9"/>
      <x:c r="D281" s="9"/>
      <x:c r="E281" s="9"/>
      <x:c r="F281" s="11"/>
      <x:c r="G281" s="9"/>
      <x:c r="H281" s="9"/>
      <x:c r="I281" s="9"/>
      <x:c r="J281" s="9"/>
      <x:c r="K281" s="9"/>
      <x:c r="L281" s="9"/>
      <x:c r="M281" s="9"/>
      <x:c r="N281" s="12" t="str">
        <x:f>IF(A281="","",IF(ISNUMBER(F281),F281-'Tableau de bord'!$F$5,""))</x:f>
      </x:c>
      <x:c r="O281" s="12" t="str">
        <x:f>IF(A281="","",IF(ISNUMBER(F281),IF(N281&lt;0,"Expiré",IF(N281&lt;='Paramètres'!$E$6,"À renouveler","À jour")),"À compléter"))</x:f>
      </x:c>
      <x:c r="P281" s="12" t="str">
        <x:f>IF(A281="","",IF(AND(ISNUMBER(F281),F281&gt;'Tableau de bord'!$F$5,G281="Oui",H281="Oui",I281="Oui",J281="Oui",K281="Oui"),1,0))</x:f>
      </x:c>
      <x:c r="Q281" s="9"/>
      <x:c r="R281" s="12" t="str">
        <x:f>IF(A281="","",IF(C281="","OTP manquant",IF(COUNTIFS($A$6:$A$505,A281,$C$6:$C$505,C281)&gt;1,"Doublon OTP","")))</x:f>
      </x:c>
    </x:row>
    <x:row r="282" ht="23" customHeight="1">
      <x:c r="A282" s="9"/>
      <x:c r="B282" s="9"/>
      <x:c r="C282" s="9"/>
      <x:c r="D282" s="9"/>
      <x:c r="E282" s="9"/>
      <x:c r="F282" s="11"/>
      <x:c r="G282" s="9"/>
      <x:c r="H282" s="9"/>
      <x:c r="I282" s="9"/>
      <x:c r="J282" s="9"/>
      <x:c r="K282" s="9"/>
      <x:c r="L282" s="9"/>
      <x:c r="M282" s="9"/>
      <x:c r="N282" s="12" t="str">
        <x:f>IF(A282="","",IF(ISNUMBER(F282),F282-'Tableau de bord'!$F$5,""))</x:f>
      </x:c>
      <x:c r="O282" s="12" t="str">
        <x:f>IF(A282="","",IF(ISNUMBER(F282),IF(N282&lt;0,"Expiré",IF(N282&lt;='Paramètres'!$E$6,"À renouveler","À jour")),"À compléter"))</x:f>
      </x:c>
      <x:c r="P282" s="12" t="str">
        <x:f>IF(A282="","",IF(AND(ISNUMBER(F282),F282&gt;'Tableau de bord'!$F$5,G282="Oui",H282="Oui",I282="Oui",J282="Oui",K282="Oui"),1,0))</x:f>
      </x:c>
      <x:c r="Q282" s="9"/>
      <x:c r="R282" s="12" t="str">
        <x:f>IF(A282="","",IF(C282="","OTP manquant",IF(COUNTIFS($A$6:$A$505,A282,$C$6:$C$505,C282)&gt;1,"Doublon OTP","")))</x:f>
      </x:c>
    </x:row>
    <x:row r="283" ht="23" customHeight="1">
      <x:c r="A283" s="9"/>
      <x:c r="B283" s="9"/>
      <x:c r="C283" s="9"/>
      <x:c r="D283" s="9"/>
      <x:c r="E283" s="9"/>
      <x:c r="F283" s="11"/>
      <x:c r="G283" s="9"/>
      <x:c r="H283" s="9"/>
      <x:c r="I283" s="9"/>
      <x:c r="J283" s="9"/>
      <x:c r="K283" s="9"/>
      <x:c r="L283" s="9"/>
      <x:c r="M283" s="9"/>
      <x:c r="N283" s="12" t="str">
        <x:f>IF(A283="","",IF(ISNUMBER(F283),F283-'Tableau de bord'!$F$5,""))</x:f>
      </x:c>
      <x:c r="O283" s="12" t="str">
        <x:f>IF(A283="","",IF(ISNUMBER(F283),IF(N283&lt;0,"Expiré",IF(N283&lt;='Paramètres'!$E$6,"À renouveler","À jour")),"À compléter"))</x:f>
      </x:c>
      <x:c r="P283" s="12" t="str">
        <x:f>IF(A283="","",IF(AND(ISNUMBER(F283),F283&gt;'Tableau de bord'!$F$5,G283="Oui",H283="Oui",I283="Oui",J283="Oui",K283="Oui"),1,0))</x:f>
      </x:c>
      <x:c r="Q283" s="9"/>
      <x:c r="R283" s="12" t="str">
        <x:f>IF(A283="","",IF(C283="","OTP manquant",IF(COUNTIFS($A$6:$A$505,A283,$C$6:$C$505,C283)&gt;1,"Doublon OTP","")))</x:f>
      </x:c>
    </x:row>
    <x:row r="284" ht="23" customHeight="1">
      <x:c r="A284" s="9"/>
      <x:c r="B284" s="9"/>
      <x:c r="C284" s="9"/>
      <x:c r="D284" s="9"/>
      <x:c r="E284" s="9"/>
      <x:c r="F284" s="11"/>
      <x:c r="G284" s="9"/>
      <x:c r="H284" s="9"/>
      <x:c r="I284" s="9"/>
      <x:c r="J284" s="9"/>
      <x:c r="K284" s="9"/>
      <x:c r="L284" s="9"/>
      <x:c r="M284" s="9"/>
      <x:c r="N284" s="12" t="str">
        <x:f>IF(A284="","",IF(ISNUMBER(F284),F284-'Tableau de bord'!$F$5,""))</x:f>
      </x:c>
      <x:c r="O284" s="12" t="str">
        <x:f>IF(A284="","",IF(ISNUMBER(F284),IF(N284&lt;0,"Expiré",IF(N284&lt;='Paramètres'!$E$6,"À renouveler","À jour")),"À compléter"))</x:f>
      </x:c>
      <x:c r="P284" s="12" t="str">
        <x:f>IF(A284="","",IF(AND(ISNUMBER(F284),F284&gt;'Tableau de bord'!$F$5,G284="Oui",H284="Oui",I284="Oui",J284="Oui",K284="Oui"),1,0))</x:f>
      </x:c>
      <x:c r="Q284" s="9"/>
      <x:c r="R284" s="12" t="str">
        <x:f>IF(A284="","",IF(C284="","OTP manquant",IF(COUNTIFS($A$6:$A$505,A284,$C$6:$C$505,C284)&gt;1,"Doublon OTP","")))</x:f>
      </x:c>
    </x:row>
    <x:row r="285" ht="23" customHeight="1">
      <x:c r="A285" s="9"/>
      <x:c r="B285" s="9"/>
      <x:c r="C285" s="9"/>
      <x:c r="D285" s="9"/>
      <x:c r="E285" s="9"/>
      <x:c r="F285" s="11"/>
      <x:c r="G285" s="9"/>
      <x:c r="H285" s="9"/>
      <x:c r="I285" s="9"/>
      <x:c r="J285" s="9"/>
      <x:c r="K285" s="9"/>
      <x:c r="L285" s="9"/>
      <x:c r="M285" s="9"/>
      <x:c r="N285" s="12" t="str">
        <x:f>IF(A285="","",IF(ISNUMBER(F285),F285-'Tableau de bord'!$F$5,""))</x:f>
      </x:c>
      <x:c r="O285" s="12" t="str">
        <x:f>IF(A285="","",IF(ISNUMBER(F285),IF(N285&lt;0,"Expiré",IF(N285&lt;='Paramètres'!$E$6,"À renouveler","À jour")),"À compléter"))</x:f>
      </x:c>
      <x:c r="P285" s="12" t="str">
        <x:f>IF(A285="","",IF(AND(ISNUMBER(F285),F285&gt;'Tableau de bord'!$F$5,G285="Oui",H285="Oui",I285="Oui",J285="Oui",K285="Oui"),1,0))</x:f>
      </x:c>
      <x:c r="Q285" s="9"/>
      <x:c r="R285" s="12" t="str">
        <x:f>IF(A285="","",IF(C285="","OTP manquant",IF(COUNTIFS($A$6:$A$505,A285,$C$6:$C$505,C285)&gt;1,"Doublon OTP","")))</x:f>
      </x:c>
    </x:row>
    <x:row r="286" ht="23" customHeight="1">
      <x:c r="A286" s="9"/>
      <x:c r="B286" s="9"/>
      <x:c r="C286" s="9"/>
      <x:c r="D286" s="9"/>
      <x:c r="E286" s="9"/>
      <x:c r="F286" s="11"/>
      <x:c r="G286" s="9"/>
      <x:c r="H286" s="9"/>
      <x:c r="I286" s="9"/>
      <x:c r="J286" s="9"/>
      <x:c r="K286" s="9"/>
      <x:c r="L286" s="9"/>
      <x:c r="M286" s="9"/>
      <x:c r="N286" s="12" t="str">
        <x:f>IF(A286="","",IF(ISNUMBER(F286),F286-'Tableau de bord'!$F$5,""))</x:f>
      </x:c>
      <x:c r="O286" s="12" t="str">
        <x:f>IF(A286="","",IF(ISNUMBER(F286),IF(N286&lt;0,"Expiré",IF(N286&lt;='Paramètres'!$E$6,"À renouveler","À jour")),"À compléter"))</x:f>
      </x:c>
      <x:c r="P286" s="12" t="str">
        <x:f>IF(A286="","",IF(AND(ISNUMBER(F286),F286&gt;'Tableau de bord'!$F$5,G286="Oui",H286="Oui",I286="Oui",J286="Oui",K286="Oui"),1,0))</x:f>
      </x:c>
      <x:c r="Q286" s="9"/>
      <x:c r="R286" s="12" t="str">
        <x:f>IF(A286="","",IF(C286="","OTP manquant",IF(COUNTIFS($A$6:$A$505,A286,$C$6:$C$505,C286)&gt;1,"Doublon OTP","")))</x:f>
      </x:c>
    </x:row>
    <x:row r="287" ht="23" customHeight="1">
      <x:c r="A287" s="9"/>
      <x:c r="B287" s="9"/>
      <x:c r="C287" s="9"/>
      <x:c r="D287" s="9"/>
      <x:c r="E287" s="9"/>
      <x:c r="F287" s="11"/>
      <x:c r="G287" s="9"/>
      <x:c r="H287" s="9"/>
      <x:c r="I287" s="9"/>
      <x:c r="J287" s="9"/>
      <x:c r="K287" s="9"/>
      <x:c r="L287" s="9"/>
      <x:c r="M287" s="9"/>
      <x:c r="N287" s="12" t="str">
        <x:f>IF(A287="","",IF(ISNUMBER(F287),F287-'Tableau de bord'!$F$5,""))</x:f>
      </x:c>
      <x:c r="O287" s="12" t="str">
        <x:f>IF(A287="","",IF(ISNUMBER(F287),IF(N287&lt;0,"Expiré",IF(N287&lt;='Paramètres'!$E$6,"À renouveler","À jour")),"À compléter"))</x:f>
      </x:c>
      <x:c r="P287" s="12" t="str">
        <x:f>IF(A287="","",IF(AND(ISNUMBER(F287),F287&gt;'Tableau de bord'!$F$5,G287="Oui",H287="Oui",I287="Oui",J287="Oui",K287="Oui"),1,0))</x:f>
      </x:c>
      <x:c r="Q287" s="9"/>
      <x:c r="R287" s="12" t="str">
        <x:f>IF(A287="","",IF(C287="","OTP manquant",IF(COUNTIFS($A$6:$A$505,A287,$C$6:$C$505,C287)&gt;1,"Doublon OTP","")))</x:f>
      </x:c>
    </x:row>
    <x:row r="288" ht="23" customHeight="1">
      <x:c r="A288" s="9"/>
      <x:c r="B288" s="9"/>
      <x:c r="C288" s="9"/>
      <x:c r="D288" s="9"/>
      <x:c r="E288" s="9"/>
      <x:c r="F288" s="11"/>
      <x:c r="G288" s="9"/>
      <x:c r="H288" s="9"/>
      <x:c r="I288" s="9"/>
      <x:c r="J288" s="9"/>
      <x:c r="K288" s="9"/>
      <x:c r="L288" s="9"/>
      <x:c r="M288" s="9"/>
      <x:c r="N288" s="12" t="str">
        <x:f>IF(A288="","",IF(ISNUMBER(F288),F288-'Tableau de bord'!$F$5,""))</x:f>
      </x:c>
      <x:c r="O288" s="12" t="str">
        <x:f>IF(A288="","",IF(ISNUMBER(F288),IF(N288&lt;0,"Expiré",IF(N288&lt;='Paramètres'!$E$6,"À renouveler","À jour")),"À compléter"))</x:f>
      </x:c>
      <x:c r="P288" s="12" t="str">
        <x:f>IF(A288="","",IF(AND(ISNUMBER(F288),F288&gt;'Tableau de bord'!$F$5,G288="Oui",H288="Oui",I288="Oui",J288="Oui",K288="Oui"),1,0))</x:f>
      </x:c>
      <x:c r="Q288" s="9"/>
      <x:c r="R288" s="12" t="str">
        <x:f>IF(A288="","",IF(C288="","OTP manquant",IF(COUNTIFS($A$6:$A$505,A288,$C$6:$C$505,C288)&gt;1,"Doublon OTP","")))</x:f>
      </x:c>
    </x:row>
    <x:row r="289" ht="23" customHeight="1">
      <x:c r="A289" s="9"/>
      <x:c r="B289" s="9"/>
      <x:c r="C289" s="9"/>
      <x:c r="D289" s="9"/>
      <x:c r="E289" s="9"/>
      <x:c r="F289" s="11"/>
      <x:c r="G289" s="9"/>
      <x:c r="H289" s="9"/>
      <x:c r="I289" s="9"/>
      <x:c r="J289" s="9"/>
      <x:c r="K289" s="9"/>
      <x:c r="L289" s="9"/>
      <x:c r="M289" s="9"/>
      <x:c r="N289" s="12" t="str">
        <x:f>IF(A289="","",IF(ISNUMBER(F289),F289-'Tableau de bord'!$F$5,""))</x:f>
      </x:c>
      <x:c r="O289" s="12" t="str">
        <x:f>IF(A289="","",IF(ISNUMBER(F289),IF(N289&lt;0,"Expiré",IF(N289&lt;='Paramètres'!$E$6,"À renouveler","À jour")),"À compléter"))</x:f>
      </x:c>
      <x:c r="P289" s="12" t="str">
        <x:f>IF(A289="","",IF(AND(ISNUMBER(F289),F289&gt;'Tableau de bord'!$F$5,G289="Oui",H289="Oui",I289="Oui",J289="Oui",K289="Oui"),1,0))</x:f>
      </x:c>
      <x:c r="Q289" s="9"/>
      <x:c r="R289" s="12" t="str">
        <x:f>IF(A289="","",IF(C289="","OTP manquant",IF(COUNTIFS($A$6:$A$505,A289,$C$6:$C$505,C289)&gt;1,"Doublon OTP","")))</x:f>
      </x:c>
    </x:row>
    <x:row r="290" ht="23" customHeight="1">
      <x:c r="A290" s="9"/>
      <x:c r="B290" s="9"/>
      <x:c r="C290" s="9"/>
      <x:c r="D290" s="9"/>
      <x:c r="E290" s="9"/>
      <x:c r="F290" s="11"/>
      <x:c r="G290" s="9"/>
      <x:c r="H290" s="9"/>
      <x:c r="I290" s="9"/>
      <x:c r="J290" s="9"/>
      <x:c r="K290" s="9"/>
      <x:c r="L290" s="9"/>
      <x:c r="M290" s="9"/>
      <x:c r="N290" s="12" t="str">
        <x:f>IF(A290="","",IF(ISNUMBER(F290),F290-'Tableau de bord'!$F$5,""))</x:f>
      </x:c>
      <x:c r="O290" s="12" t="str">
        <x:f>IF(A290="","",IF(ISNUMBER(F290),IF(N290&lt;0,"Expiré",IF(N290&lt;='Paramètres'!$E$6,"À renouveler","À jour")),"À compléter"))</x:f>
      </x:c>
      <x:c r="P290" s="12" t="str">
        <x:f>IF(A290="","",IF(AND(ISNUMBER(F290),F290&gt;'Tableau de bord'!$F$5,G290="Oui",H290="Oui",I290="Oui",J290="Oui",K290="Oui"),1,0))</x:f>
      </x:c>
      <x:c r="Q290" s="9"/>
      <x:c r="R290" s="12" t="str">
        <x:f>IF(A290="","",IF(C290="","OTP manquant",IF(COUNTIFS($A$6:$A$505,A290,$C$6:$C$505,C290)&gt;1,"Doublon OTP","")))</x:f>
      </x:c>
    </x:row>
    <x:row r="291" ht="23" customHeight="1">
      <x:c r="A291" s="9"/>
      <x:c r="B291" s="9"/>
      <x:c r="C291" s="9"/>
      <x:c r="D291" s="9"/>
      <x:c r="E291" s="9"/>
      <x:c r="F291" s="11"/>
      <x:c r="G291" s="9"/>
      <x:c r="H291" s="9"/>
      <x:c r="I291" s="9"/>
      <x:c r="J291" s="9"/>
      <x:c r="K291" s="9"/>
      <x:c r="L291" s="9"/>
      <x:c r="M291" s="9"/>
      <x:c r="N291" s="12" t="str">
        <x:f>IF(A291="","",IF(ISNUMBER(F291),F291-'Tableau de bord'!$F$5,""))</x:f>
      </x:c>
      <x:c r="O291" s="12" t="str">
        <x:f>IF(A291="","",IF(ISNUMBER(F291),IF(N291&lt;0,"Expiré",IF(N291&lt;='Paramètres'!$E$6,"À renouveler","À jour")),"À compléter"))</x:f>
      </x:c>
      <x:c r="P291" s="12" t="str">
        <x:f>IF(A291="","",IF(AND(ISNUMBER(F291),F291&gt;'Tableau de bord'!$F$5,G291="Oui",H291="Oui",I291="Oui",J291="Oui",K291="Oui"),1,0))</x:f>
      </x:c>
      <x:c r="Q291" s="9"/>
      <x:c r="R291" s="12" t="str">
        <x:f>IF(A291="","",IF(C291="","OTP manquant",IF(COUNTIFS($A$6:$A$505,A291,$C$6:$C$505,C291)&gt;1,"Doublon OTP","")))</x:f>
      </x:c>
    </x:row>
    <x:row r="292" ht="23" customHeight="1">
      <x:c r="A292" s="9"/>
      <x:c r="B292" s="9"/>
      <x:c r="C292" s="9"/>
      <x:c r="D292" s="9"/>
      <x:c r="E292" s="9"/>
      <x:c r="F292" s="11"/>
      <x:c r="G292" s="9"/>
      <x:c r="H292" s="9"/>
      <x:c r="I292" s="9"/>
      <x:c r="J292" s="9"/>
      <x:c r="K292" s="9"/>
      <x:c r="L292" s="9"/>
      <x:c r="M292" s="9"/>
      <x:c r="N292" s="12" t="str">
        <x:f>IF(A292="","",IF(ISNUMBER(F292),F292-'Tableau de bord'!$F$5,""))</x:f>
      </x:c>
      <x:c r="O292" s="12" t="str">
        <x:f>IF(A292="","",IF(ISNUMBER(F292),IF(N292&lt;0,"Expiré",IF(N292&lt;='Paramètres'!$E$6,"À renouveler","À jour")),"À compléter"))</x:f>
      </x:c>
      <x:c r="P292" s="12" t="str">
        <x:f>IF(A292="","",IF(AND(ISNUMBER(F292),F292&gt;'Tableau de bord'!$F$5,G292="Oui",H292="Oui",I292="Oui",J292="Oui",K292="Oui"),1,0))</x:f>
      </x:c>
      <x:c r="Q292" s="9"/>
      <x:c r="R292" s="12" t="str">
        <x:f>IF(A292="","",IF(C292="","OTP manquant",IF(COUNTIFS($A$6:$A$505,A292,$C$6:$C$505,C292)&gt;1,"Doublon OTP","")))</x:f>
      </x:c>
    </x:row>
    <x:row r="293" ht="23" customHeight="1">
      <x:c r="A293" s="9"/>
      <x:c r="B293" s="9"/>
      <x:c r="C293" s="9"/>
      <x:c r="D293" s="9"/>
      <x:c r="E293" s="9"/>
      <x:c r="F293" s="11"/>
      <x:c r="G293" s="9"/>
      <x:c r="H293" s="9"/>
      <x:c r="I293" s="9"/>
      <x:c r="J293" s="9"/>
      <x:c r="K293" s="9"/>
      <x:c r="L293" s="9"/>
      <x:c r="M293" s="9"/>
      <x:c r="N293" s="12" t="str">
        <x:f>IF(A293="","",IF(ISNUMBER(F293),F293-'Tableau de bord'!$F$5,""))</x:f>
      </x:c>
      <x:c r="O293" s="12" t="str">
        <x:f>IF(A293="","",IF(ISNUMBER(F293),IF(N293&lt;0,"Expiré",IF(N293&lt;='Paramètres'!$E$6,"À renouveler","À jour")),"À compléter"))</x:f>
      </x:c>
      <x:c r="P293" s="12" t="str">
        <x:f>IF(A293="","",IF(AND(ISNUMBER(F293),F293&gt;'Tableau de bord'!$F$5,G293="Oui",H293="Oui",I293="Oui",J293="Oui",K293="Oui"),1,0))</x:f>
      </x:c>
      <x:c r="Q293" s="9"/>
      <x:c r="R293" s="12" t="str">
        <x:f>IF(A293="","",IF(C293="","OTP manquant",IF(COUNTIFS($A$6:$A$505,A293,$C$6:$C$505,C293)&gt;1,"Doublon OTP","")))</x:f>
      </x:c>
    </x:row>
    <x:row r="294" ht="23" customHeight="1">
      <x:c r="A294" s="9"/>
      <x:c r="B294" s="9"/>
      <x:c r="C294" s="9"/>
      <x:c r="D294" s="9"/>
      <x:c r="E294" s="9"/>
      <x:c r="F294" s="11"/>
      <x:c r="G294" s="9"/>
      <x:c r="H294" s="9"/>
      <x:c r="I294" s="9"/>
      <x:c r="J294" s="9"/>
      <x:c r="K294" s="9"/>
      <x:c r="L294" s="9"/>
      <x:c r="M294" s="9"/>
      <x:c r="N294" s="12" t="str">
        <x:f>IF(A294="","",IF(ISNUMBER(F294),F294-'Tableau de bord'!$F$5,""))</x:f>
      </x:c>
      <x:c r="O294" s="12" t="str">
        <x:f>IF(A294="","",IF(ISNUMBER(F294),IF(N294&lt;0,"Expiré",IF(N294&lt;='Paramètres'!$E$6,"À renouveler","À jour")),"À compléter"))</x:f>
      </x:c>
      <x:c r="P294" s="12" t="str">
        <x:f>IF(A294="","",IF(AND(ISNUMBER(F294),F294&gt;'Tableau de bord'!$F$5,G294="Oui",H294="Oui",I294="Oui",J294="Oui",K294="Oui"),1,0))</x:f>
      </x:c>
      <x:c r="Q294" s="9"/>
      <x:c r="R294" s="12" t="str">
        <x:f>IF(A294="","",IF(C294="","OTP manquant",IF(COUNTIFS($A$6:$A$505,A294,$C$6:$C$505,C294)&gt;1,"Doublon OTP","")))</x:f>
      </x:c>
    </x:row>
    <x:row r="295" ht="23" customHeight="1">
      <x:c r="A295" s="9"/>
      <x:c r="B295" s="9"/>
      <x:c r="C295" s="9"/>
      <x:c r="D295" s="9"/>
      <x:c r="E295" s="9"/>
      <x:c r="F295" s="11"/>
      <x:c r="G295" s="9"/>
      <x:c r="H295" s="9"/>
      <x:c r="I295" s="9"/>
      <x:c r="J295" s="9"/>
      <x:c r="K295" s="9"/>
      <x:c r="L295" s="9"/>
      <x:c r="M295" s="9"/>
      <x:c r="N295" s="12" t="str">
        <x:f>IF(A295="","",IF(ISNUMBER(F295),F295-'Tableau de bord'!$F$5,""))</x:f>
      </x:c>
      <x:c r="O295" s="12" t="str">
        <x:f>IF(A295="","",IF(ISNUMBER(F295),IF(N295&lt;0,"Expiré",IF(N295&lt;='Paramètres'!$E$6,"À renouveler","À jour")),"À compléter"))</x:f>
      </x:c>
      <x:c r="P295" s="12" t="str">
        <x:f>IF(A295="","",IF(AND(ISNUMBER(F295),F295&gt;'Tableau de bord'!$F$5,G295="Oui",H295="Oui",I295="Oui",J295="Oui",K295="Oui"),1,0))</x:f>
      </x:c>
      <x:c r="Q295" s="9"/>
      <x:c r="R295" s="12" t="str">
        <x:f>IF(A295="","",IF(C295="","OTP manquant",IF(COUNTIFS($A$6:$A$505,A295,$C$6:$C$505,C295)&gt;1,"Doublon OTP","")))</x:f>
      </x:c>
    </x:row>
    <x:row r="296" ht="23" customHeight="1">
      <x:c r="A296" s="9"/>
      <x:c r="B296" s="9"/>
      <x:c r="C296" s="9"/>
      <x:c r="D296" s="9"/>
      <x:c r="E296" s="9"/>
      <x:c r="F296" s="11"/>
      <x:c r="G296" s="9"/>
      <x:c r="H296" s="9"/>
      <x:c r="I296" s="9"/>
      <x:c r="J296" s="9"/>
      <x:c r="K296" s="9"/>
      <x:c r="L296" s="9"/>
      <x:c r="M296" s="9"/>
      <x:c r="N296" s="12" t="str">
        <x:f>IF(A296="","",IF(ISNUMBER(F296),F296-'Tableau de bord'!$F$5,""))</x:f>
      </x:c>
      <x:c r="O296" s="12" t="str">
        <x:f>IF(A296="","",IF(ISNUMBER(F296),IF(N296&lt;0,"Expiré",IF(N296&lt;='Paramètres'!$E$6,"À renouveler","À jour")),"À compléter"))</x:f>
      </x:c>
      <x:c r="P296" s="12" t="str">
        <x:f>IF(A296="","",IF(AND(ISNUMBER(F296),F296&gt;'Tableau de bord'!$F$5,G296="Oui",H296="Oui",I296="Oui",J296="Oui",K296="Oui"),1,0))</x:f>
      </x:c>
      <x:c r="Q296" s="9"/>
      <x:c r="R296" s="12" t="str">
        <x:f>IF(A296="","",IF(C296="","OTP manquant",IF(COUNTIFS($A$6:$A$505,A296,$C$6:$C$505,C296)&gt;1,"Doublon OTP","")))</x:f>
      </x:c>
    </x:row>
    <x:row r="297" ht="23" customHeight="1">
      <x:c r="A297" s="9"/>
      <x:c r="B297" s="9"/>
      <x:c r="C297" s="9"/>
      <x:c r="D297" s="9"/>
      <x:c r="E297" s="9"/>
      <x:c r="F297" s="11"/>
      <x:c r="G297" s="9"/>
      <x:c r="H297" s="9"/>
      <x:c r="I297" s="9"/>
      <x:c r="J297" s="9"/>
      <x:c r="K297" s="9"/>
      <x:c r="L297" s="9"/>
      <x:c r="M297" s="9"/>
      <x:c r="N297" s="12" t="str">
        <x:f>IF(A297="","",IF(ISNUMBER(F297),F297-'Tableau de bord'!$F$5,""))</x:f>
      </x:c>
      <x:c r="O297" s="12" t="str">
        <x:f>IF(A297="","",IF(ISNUMBER(F297),IF(N297&lt;0,"Expiré",IF(N297&lt;='Paramètres'!$E$6,"À renouveler","À jour")),"À compléter"))</x:f>
      </x:c>
      <x:c r="P297" s="12" t="str">
        <x:f>IF(A297="","",IF(AND(ISNUMBER(F297),F297&gt;'Tableau de bord'!$F$5,G297="Oui",H297="Oui",I297="Oui",J297="Oui",K297="Oui"),1,0))</x:f>
      </x:c>
      <x:c r="Q297" s="9"/>
      <x:c r="R297" s="12" t="str">
        <x:f>IF(A297="","",IF(C297="","OTP manquant",IF(COUNTIFS($A$6:$A$505,A297,$C$6:$C$505,C297)&gt;1,"Doublon OTP","")))</x:f>
      </x:c>
    </x:row>
    <x:row r="298" ht="23" customHeight="1">
      <x:c r="A298" s="9"/>
      <x:c r="B298" s="9"/>
      <x:c r="C298" s="9"/>
      <x:c r="D298" s="9"/>
      <x:c r="E298" s="9"/>
      <x:c r="F298" s="11"/>
      <x:c r="G298" s="9"/>
      <x:c r="H298" s="9"/>
      <x:c r="I298" s="9"/>
      <x:c r="J298" s="9"/>
      <x:c r="K298" s="9"/>
      <x:c r="L298" s="9"/>
      <x:c r="M298" s="9"/>
      <x:c r="N298" s="12" t="str">
        <x:f>IF(A298="","",IF(ISNUMBER(F298),F298-'Tableau de bord'!$F$5,""))</x:f>
      </x:c>
      <x:c r="O298" s="12" t="str">
        <x:f>IF(A298="","",IF(ISNUMBER(F298),IF(N298&lt;0,"Expiré",IF(N298&lt;='Paramètres'!$E$6,"À renouveler","À jour")),"À compléter"))</x:f>
      </x:c>
      <x:c r="P298" s="12" t="str">
        <x:f>IF(A298="","",IF(AND(ISNUMBER(F298),F298&gt;'Tableau de bord'!$F$5,G298="Oui",H298="Oui",I298="Oui",J298="Oui",K298="Oui"),1,0))</x:f>
      </x:c>
      <x:c r="Q298" s="9"/>
      <x:c r="R298" s="12" t="str">
        <x:f>IF(A298="","",IF(C298="","OTP manquant",IF(COUNTIFS($A$6:$A$505,A298,$C$6:$C$505,C298)&gt;1,"Doublon OTP","")))</x:f>
      </x:c>
    </x:row>
    <x:row r="299" ht="23" customHeight="1">
      <x:c r="A299" s="9"/>
      <x:c r="B299" s="9"/>
      <x:c r="C299" s="9"/>
      <x:c r="D299" s="9"/>
      <x:c r="E299" s="9"/>
      <x:c r="F299" s="11"/>
      <x:c r="G299" s="9"/>
      <x:c r="H299" s="9"/>
      <x:c r="I299" s="9"/>
      <x:c r="J299" s="9"/>
      <x:c r="K299" s="9"/>
      <x:c r="L299" s="9"/>
      <x:c r="M299" s="9"/>
      <x:c r="N299" s="12" t="str">
        <x:f>IF(A299="","",IF(ISNUMBER(F299),F299-'Tableau de bord'!$F$5,""))</x:f>
      </x:c>
      <x:c r="O299" s="12" t="str">
        <x:f>IF(A299="","",IF(ISNUMBER(F299),IF(N299&lt;0,"Expiré",IF(N299&lt;='Paramètres'!$E$6,"À renouveler","À jour")),"À compléter"))</x:f>
      </x:c>
      <x:c r="P299" s="12" t="str">
        <x:f>IF(A299="","",IF(AND(ISNUMBER(F299),F299&gt;'Tableau de bord'!$F$5,G299="Oui",H299="Oui",I299="Oui",J299="Oui",K299="Oui"),1,0))</x:f>
      </x:c>
      <x:c r="Q299" s="9"/>
      <x:c r="R299" s="12" t="str">
        <x:f>IF(A299="","",IF(C299="","OTP manquant",IF(COUNTIFS($A$6:$A$505,A299,$C$6:$C$505,C299)&gt;1,"Doublon OTP","")))</x:f>
      </x:c>
    </x:row>
    <x:row r="300" ht="23" customHeight="1">
      <x:c r="A300" s="9"/>
      <x:c r="B300" s="9"/>
      <x:c r="C300" s="9"/>
      <x:c r="D300" s="9"/>
      <x:c r="E300" s="9"/>
      <x:c r="F300" s="11"/>
      <x:c r="G300" s="9"/>
      <x:c r="H300" s="9"/>
      <x:c r="I300" s="9"/>
      <x:c r="J300" s="9"/>
      <x:c r="K300" s="9"/>
      <x:c r="L300" s="9"/>
      <x:c r="M300" s="9"/>
      <x:c r="N300" s="12" t="str">
        <x:f>IF(A300="","",IF(ISNUMBER(F300),F300-'Tableau de bord'!$F$5,""))</x:f>
      </x:c>
      <x:c r="O300" s="12" t="str">
        <x:f>IF(A300="","",IF(ISNUMBER(F300),IF(N300&lt;0,"Expiré",IF(N300&lt;='Paramètres'!$E$6,"À renouveler","À jour")),"À compléter"))</x:f>
      </x:c>
      <x:c r="P300" s="12" t="str">
        <x:f>IF(A300="","",IF(AND(ISNUMBER(F300),F300&gt;'Tableau de bord'!$F$5,G300="Oui",H300="Oui",I300="Oui",J300="Oui",K300="Oui"),1,0))</x:f>
      </x:c>
      <x:c r="Q300" s="9"/>
      <x:c r="R300" s="12" t="str">
        <x:f>IF(A300="","",IF(C300="","OTP manquant",IF(COUNTIFS($A$6:$A$505,A300,$C$6:$C$505,C300)&gt;1,"Doublon OTP","")))</x:f>
      </x:c>
    </x:row>
    <x:row r="301" ht="23" customHeight="1">
      <x:c r="A301" s="9"/>
      <x:c r="B301" s="9"/>
      <x:c r="C301" s="9"/>
      <x:c r="D301" s="9"/>
      <x:c r="E301" s="9"/>
      <x:c r="F301" s="11"/>
      <x:c r="G301" s="9"/>
      <x:c r="H301" s="9"/>
      <x:c r="I301" s="9"/>
      <x:c r="J301" s="9"/>
      <x:c r="K301" s="9"/>
      <x:c r="L301" s="9"/>
      <x:c r="M301" s="9"/>
      <x:c r="N301" s="12" t="str">
        <x:f>IF(A301="","",IF(ISNUMBER(F301),F301-'Tableau de bord'!$F$5,""))</x:f>
      </x:c>
      <x:c r="O301" s="12" t="str">
        <x:f>IF(A301="","",IF(ISNUMBER(F301),IF(N301&lt;0,"Expiré",IF(N301&lt;='Paramètres'!$E$6,"À renouveler","À jour")),"À compléter"))</x:f>
      </x:c>
      <x:c r="P301" s="12" t="str">
        <x:f>IF(A301="","",IF(AND(ISNUMBER(F301),F301&gt;'Tableau de bord'!$F$5,G301="Oui",H301="Oui",I301="Oui",J301="Oui",K301="Oui"),1,0))</x:f>
      </x:c>
      <x:c r="Q301" s="9"/>
      <x:c r="R301" s="12" t="str">
        <x:f>IF(A301="","",IF(C301="","OTP manquant",IF(COUNTIFS($A$6:$A$505,A301,$C$6:$C$505,C301)&gt;1,"Doublon OTP","")))</x:f>
      </x:c>
    </x:row>
    <x:row r="302" ht="23" customHeight="1">
      <x:c r="A302" s="9"/>
      <x:c r="B302" s="9"/>
      <x:c r="C302" s="9"/>
      <x:c r="D302" s="9"/>
      <x:c r="E302" s="9"/>
      <x:c r="F302" s="11"/>
      <x:c r="G302" s="9"/>
      <x:c r="H302" s="9"/>
      <x:c r="I302" s="9"/>
      <x:c r="J302" s="9"/>
      <x:c r="K302" s="9"/>
      <x:c r="L302" s="9"/>
      <x:c r="M302" s="9"/>
      <x:c r="N302" s="12" t="str">
        <x:f>IF(A302="","",IF(ISNUMBER(F302),F302-'Tableau de bord'!$F$5,""))</x:f>
      </x:c>
      <x:c r="O302" s="12" t="str">
        <x:f>IF(A302="","",IF(ISNUMBER(F302),IF(N302&lt;0,"Expiré",IF(N302&lt;='Paramètres'!$E$6,"À renouveler","À jour")),"À compléter"))</x:f>
      </x:c>
      <x:c r="P302" s="12" t="str">
        <x:f>IF(A302="","",IF(AND(ISNUMBER(F302),F302&gt;'Tableau de bord'!$F$5,G302="Oui",H302="Oui",I302="Oui",J302="Oui",K302="Oui"),1,0))</x:f>
      </x:c>
      <x:c r="Q302" s="9"/>
      <x:c r="R302" s="12" t="str">
        <x:f>IF(A302="","",IF(C302="","OTP manquant",IF(COUNTIFS($A$6:$A$505,A302,$C$6:$C$505,C302)&gt;1,"Doublon OTP","")))</x:f>
      </x:c>
    </x:row>
    <x:row r="303" ht="23" customHeight="1">
      <x:c r="A303" s="9"/>
      <x:c r="B303" s="9"/>
      <x:c r="C303" s="9"/>
      <x:c r="D303" s="9"/>
      <x:c r="E303" s="9"/>
      <x:c r="F303" s="11"/>
      <x:c r="G303" s="9"/>
      <x:c r="H303" s="9"/>
      <x:c r="I303" s="9"/>
      <x:c r="J303" s="9"/>
      <x:c r="K303" s="9"/>
      <x:c r="L303" s="9"/>
      <x:c r="M303" s="9"/>
      <x:c r="N303" s="12" t="str">
        <x:f>IF(A303="","",IF(ISNUMBER(F303),F303-'Tableau de bord'!$F$5,""))</x:f>
      </x:c>
      <x:c r="O303" s="12" t="str">
        <x:f>IF(A303="","",IF(ISNUMBER(F303),IF(N303&lt;0,"Expiré",IF(N303&lt;='Paramètres'!$E$6,"À renouveler","À jour")),"À compléter"))</x:f>
      </x:c>
      <x:c r="P303" s="12" t="str">
        <x:f>IF(A303="","",IF(AND(ISNUMBER(F303),F303&gt;'Tableau de bord'!$F$5,G303="Oui",H303="Oui",I303="Oui",J303="Oui",K303="Oui"),1,0))</x:f>
      </x:c>
      <x:c r="Q303" s="9"/>
      <x:c r="R303" s="12" t="str">
        <x:f>IF(A303="","",IF(C303="","OTP manquant",IF(COUNTIFS($A$6:$A$505,A303,$C$6:$C$505,C303)&gt;1,"Doublon OTP","")))</x:f>
      </x:c>
    </x:row>
    <x:row r="304" ht="23" customHeight="1">
      <x:c r="A304" s="9"/>
      <x:c r="B304" s="9"/>
      <x:c r="C304" s="9"/>
      <x:c r="D304" s="9"/>
      <x:c r="E304" s="9"/>
      <x:c r="F304" s="11"/>
      <x:c r="G304" s="9"/>
      <x:c r="H304" s="9"/>
      <x:c r="I304" s="9"/>
      <x:c r="J304" s="9"/>
      <x:c r="K304" s="9"/>
      <x:c r="L304" s="9"/>
      <x:c r="M304" s="9"/>
      <x:c r="N304" s="12" t="str">
        <x:f>IF(A304="","",IF(ISNUMBER(F304),F304-'Tableau de bord'!$F$5,""))</x:f>
      </x:c>
      <x:c r="O304" s="12" t="str">
        <x:f>IF(A304="","",IF(ISNUMBER(F304),IF(N304&lt;0,"Expiré",IF(N304&lt;='Paramètres'!$E$6,"À renouveler","À jour")),"À compléter"))</x:f>
      </x:c>
      <x:c r="P304" s="12" t="str">
        <x:f>IF(A304="","",IF(AND(ISNUMBER(F304),F304&gt;'Tableau de bord'!$F$5,G304="Oui",H304="Oui",I304="Oui",J304="Oui",K304="Oui"),1,0))</x:f>
      </x:c>
      <x:c r="Q304" s="9"/>
      <x:c r="R304" s="12" t="str">
        <x:f>IF(A304="","",IF(C304="","OTP manquant",IF(COUNTIFS($A$6:$A$505,A304,$C$6:$C$505,C304)&gt;1,"Doublon OTP","")))</x:f>
      </x:c>
    </x:row>
    <x:row r="305" ht="23" customHeight="1">
      <x:c r="A305" s="9"/>
      <x:c r="B305" s="9"/>
      <x:c r="C305" s="9"/>
      <x:c r="D305" s="9"/>
      <x:c r="E305" s="9"/>
      <x:c r="F305" s="11"/>
      <x:c r="G305" s="9"/>
      <x:c r="H305" s="9"/>
      <x:c r="I305" s="9"/>
      <x:c r="J305" s="9"/>
      <x:c r="K305" s="9"/>
      <x:c r="L305" s="9"/>
      <x:c r="M305" s="9"/>
      <x:c r="N305" s="12" t="str">
        <x:f>IF(A305="","",IF(ISNUMBER(F305),F305-'Tableau de bord'!$F$5,""))</x:f>
      </x:c>
      <x:c r="O305" s="12" t="str">
        <x:f>IF(A305="","",IF(ISNUMBER(F305),IF(N305&lt;0,"Expiré",IF(N305&lt;='Paramètres'!$E$6,"À renouveler","À jour")),"À compléter"))</x:f>
      </x:c>
      <x:c r="P305" s="12" t="str">
        <x:f>IF(A305="","",IF(AND(ISNUMBER(F305),F305&gt;'Tableau de bord'!$F$5,G305="Oui",H305="Oui",I305="Oui",J305="Oui",K305="Oui"),1,0))</x:f>
      </x:c>
      <x:c r="Q305" s="9"/>
      <x:c r="R305" s="12" t="str">
        <x:f>IF(A305="","",IF(C305="","OTP manquant",IF(COUNTIFS($A$6:$A$505,A305,$C$6:$C$505,C305)&gt;1,"Doublon OTP","")))</x:f>
      </x:c>
    </x:row>
    <x:row r="306" ht="23" customHeight="1">
      <x:c r="A306" s="9"/>
      <x:c r="B306" s="9"/>
      <x:c r="C306" s="9"/>
      <x:c r="D306" s="9"/>
      <x:c r="E306" s="9"/>
      <x:c r="F306" s="11"/>
      <x:c r="G306" s="9"/>
      <x:c r="H306" s="9"/>
      <x:c r="I306" s="9"/>
      <x:c r="J306" s="9"/>
      <x:c r="K306" s="9"/>
      <x:c r="L306" s="9"/>
      <x:c r="M306" s="9"/>
      <x:c r="N306" s="12" t="str">
        <x:f>IF(A306="","",IF(ISNUMBER(F306),F306-'Tableau de bord'!$F$5,""))</x:f>
      </x:c>
      <x:c r="O306" s="12" t="str">
        <x:f>IF(A306="","",IF(ISNUMBER(F306),IF(N306&lt;0,"Expiré",IF(N306&lt;='Paramètres'!$E$6,"À renouveler","À jour")),"À compléter"))</x:f>
      </x:c>
      <x:c r="P306" s="12" t="str">
        <x:f>IF(A306="","",IF(AND(ISNUMBER(F306),F306&gt;'Tableau de bord'!$F$5,G306="Oui",H306="Oui",I306="Oui",J306="Oui",K306="Oui"),1,0))</x:f>
      </x:c>
      <x:c r="Q306" s="9"/>
      <x:c r="R306" s="12" t="str">
        <x:f>IF(A306="","",IF(C306="","OTP manquant",IF(COUNTIFS($A$6:$A$505,A306,$C$6:$C$505,C306)&gt;1,"Doublon OTP","")))</x:f>
      </x:c>
    </x:row>
    <x:row r="307" ht="23" customHeight="1">
      <x:c r="A307" s="9"/>
      <x:c r="B307" s="9"/>
      <x:c r="C307" s="9"/>
      <x:c r="D307" s="9"/>
      <x:c r="E307" s="9"/>
      <x:c r="F307" s="11"/>
      <x:c r="G307" s="9"/>
      <x:c r="H307" s="9"/>
      <x:c r="I307" s="9"/>
      <x:c r="J307" s="9"/>
      <x:c r="K307" s="9"/>
      <x:c r="L307" s="9"/>
      <x:c r="M307" s="9"/>
      <x:c r="N307" s="12" t="str">
        <x:f>IF(A307="","",IF(ISNUMBER(F307),F307-'Tableau de bord'!$F$5,""))</x:f>
      </x:c>
      <x:c r="O307" s="12" t="str">
        <x:f>IF(A307="","",IF(ISNUMBER(F307),IF(N307&lt;0,"Expiré",IF(N307&lt;='Paramètres'!$E$6,"À renouveler","À jour")),"À compléter"))</x:f>
      </x:c>
      <x:c r="P307" s="12" t="str">
        <x:f>IF(A307="","",IF(AND(ISNUMBER(F307),F307&gt;'Tableau de bord'!$F$5,G307="Oui",H307="Oui",I307="Oui",J307="Oui",K307="Oui"),1,0))</x:f>
      </x:c>
      <x:c r="Q307" s="9"/>
      <x:c r="R307" s="12" t="str">
        <x:f>IF(A307="","",IF(C307="","OTP manquant",IF(COUNTIFS($A$6:$A$505,A307,$C$6:$C$505,C307)&gt;1,"Doublon OTP","")))</x:f>
      </x:c>
    </x:row>
    <x:row r="308" ht="23" customHeight="1">
      <x:c r="A308" s="9"/>
      <x:c r="B308" s="9"/>
      <x:c r="C308" s="9"/>
      <x:c r="D308" s="9"/>
      <x:c r="E308" s="9"/>
      <x:c r="F308" s="11"/>
      <x:c r="G308" s="9"/>
      <x:c r="H308" s="9"/>
      <x:c r="I308" s="9"/>
      <x:c r="J308" s="9"/>
      <x:c r="K308" s="9"/>
      <x:c r="L308" s="9"/>
      <x:c r="M308" s="9"/>
      <x:c r="N308" s="12" t="str">
        <x:f>IF(A308="","",IF(ISNUMBER(F308),F308-'Tableau de bord'!$F$5,""))</x:f>
      </x:c>
      <x:c r="O308" s="12" t="str">
        <x:f>IF(A308="","",IF(ISNUMBER(F308),IF(N308&lt;0,"Expiré",IF(N308&lt;='Paramètres'!$E$6,"À renouveler","À jour")),"À compléter"))</x:f>
      </x:c>
      <x:c r="P308" s="12" t="str">
        <x:f>IF(A308="","",IF(AND(ISNUMBER(F308),F308&gt;'Tableau de bord'!$F$5,G308="Oui",H308="Oui",I308="Oui",J308="Oui",K308="Oui"),1,0))</x:f>
      </x:c>
      <x:c r="Q308" s="9"/>
      <x:c r="R308" s="12" t="str">
        <x:f>IF(A308="","",IF(C308="","OTP manquant",IF(COUNTIFS($A$6:$A$505,A308,$C$6:$C$505,C308)&gt;1,"Doublon OTP","")))</x:f>
      </x:c>
    </x:row>
    <x:row r="309" ht="23" customHeight="1">
      <x:c r="A309" s="9"/>
      <x:c r="B309" s="9"/>
      <x:c r="C309" s="9"/>
      <x:c r="D309" s="9"/>
      <x:c r="E309" s="9"/>
      <x:c r="F309" s="11"/>
      <x:c r="G309" s="9"/>
      <x:c r="H309" s="9"/>
      <x:c r="I309" s="9"/>
      <x:c r="J309" s="9"/>
      <x:c r="K309" s="9"/>
      <x:c r="L309" s="9"/>
      <x:c r="M309" s="9"/>
      <x:c r="N309" s="12" t="str">
        <x:f>IF(A309="","",IF(ISNUMBER(F309),F309-'Tableau de bord'!$F$5,""))</x:f>
      </x:c>
      <x:c r="O309" s="12" t="str">
        <x:f>IF(A309="","",IF(ISNUMBER(F309),IF(N309&lt;0,"Expiré",IF(N309&lt;='Paramètres'!$E$6,"À renouveler","À jour")),"À compléter"))</x:f>
      </x:c>
      <x:c r="P309" s="12" t="str">
        <x:f>IF(A309="","",IF(AND(ISNUMBER(F309),F309&gt;'Tableau de bord'!$F$5,G309="Oui",H309="Oui",I309="Oui",J309="Oui",K309="Oui"),1,0))</x:f>
      </x:c>
      <x:c r="Q309" s="9"/>
      <x:c r="R309" s="12" t="str">
        <x:f>IF(A309="","",IF(C309="","OTP manquant",IF(COUNTIFS($A$6:$A$505,A309,$C$6:$C$505,C309)&gt;1,"Doublon OTP","")))</x:f>
      </x:c>
    </x:row>
    <x:row r="310" ht="23" customHeight="1">
      <x:c r="A310" s="9"/>
      <x:c r="B310" s="9"/>
      <x:c r="C310" s="9"/>
      <x:c r="D310" s="9"/>
      <x:c r="E310" s="9"/>
      <x:c r="F310" s="11"/>
      <x:c r="G310" s="9"/>
      <x:c r="H310" s="9"/>
      <x:c r="I310" s="9"/>
      <x:c r="J310" s="9"/>
      <x:c r="K310" s="9"/>
      <x:c r="L310" s="9"/>
      <x:c r="M310" s="9"/>
      <x:c r="N310" s="12" t="str">
        <x:f>IF(A310="","",IF(ISNUMBER(F310),F310-'Tableau de bord'!$F$5,""))</x:f>
      </x:c>
      <x:c r="O310" s="12" t="str">
        <x:f>IF(A310="","",IF(ISNUMBER(F310),IF(N310&lt;0,"Expiré",IF(N310&lt;='Paramètres'!$E$6,"À renouveler","À jour")),"À compléter"))</x:f>
      </x:c>
      <x:c r="P310" s="12" t="str">
        <x:f>IF(A310="","",IF(AND(ISNUMBER(F310),F310&gt;'Tableau de bord'!$F$5,G310="Oui",H310="Oui",I310="Oui",J310="Oui",K310="Oui"),1,0))</x:f>
      </x:c>
      <x:c r="Q310" s="9"/>
      <x:c r="R310" s="12" t="str">
        <x:f>IF(A310="","",IF(C310="","OTP manquant",IF(COUNTIFS($A$6:$A$505,A310,$C$6:$C$505,C310)&gt;1,"Doublon OTP","")))</x:f>
      </x:c>
    </x:row>
    <x:row r="311" ht="23" customHeight="1">
      <x:c r="A311" s="9"/>
      <x:c r="B311" s="9"/>
      <x:c r="C311" s="9"/>
      <x:c r="D311" s="9"/>
      <x:c r="E311" s="9"/>
      <x:c r="F311" s="11"/>
      <x:c r="G311" s="9"/>
      <x:c r="H311" s="9"/>
      <x:c r="I311" s="9"/>
      <x:c r="J311" s="9"/>
      <x:c r="K311" s="9"/>
      <x:c r="L311" s="9"/>
      <x:c r="M311" s="9"/>
      <x:c r="N311" s="12" t="str">
        <x:f>IF(A311="","",IF(ISNUMBER(F311),F311-'Tableau de bord'!$F$5,""))</x:f>
      </x:c>
      <x:c r="O311" s="12" t="str">
        <x:f>IF(A311="","",IF(ISNUMBER(F311),IF(N311&lt;0,"Expiré",IF(N311&lt;='Paramètres'!$E$6,"À renouveler","À jour")),"À compléter"))</x:f>
      </x:c>
      <x:c r="P311" s="12" t="str">
        <x:f>IF(A311="","",IF(AND(ISNUMBER(F311),F311&gt;'Tableau de bord'!$F$5,G311="Oui",H311="Oui",I311="Oui",J311="Oui",K311="Oui"),1,0))</x:f>
      </x:c>
      <x:c r="Q311" s="9"/>
      <x:c r="R311" s="12" t="str">
        <x:f>IF(A311="","",IF(C311="","OTP manquant",IF(COUNTIFS($A$6:$A$505,A311,$C$6:$C$505,C311)&gt;1,"Doublon OTP","")))</x:f>
      </x:c>
    </x:row>
    <x:row r="312" ht="23" customHeight="1">
      <x:c r="A312" s="9"/>
      <x:c r="B312" s="9"/>
      <x:c r="C312" s="9"/>
      <x:c r="D312" s="9"/>
      <x:c r="E312" s="9"/>
      <x:c r="F312" s="11"/>
      <x:c r="G312" s="9"/>
      <x:c r="H312" s="9"/>
      <x:c r="I312" s="9"/>
      <x:c r="J312" s="9"/>
      <x:c r="K312" s="9"/>
      <x:c r="L312" s="9"/>
      <x:c r="M312" s="9"/>
      <x:c r="N312" s="12" t="str">
        <x:f>IF(A312="","",IF(ISNUMBER(F312),F312-'Tableau de bord'!$F$5,""))</x:f>
      </x:c>
      <x:c r="O312" s="12" t="str">
        <x:f>IF(A312="","",IF(ISNUMBER(F312),IF(N312&lt;0,"Expiré",IF(N312&lt;='Paramètres'!$E$6,"À renouveler","À jour")),"À compléter"))</x:f>
      </x:c>
      <x:c r="P312" s="12" t="str">
        <x:f>IF(A312="","",IF(AND(ISNUMBER(F312),F312&gt;'Tableau de bord'!$F$5,G312="Oui",H312="Oui",I312="Oui",J312="Oui",K312="Oui"),1,0))</x:f>
      </x:c>
      <x:c r="Q312" s="9"/>
      <x:c r="R312" s="12" t="str">
        <x:f>IF(A312="","",IF(C312="","OTP manquant",IF(COUNTIFS($A$6:$A$505,A312,$C$6:$C$505,C312)&gt;1,"Doublon OTP","")))</x:f>
      </x:c>
    </x:row>
    <x:row r="313" ht="23" customHeight="1">
      <x:c r="A313" s="9"/>
      <x:c r="B313" s="9"/>
      <x:c r="C313" s="9"/>
      <x:c r="D313" s="9"/>
      <x:c r="E313" s="9"/>
      <x:c r="F313" s="11"/>
      <x:c r="G313" s="9"/>
      <x:c r="H313" s="9"/>
      <x:c r="I313" s="9"/>
      <x:c r="J313" s="9"/>
      <x:c r="K313" s="9"/>
      <x:c r="L313" s="9"/>
      <x:c r="M313" s="9"/>
      <x:c r="N313" s="12" t="str">
        <x:f>IF(A313="","",IF(ISNUMBER(F313),F313-'Tableau de bord'!$F$5,""))</x:f>
      </x:c>
      <x:c r="O313" s="12" t="str">
        <x:f>IF(A313="","",IF(ISNUMBER(F313),IF(N313&lt;0,"Expiré",IF(N313&lt;='Paramètres'!$E$6,"À renouveler","À jour")),"À compléter"))</x:f>
      </x:c>
      <x:c r="P313" s="12" t="str">
        <x:f>IF(A313="","",IF(AND(ISNUMBER(F313),F313&gt;'Tableau de bord'!$F$5,G313="Oui",H313="Oui",I313="Oui",J313="Oui",K313="Oui"),1,0))</x:f>
      </x:c>
      <x:c r="Q313" s="9"/>
      <x:c r="R313" s="12" t="str">
        <x:f>IF(A313="","",IF(C313="","OTP manquant",IF(COUNTIFS($A$6:$A$505,A313,$C$6:$C$505,C313)&gt;1,"Doublon OTP","")))</x:f>
      </x:c>
    </x:row>
    <x:row r="314" ht="23" customHeight="1">
      <x:c r="A314" s="9"/>
      <x:c r="B314" s="9"/>
      <x:c r="C314" s="9"/>
      <x:c r="D314" s="9"/>
      <x:c r="E314" s="9"/>
      <x:c r="F314" s="11"/>
      <x:c r="G314" s="9"/>
      <x:c r="H314" s="9"/>
      <x:c r="I314" s="9"/>
      <x:c r="J314" s="9"/>
      <x:c r="K314" s="9"/>
      <x:c r="L314" s="9"/>
      <x:c r="M314" s="9"/>
      <x:c r="N314" s="12" t="str">
        <x:f>IF(A314="","",IF(ISNUMBER(F314),F314-'Tableau de bord'!$F$5,""))</x:f>
      </x:c>
      <x:c r="O314" s="12" t="str">
        <x:f>IF(A314="","",IF(ISNUMBER(F314),IF(N314&lt;0,"Expiré",IF(N314&lt;='Paramètres'!$E$6,"À renouveler","À jour")),"À compléter"))</x:f>
      </x:c>
      <x:c r="P314" s="12" t="str">
        <x:f>IF(A314="","",IF(AND(ISNUMBER(F314),F314&gt;'Tableau de bord'!$F$5,G314="Oui",H314="Oui",I314="Oui",J314="Oui",K314="Oui"),1,0))</x:f>
      </x:c>
      <x:c r="Q314" s="9"/>
      <x:c r="R314" s="12" t="str">
        <x:f>IF(A314="","",IF(C314="","OTP manquant",IF(COUNTIFS($A$6:$A$505,A314,$C$6:$C$505,C314)&gt;1,"Doublon OTP","")))</x:f>
      </x:c>
    </x:row>
    <x:row r="315" ht="23" customHeight="1">
      <x:c r="A315" s="9"/>
      <x:c r="B315" s="9"/>
      <x:c r="C315" s="9"/>
      <x:c r="D315" s="9"/>
      <x:c r="E315" s="9"/>
      <x:c r="F315" s="11"/>
      <x:c r="G315" s="9"/>
      <x:c r="H315" s="9"/>
      <x:c r="I315" s="9"/>
      <x:c r="J315" s="9"/>
      <x:c r="K315" s="9"/>
      <x:c r="L315" s="9"/>
      <x:c r="M315" s="9"/>
      <x:c r="N315" s="12" t="str">
        <x:f>IF(A315="","",IF(ISNUMBER(F315),F315-'Tableau de bord'!$F$5,""))</x:f>
      </x:c>
      <x:c r="O315" s="12" t="str">
        <x:f>IF(A315="","",IF(ISNUMBER(F315),IF(N315&lt;0,"Expiré",IF(N315&lt;='Paramètres'!$E$6,"À renouveler","À jour")),"À compléter"))</x:f>
      </x:c>
      <x:c r="P315" s="12" t="str">
        <x:f>IF(A315="","",IF(AND(ISNUMBER(F315),F315&gt;'Tableau de bord'!$F$5,G315="Oui",H315="Oui",I315="Oui",J315="Oui",K315="Oui"),1,0))</x:f>
      </x:c>
      <x:c r="Q315" s="9"/>
      <x:c r="R315" s="12" t="str">
        <x:f>IF(A315="","",IF(C315="","OTP manquant",IF(COUNTIFS($A$6:$A$505,A315,$C$6:$C$505,C315)&gt;1,"Doublon OTP","")))</x:f>
      </x:c>
    </x:row>
    <x:row r="316" ht="23" customHeight="1">
      <x:c r="A316" s="9"/>
      <x:c r="B316" s="9"/>
      <x:c r="C316" s="9"/>
      <x:c r="D316" s="9"/>
      <x:c r="E316" s="9"/>
      <x:c r="F316" s="11"/>
      <x:c r="G316" s="9"/>
      <x:c r="H316" s="9"/>
      <x:c r="I316" s="9"/>
      <x:c r="J316" s="9"/>
      <x:c r="K316" s="9"/>
      <x:c r="L316" s="9"/>
      <x:c r="M316" s="9"/>
      <x:c r="N316" s="12" t="str">
        <x:f>IF(A316="","",IF(ISNUMBER(F316),F316-'Tableau de bord'!$F$5,""))</x:f>
      </x:c>
      <x:c r="O316" s="12" t="str">
        <x:f>IF(A316="","",IF(ISNUMBER(F316),IF(N316&lt;0,"Expiré",IF(N316&lt;='Paramètres'!$E$6,"À renouveler","À jour")),"À compléter"))</x:f>
      </x:c>
      <x:c r="P316" s="12" t="str">
        <x:f>IF(A316="","",IF(AND(ISNUMBER(F316),F316&gt;'Tableau de bord'!$F$5,G316="Oui",H316="Oui",I316="Oui",J316="Oui",K316="Oui"),1,0))</x:f>
      </x:c>
      <x:c r="Q316" s="9"/>
      <x:c r="R316" s="12" t="str">
        <x:f>IF(A316="","",IF(C316="","OTP manquant",IF(COUNTIFS($A$6:$A$505,A316,$C$6:$C$505,C316)&gt;1,"Doublon OTP","")))</x:f>
      </x:c>
    </x:row>
    <x:row r="317" ht="23" customHeight="1">
      <x:c r="A317" s="9"/>
      <x:c r="B317" s="9"/>
      <x:c r="C317" s="9"/>
      <x:c r="D317" s="9"/>
      <x:c r="E317" s="9"/>
      <x:c r="F317" s="11"/>
      <x:c r="G317" s="9"/>
      <x:c r="H317" s="9"/>
      <x:c r="I317" s="9"/>
      <x:c r="J317" s="9"/>
      <x:c r="K317" s="9"/>
      <x:c r="L317" s="9"/>
      <x:c r="M317" s="9"/>
      <x:c r="N317" s="12" t="str">
        <x:f>IF(A317="","",IF(ISNUMBER(F317),F317-'Tableau de bord'!$F$5,""))</x:f>
      </x:c>
      <x:c r="O317" s="12" t="str">
        <x:f>IF(A317="","",IF(ISNUMBER(F317),IF(N317&lt;0,"Expiré",IF(N317&lt;='Paramètres'!$E$6,"À renouveler","À jour")),"À compléter"))</x:f>
      </x:c>
      <x:c r="P317" s="12" t="str">
        <x:f>IF(A317="","",IF(AND(ISNUMBER(F317),F317&gt;'Tableau de bord'!$F$5,G317="Oui",H317="Oui",I317="Oui",J317="Oui",K317="Oui"),1,0))</x:f>
      </x:c>
      <x:c r="Q317" s="9"/>
      <x:c r="R317" s="12" t="str">
        <x:f>IF(A317="","",IF(C317="","OTP manquant",IF(COUNTIFS($A$6:$A$505,A317,$C$6:$C$505,C317)&gt;1,"Doublon OTP","")))</x:f>
      </x:c>
    </x:row>
    <x:row r="318" ht="23" customHeight="1">
      <x:c r="A318" s="9"/>
      <x:c r="B318" s="9"/>
      <x:c r="C318" s="9"/>
      <x:c r="D318" s="9"/>
      <x:c r="E318" s="9"/>
      <x:c r="F318" s="11"/>
      <x:c r="G318" s="9"/>
      <x:c r="H318" s="9"/>
      <x:c r="I318" s="9"/>
      <x:c r="J318" s="9"/>
      <x:c r="K318" s="9"/>
      <x:c r="L318" s="9"/>
      <x:c r="M318" s="9"/>
      <x:c r="N318" s="12" t="str">
        <x:f>IF(A318="","",IF(ISNUMBER(F318),F318-'Tableau de bord'!$F$5,""))</x:f>
      </x:c>
      <x:c r="O318" s="12" t="str">
        <x:f>IF(A318="","",IF(ISNUMBER(F318),IF(N318&lt;0,"Expiré",IF(N318&lt;='Paramètres'!$E$6,"À renouveler","À jour")),"À compléter"))</x:f>
      </x:c>
      <x:c r="P318" s="12" t="str">
        <x:f>IF(A318="","",IF(AND(ISNUMBER(F318),F318&gt;'Tableau de bord'!$F$5,G318="Oui",H318="Oui",I318="Oui",J318="Oui",K318="Oui"),1,0))</x:f>
      </x:c>
      <x:c r="Q318" s="9"/>
      <x:c r="R318" s="12" t="str">
        <x:f>IF(A318="","",IF(C318="","OTP manquant",IF(COUNTIFS($A$6:$A$505,A318,$C$6:$C$505,C318)&gt;1,"Doublon OTP","")))</x:f>
      </x:c>
    </x:row>
    <x:row r="319" ht="23" customHeight="1">
      <x:c r="A319" s="9"/>
      <x:c r="B319" s="9"/>
      <x:c r="C319" s="9"/>
      <x:c r="D319" s="9"/>
      <x:c r="E319" s="9"/>
      <x:c r="F319" s="11"/>
      <x:c r="G319" s="9"/>
      <x:c r="H319" s="9"/>
      <x:c r="I319" s="9"/>
      <x:c r="J319" s="9"/>
      <x:c r="K319" s="9"/>
      <x:c r="L319" s="9"/>
      <x:c r="M319" s="9"/>
      <x:c r="N319" s="12" t="str">
        <x:f>IF(A319="","",IF(ISNUMBER(F319),F319-'Tableau de bord'!$F$5,""))</x:f>
      </x:c>
      <x:c r="O319" s="12" t="str">
        <x:f>IF(A319="","",IF(ISNUMBER(F319),IF(N319&lt;0,"Expiré",IF(N319&lt;='Paramètres'!$E$6,"À renouveler","À jour")),"À compléter"))</x:f>
      </x:c>
      <x:c r="P319" s="12" t="str">
        <x:f>IF(A319="","",IF(AND(ISNUMBER(F319),F319&gt;'Tableau de bord'!$F$5,G319="Oui",H319="Oui",I319="Oui",J319="Oui",K319="Oui"),1,0))</x:f>
      </x:c>
      <x:c r="Q319" s="9"/>
      <x:c r="R319" s="12" t="str">
        <x:f>IF(A319="","",IF(C319="","OTP manquant",IF(COUNTIFS($A$6:$A$505,A319,$C$6:$C$505,C319)&gt;1,"Doublon OTP","")))</x:f>
      </x:c>
    </x:row>
    <x:row r="320" ht="23" customHeight="1">
      <x:c r="A320" s="9"/>
      <x:c r="B320" s="9"/>
      <x:c r="C320" s="9"/>
      <x:c r="D320" s="9"/>
      <x:c r="E320" s="9"/>
      <x:c r="F320" s="11"/>
      <x:c r="G320" s="9"/>
      <x:c r="H320" s="9"/>
      <x:c r="I320" s="9"/>
      <x:c r="J320" s="9"/>
      <x:c r="K320" s="9"/>
      <x:c r="L320" s="9"/>
      <x:c r="M320" s="9"/>
      <x:c r="N320" s="12" t="str">
        <x:f>IF(A320="","",IF(ISNUMBER(F320),F320-'Tableau de bord'!$F$5,""))</x:f>
      </x:c>
      <x:c r="O320" s="12" t="str">
        <x:f>IF(A320="","",IF(ISNUMBER(F320),IF(N320&lt;0,"Expiré",IF(N320&lt;='Paramètres'!$E$6,"À renouveler","À jour")),"À compléter"))</x:f>
      </x:c>
      <x:c r="P320" s="12" t="str">
        <x:f>IF(A320="","",IF(AND(ISNUMBER(F320),F320&gt;'Tableau de bord'!$F$5,G320="Oui",H320="Oui",I320="Oui",J320="Oui",K320="Oui"),1,0))</x:f>
      </x:c>
      <x:c r="Q320" s="9"/>
      <x:c r="R320" s="12" t="str">
        <x:f>IF(A320="","",IF(C320="","OTP manquant",IF(COUNTIFS($A$6:$A$505,A320,$C$6:$C$505,C320)&gt;1,"Doublon OTP","")))</x:f>
      </x:c>
    </x:row>
    <x:row r="321" ht="23" customHeight="1">
      <x:c r="A321" s="9"/>
      <x:c r="B321" s="9"/>
      <x:c r="C321" s="9"/>
      <x:c r="D321" s="9"/>
      <x:c r="E321" s="9"/>
      <x:c r="F321" s="11"/>
      <x:c r="G321" s="9"/>
      <x:c r="H321" s="9"/>
      <x:c r="I321" s="9"/>
      <x:c r="J321" s="9"/>
      <x:c r="K321" s="9"/>
      <x:c r="L321" s="9"/>
      <x:c r="M321" s="9"/>
      <x:c r="N321" s="12" t="str">
        <x:f>IF(A321="","",IF(ISNUMBER(F321),F321-'Tableau de bord'!$F$5,""))</x:f>
      </x:c>
      <x:c r="O321" s="12" t="str">
        <x:f>IF(A321="","",IF(ISNUMBER(F321),IF(N321&lt;0,"Expiré",IF(N321&lt;='Paramètres'!$E$6,"À renouveler","À jour")),"À compléter"))</x:f>
      </x:c>
      <x:c r="P321" s="12" t="str">
        <x:f>IF(A321="","",IF(AND(ISNUMBER(F321),F321&gt;'Tableau de bord'!$F$5,G321="Oui",H321="Oui",I321="Oui",J321="Oui",K321="Oui"),1,0))</x:f>
      </x:c>
      <x:c r="Q321" s="9"/>
      <x:c r="R321" s="12" t="str">
        <x:f>IF(A321="","",IF(C321="","OTP manquant",IF(COUNTIFS($A$6:$A$505,A321,$C$6:$C$505,C321)&gt;1,"Doublon OTP","")))</x:f>
      </x:c>
    </x:row>
    <x:row r="322" ht="23" customHeight="1">
      <x:c r="A322" s="9"/>
      <x:c r="B322" s="9"/>
      <x:c r="C322" s="9"/>
      <x:c r="D322" s="9"/>
      <x:c r="E322" s="9"/>
      <x:c r="F322" s="11"/>
      <x:c r="G322" s="9"/>
      <x:c r="H322" s="9"/>
      <x:c r="I322" s="9"/>
      <x:c r="J322" s="9"/>
      <x:c r="K322" s="9"/>
      <x:c r="L322" s="9"/>
      <x:c r="M322" s="9"/>
      <x:c r="N322" s="12" t="str">
        <x:f>IF(A322="","",IF(ISNUMBER(F322),F322-'Tableau de bord'!$F$5,""))</x:f>
      </x:c>
      <x:c r="O322" s="12" t="str">
        <x:f>IF(A322="","",IF(ISNUMBER(F322),IF(N322&lt;0,"Expiré",IF(N322&lt;='Paramètres'!$E$6,"À renouveler","À jour")),"À compléter"))</x:f>
      </x:c>
      <x:c r="P322" s="12" t="str">
        <x:f>IF(A322="","",IF(AND(ISNUMBER(F322),F322&gt;'Tableau de bord'!$F$5,G322="Oui",H322="Oui",I322="Oui",J322="Oui",K322="Oui"),1,0))</x:f>
      </x:c>
      <x:c r="Q322" s="9"/>
      <x:c r="R322" s="12" t="str">
        <x:f>IF(A322="","",IF(C322="","OTP manquant",IF(COUNTIFS($A$6:$A$505,A322,$C$6:$C$505,C322)&gt;1,"Doublon OTP","")))</x:f>
      </x:c>
    </x:row>
    <x:row r="323" ht="23" customHeight="1">
      <x:c r="A323" s="9"/>
      <x:c r="B323" s="9"/>
      <x:c r="C323" s="9"/>
      <x:c r="D323" s="9"/>
      <x:c r="E323" s="9"/>
      <x:c r="F323" s="11"/>
      <x:c r="G323" s="9"/>
      <x:c r="H323" s="9"/>
      <x:c r="I323" s="9"/>
      <x:c r="J323" s="9"/>
      <x:c r="K323" s="9"/>
      <x:c r="L323" s="9"/>
      <x:c r="M323" s="9"/>
      <x:c r="N323" s="12" t="str">
        <x:f>IF(A323="","",IF(ISNUMBER(F323),F323-'Tableau de bord'!$F$5,""))</x:f>
      </x:c>
      <x:c r="O323" s="12" t="str">
        <x:f>IF(A323="","",IF(ISNUMBER(F323),IF(N323&lt;0,"Expiré",IF(N323&lt;='Paramètres'!$E$6,"À renouveler","À jour")),"À compléter"))</x:f>
      </x:c>
      <x:c r="P323" s="12" t="str">
        <x:f>IF(A323="","",IF(AND(ISNUMBER(F323),F323&gt;'Tableau de bord'!$F$5,G323="Oui",H323="Oui",I323="Oui",J323="Oui",K323="Oui"),1,0))</x:f>
      </x:c>
      <x:c r="Q323" s="9"/>
      <x:c r="R323" s="12" t="str">
        <x:f>IF(A323="","",IF(C323="","OTP manquant",IF(COUNTIFS($A$6:$A$505,A323,$C$6:$C$505,C323)&gt;1,"Doublon OTP","")))</x:f>
      </x:c>
    </x:row>
    <x:row r="324" ht="23" customHeight="1">
      <x:c r="A324" s="9"/>
      <x:c r="B324" s="9"/>
      <x:c r="C324" s="9"/>
      <x:c r="D324" s="9"/>
      <x:c r="E324" s="9"/>
      <x:c r="F324" s="11"/>
      <x:c r="G324" s="9"/>
      <x:c r="H324" s="9"/>
      <x:c r="I324" s="9"/>
      <x:c r="J324" s="9"/>
      <x:c r="K324" s="9"/>
      <x:c r="L324" s="9"/>
      <x:c r="M324" s="9"/>
      <x:c r="N324" s="12" t="str">
        <x:f>IF(A324="","",IF(ISNUMBER(F324),F324-'Tableau de bord'!$F$5,""))</x:f>
      </x:c>
      <x:c r="O324" s="12" t="str">
        <x:f>IF(A324="","",IF(ISNUMBER(F324),IF(N324&lt;0,"Expiré",IF(N324&lt;='Paramètres'!$E$6,"À renouveler","À jour")),"À compléter"))</x:f>
      </x:c>
      <x:c r="P324" s="12" t="str">
        <x:f>IF(A324="","",IF(AND(ISNUMBER(F324),F324&gt;'Tableau de bord'!$F$5,G324="Oui",H324="Oui",I324="Oui",J324="Oui",K324="Oui"),1,0))</x:f>
      </x:c>
      <x:c r="Q324" s="9"/>
      <x:c r="R324" s="12" t="str">
        <x:f>IF(A324="","",IF(C324="","OTP manquant",IF(COUNTIFS($A$6:$A$505,A324,$C$6:$C$505,C324)&gt;1,"Doublon OTP","")))</x:f>
      </x:c>
    </x:row>
    <x:row r="325" ht="23" customHeight="1">
      <x:c r="A325" s="9"/>
      <x:c r="B325" s="9"/>
      <x:c r="C325" s="9"/>
      <x:c r="D325" s="9"/>
      <x:c r="E325" s="9"/>
      <x:c r="F325" s="11"/>
      <x:c r="G325" s="9"/>
      <x:c r="H325" s="9"/>
      <x:c r="I325" s="9"/>
      <x:c r="J325" s="9"/>
      <x:c r="K325" s="9"/>
      <x:c r="L325" s="9"/>
      <x:c r="M325" s="9"/>
      <x:c r="N325" s="12" t="str">
        <x:f>IF(A325="","",IF(ISNUMBER(F325),F325-'Tableau de bord'!$F$5,""))</x:f>
      </x:c>
      <x:c r="O325" s="12" t="str">
        <x:f>IF(A325="","",IF(ISNUMBER(F325),IF(N325&lt;0,"Expiré",IF(N325&lt;='Paramètres'!$E$6,"À renouveler","À jour")),"À compléter"))</x:f>
      </x:c>
      <x:c r="P325" s="12" t="str">
        <x:f>IF(A325="","",IF(AND(ISNUMBER(F325),F325&gt;'Tableau de bord'!$F$5,G325="Oui",H325="Oui",I325="Oui",J325="Oui",K325="Oui"),1,0))</x:f>
      </x:c>
      <x:c r="Q325" s="9"/>
      <x:c r="R325" s="12" t="str">
        <x:f>IF(A325="","",IF(C325="","OTP manquant",IF(COUNTIFS($A$6:$A$505,A325,$C$6:$C$505,C325)&gt;1,"Doublon OTP","")))</x:f>
      </x:c>
    </x:row>
    <x:row r="326" ht="23" customHeight="1">
      <x:c r="A326" s="9"/>
      <x:c r="B326" s="9"/>
      <x:c r="C326" s="9"/>
      <x:c r="D326" s="9"/>
      <x:c r="E326" s="9"/>
      <x:c r="F326" s="11"/>
      <x:c r="G326" s="9"/>
      <x:c r="H326" s="9"/>
      <x:c r="I326" s="9"/>
      <x:c r="J326" s="9"/>
      <x:c r="K326" s="9"/>
      <x:c r="L326" s="9"/>
      <x:c r="M326" s="9"/>
      <x:c r="N326" s="12" t="str">
        <x:f>IF(A326="","",IF(ISNUMBER(F326),F326-'Tableau de bord'!$F$5,""))</x:f>
      </x:c>
      <x:c r="O326" s="12" t="str">
        <x:f>IF(A326="","",IF(ISNUMBER(F326),IF(N326&lt;0,"Expiré",IF(N326&lt;='Paramètres'!$E$6,"À renouveler","À jour")),"À compléter"))</x:f>
      </x:c>
      <x:c r="P326" s="12" t="str">
        <x:f>IF(A326="","",IF(AND(ISNUMBER(F326),F326&gt;'Tableau de bord'!$F$5,G326="Oui",H326="Oui",I326="Oui",J326="Oui",K326="Oui"),1,0))</x:f>
      </x:c>
      <x:c r="Q326" s="9"/>
      <x:c r="R326" s="12" t="str">
        <x:f>IF(A326="","",IF(C326="","OTP manquant",IF(COUNTIFS($A$6:$A$505,A326,$C$6:$C$505,C326)&gt;1,"Doublon OTP","")))</x:f>
      </x:c>
    </x:row>
    <x:row r="327" ht="23" customHeight="1">
      <x:c r="A327" s="9"/>
      <x:c r="B327" s="9"/>
      <x:c r="C327" s="9"/>
      <x:c r="D327" s="9"/>
      <x:c r="E327" s="9"/>
      <x:c r="F327" s="11"/>
      <x:c r="G327" s="9"/>
      <x:c r="H327" s="9"/>
      <x:c r="I327" s="9"/>
      <x:c r="J327" s="9"/>
      <x:c r="K327" s="9"/>
      <x:c r="L327" s="9"/>
      <x:c r="M327" s="9"/>
      <x:c r="N327" s="12" t="str">
        <x:f>IF(A327="","",IF(ISNUMBER(F327),F327-'Tableau de bord'!$F$5,""))</x:f>
      </x:c>
      <x:c r="O327" s="12" t="str">
        <x:f>IF(A327="","",IF(ISNUMBER(F327),IF(N327&lt;0,"Expiré",IF(N327&lt;='Paramètres'!$E$6,"À renouveler","À jour")),"À compléter"))</x:f>
      </x:c>
      <x:c r="P327" s="12" t="str">
        <x:f>IF(A327="","",IF(AND(ISNUMBER(F327),F327&gt;'Tableau de bord'!$F$5,G327="Oui",H327="Oui",I327="Oui",J327="Oui",K327="Oui"),1,0))</x:f>
      </x:c>
      <x:c r="Q327" s="9"/>
      <x:c r="R327" s="12" t="str">
        <x:f>IF(A327="","",IF(C327="","OTP manquant",IF(COUNTIFS($A$6:$A$505,A327,$C$6:$C$505,C327)&gt;1,"Doublon OTP","")))</x:f>
      </x:c>
    </x:row>
    <x:row r="328" ht="23" customHeight="1">
      <x:c r="A328" s="9"/>
      <x:c r="B328" s="9"/>
      <x:c r="C328" s="9"/>
      <x:c r="D328" s="9"/>
      <x:c r="E328" s="9"/>
      <x:c r="F328" s="11"/>
      <x:c r="G328" s="9"/>
      <x:c r="H328" s="9"/>
      <x:c r="I328" s="9"/>
      <x:c r="J328" s="9"/>
      <x:c r="K328" s="9"/>
      <x:c r="L328" s="9"/>
      <x:c r="M328" s="9"/>
      <x:c r="N328" s="12" t="str">
        <x:f>IF(A328="","",IF(ISNUMBER(F328),F328-'Tableau de bord'!$F$5,""))</x:f>
      </x:c>
      <x:c r="O328" s="12" t="str">
        <x:f>IF(A328="","",IF(ISNUMBER(F328),IF(N328&lt;0,"Expiré",IF(N328&lt;='Paramètres'!$E$6,"À renouveler","À jour")),"À compléter"))</x:f>
      </x:c>
      <x:c r="P328" s="12" t="str">
        <x:f>IF(A328="","",IF(AND(ISNUMBER(F328),F328&gt;'Tableau de bord'!$F$5,G328="Oui",H328="Oui",I328="Oui",J328="Oui",K328="Oui"),1,0))</x:f>
      </x:c>
      <x:c r="Q328" s="9"/>
      <x:c r="R328" s="12" t="str">
        <x:f>IF(A328="","",IF(C328="","OTP manquant",IF(COUNTIFS($A$6:$A$505,A328,$C$6:$C$505,C328)&gt;1,"Doublon OTP","")))</x:f>
      </x:c>
    </x:row>
    <x:row r="329" ht="23" customHeight="1">
      <x:c r="A329" s="9"/>
      <x:c r="B329" s="9"/>
      <x:c r="C329" s="9"/>
      <x:c r="D329" s="9"/>
      <x:c r="E329" s="9"/>
      <x:c r="F329" s="11"/>
      <x:c r="G329" s="9"/>
      <x:c r="H329" s="9"/>
      <x:c r="I329" s="9"/>
      <x:c r="J329" s="9"/>
      <x:c r="K329" s="9"/>
      <x:c r="L329" s="9"/>
      <x:c r="M329" s="9"/>
      <x:c r="N329" s="12" t="str">
        <x:f>IF(A329="","",IF(ISNUMBER(F329),F329-'Tableau de bord'!$F$5,""))</x:f>
      </x:c>
      <x:c r="O329" s="12" t="str">
        <x:f>IF(A329="","",IF(ISNUMBER(F329),IF(N329&lt;0,"Expiré",IF(N329&lt;='Paramètres'!$E$6,"À renouveler","À jour")),"À compléter"))</x:f>
      </x:c>
      <x:c r="P329" s="12" t="str">
        <x:f>IF(A329="","",IF(AND(ISNUMBER(F329),F329&gt;'Tableau de bord'!$F$5,G329="Oui",H329="Oui",I329="Oui",J329="Oui",K329="Oui"),1,0))</x:f>
      </x:c>
      <x:c r="Q329" s="9"/>
      <x:c r="R329" s="12" t="str">
        <x:f>IF(A329="","",IF(C329="","OTP manquant",IF(COUNTIFS($A$6:$A$505,A329,$C$6:$C$505,C329)&gt;1,"Doublon OTP","")))</x:f>
      </x:c>
    </x:row>
    <x:row r="330" ht="23" customHeight="1">
      <x:c r="A330" s="9"/>
      <x:c r="B330" s="9"/>
      <x:c r="C330" s="9"/>
      <x:c r="D330" s="9"/>
      <x:c r="E330" s="9"/>
      <x:c r="F330" s="11"/>
      <x:c r="G330" s="9"/>
      <x:c r="H330" s="9"/>
      <x:c r="I330" s="9"/>
      <x:c r="J330" s="9"/>
      <x:c r="K330" s="9"/>
      <x:c r="L330" s="9"/>
      <x:c r="M330" s="9"/>
      <x:c r="N330" s="12" t="str">
        <x:f>IF(A330="","",IF(ISNUMBER(F330),F330-'Tableau de bord'!$F$5,""))</x:f>
      </x:c>
      <x:c r="O330" s="12" t="str">
        <x:f>IF(A330="","",IF(ISNUMBER(F330),IF(N330&lt;0,"Expiré",IF(N330&lt;='Paramètres'!$E$6,"À renouveler","À jour")),"À compléter"))</x:f>
      </x:c>
      <x:c r="P330" s="12" t="str">
        <x:f>IF(A330="","",IF(AND(ISNUMBER(F330),F330&gt;'Tableau de bord'!$F$5,G330="Oui",H330="Oui",I330="Oui",J330="Oui",K330="Oui"),1,0))</x:f>
      </x:c>
      <x:c r="Q330" s="9"/>
      <x:c r="R330" s="12" t="str">
        <x:f>IF(A330="","",IF(C330="","OTP manquant",IF(COUNTIFS($A$6:$A$505,A330,$C$6:$C$505,C330)&gt;1,"Doublon OTP","")))</x:f>
      </x:c>
    </x:row>
    <x:row r="331" ht="23" customHeight="1">
      <x:c r="A331" s="9"/>
      <x:c r="B331" s="9"/>
      <x:c r="C331" s="9"/>
      <x:c r="D331" s="9"/>
      <x:c r="E331" s="9"/>
      <x:c r="F331" s="11"/>
      <x:c r="G331" s="9"/>
      <x:c r="H331" s="9"/>
      <x:c r="I331" s="9"/>
      <x:c r="J331" s="9"/>
      <x:c r="K331" s="9"/>
      <x:c r="L331" s="9"/>
      <x:c r="M331" s="9"/>
      <x:c r="N331" s="12" t="str">
        <x:f>IF(A331="","",IF(ISNUMBER(F331),F331-'Tableau de bord'!$F$5,""))</x:f>
      </x:c>
      <x:c r="O331" s="12" t="str">
        <x:f>IF(A331="","",IF(ISNUMBER(F331),IF(N331&lt;0,"Expiré",IF(N331&lt;='Paramètres'!$E$6,"À renouveler","À jour")),"À compléter"))</x:f>
      </x:c>
      <x:c r="P331" s="12" t="str">
        <x:f>IF(A331="","",IF(AND(ISNUMBER(F331),F331&gt;'Tableau de bord'!$F$5,G331="Oui",H331="Oui",I331="Oui",J331="Oui",K331="Oui"),1,0))</x:f>
      </x:c>
      <x:c r="Q331" s="9"/>
      <x:c r="R331" s="12" t="str">
        <x:f>IF(A331="","",IF(C331="","OTP manquant",IF(COUNTIFS($A$6:$A$505,A331,$C$6:$C$505,C331)&gt;1,"Doublon OTP","")))</x:f>
      </x:c>
    </x:row>
    <x:row r="332" ht="23" customHeight="1">
      <x:c r="A332" s="9"/>
      <x:c r="B332" s="9"/>
      <x:c r="C332" s="9"/>
      <x:c r="D332" s="9"/>
      <x:c r="E332" s="9"/>
      <x:c r="F332" s="11"/>
      <x:c r="G332" s="9"/>
      <x:c r="H332" s="9"/>
      <x:c r="I332" s="9"/>
      <x:c r="J332" s="9"/>
      <x:c r="K332" s="9"/>
      <x:c r="L332" s="9"/>
      <x:c r="M332" s="9"/>
      <x:c r="N332" s="12" t="str">
        <x:f>IF(A332="","",IF(ISNUMBER(F332),F332-'Tableau de bord'!$F$5,""))</x:f>
      </x:c>
      <x:c r="O332" s="12" t="str">
        <x:f>IF(A332="","",IF(ISNUMBER(F332),IF(N332&lt;0,"Expiré",IF(N332&lt;='Paramètres'!$E$6,"À renouveler","À jour")),"À compléter"))</x:f>
      </x:c>
      <x:c r="P332" s="12" t="str">
        <x:f>IF(A332="","",IF(AND(ISNUMBER(F332),F332&gt;'Tableau de bord'!$F$5,G332="Oui",H332="Oui",I332="Oui",J332="Oui",K332="Oui"),1,0))</x:f>
      </x:c>
      <x:c r="Q332" s="9"/>
      <x:c r="R332" s="12" t="str">
        <x:f>IF(A332="","",IF(C332="","OTP manquant",IF(COUNTIFS($A$6:$A$505,A332,$C$6:$C$505,C332)&gt;1,"Doublon OTP","")))</x:f>
      </x:c>
    </x:row>
    <x:row r="333" ht="23" customHeight="1">
      <x:c r="A333" s="9"/>
      <x:c r="B333" s="9"/>
      <x:c r="C333" s="9"/>
      <x:c r="D333" s="9"/>
      <x:c r="E333" s="9"/>
      <x:c r="F333" s="11"/>
      <x:c r="G333" s="9"/>
      <x:c r="H333" s="9"/>
      <x:c r="I333" s="9"/>
      <x:c r="J333" s="9"/>
      <x:c r="K333" s="9"/>
      <x:c r="L333" s="9"/>
      <x:c r="M333" s="9"/>
      <x:c r="N333" s="12" t="str">
        <x:f>IF(A333="","",IF(ISNUMBER(F333),F333-'Tableau de bord'!$F$5,""))</x:f>
      </x:c>
      <x:c r="O333" s="12" t="str">
        <x:f>IF(A333="","",IF(ISNUMBER(F333),IF(N333&lt;0,"Expiré",IF(N333&lt;='Paramètres'!$E$6,"À renouveler","À jour")),"À compléter"))</x:f>
      </x:c>
      <x:c r="P333" s="12" t="str">
        <x:f>IF(A333="","",IF(AND(ISNUMBER(F333),F333&gt;'Tableau de bord'!$F$5,G333="Oui",H333="Oui",I333="Oui",J333="Oui",K333="Oui"),1,0))</x:f>
      </x:c>
      <x:c r="Q333" s="9"/>
      <x:c r="R333" s="12" t="str">
        <x:f>IF(A333="","",IF(C333="","OTP manquant",IF(COUNTIFS($A$6:$A$505,A333,$C$6:$C$505,C333)&gt;1,"Doublon OTP","")))</x:f>
      </x:c>
    </x:row>
    <x:row r="334" ht="23" customHeight="1">
      <x:c r="A334" s="9"/>
      <x:c r="B334" s="9"/>
      <x:c r="C334" s="9"/>
      <x:c r="D334" s="9"/>
      <x:c r="E334" s="9"/>
      <x:c r="F334" s="11"/>
      <x:c r="G334" s="9"/>
      <x:c r="H334" s="9"/>
      <x:c r="I334" s="9"/>
      <x:c r="J334" s="9"/>
      <x:c r="K334" s="9"/>
      <x:c r="L334" s="9"/>
      <x:c r="M334" s="9"/>
      <x:c r="N334" s="12" t="str">
        <x:f>IF(A334="","",IF(ISNUMBER(F334),F334-'Tableau de bord'!$F$5,""))</x:f>
      </x:c>
      <x:c r="O334" s="12" t="str">
        <x:f>IF(A334="","",IF(ISNUMBER(F334),IF(N334&lt;0,"Expiré",IF(N334&lt;='Paramètres'!$E$6,"À renouveler","À jour")),"À compléter"))</x:f>
      </x:c>
      <x:c r="P334" s="12" t="str">
        <x:f>IF(A334="","",IF(AND(ISNUMBER(F334),F334&gt;'Tableau de bord'!$F$5,G334="Oui",H334="Oui",I334="Oui",J334="Oui",K334="Oui"),1,0))</x:f>
      </x:c>
      <x:c r="Q334" s="9"/>
      <x:c r="R334" s="12" t="str">
        <x:f>IF(A334="","",IF(C334="","OTP manquant",IF(COUNTIFS($A$6:$A$505,A334,$C$6:$C$505,C334)&gt;1,"Doublon OTP","")))</x:f>
      </x:c>
    </x:row>
    <x:row r="335" ht="23" customHeight="1">
      <x:c r="A335" s="9"/>
      <x:c r="B335" s="9"/>
      <x:c r="C335" s="9"/>
      <x:c r="D335" s="9"/>
      <x:c r="E335" s="9"/>
      <x:c r="F335" s="11"/>
      <x:c r="G335" s="9"/>
      <x:c r="H335" s="9"/>
      <x:c r="I335" s="9"/>
      <x:c r="J335" s="9"/>
      <x:c r="K335" s="9"/>
      <x:c r="L335" s="9"/>
      <x:c r="M335" s="9"/>
      <x:c r="N335" s="12" t="str">
        <x:f>IF(A335="","",IF(ISNUMBER(F335),F335-'Tableau de bord'!$F$5,""))</x:f>
      </x:c>
      <x:c r="O335" s="12" t="str">
        <x:f>IF(A335="","",IF(ISNUMBER(F335),IF(N335&lt;0,"Expiré",IF(N335&lt;='Paramètres'!$E$6,"À renouveler","À jour")),"À compléter"))</x:f>
      </x:c>
      <x:c r="P335" s="12" t="str">
        <x:f>IF(A335="","",IF(AND(ISNUMBER(F335),F335&gt;'Tableau de bord'!$F$5,G335="Oui",H335="Oui",I335="Oui",J335="Oui",K335="Oui"),1,0))</x:f>
      </x:c>
      <x:c r="Q335" s="9"/>
      <x:c r="R335" s="12" t="str">
        <x:f>IF(A335="","",IF(C335="","OTP manquant",IF(COUNTIFS($A$6:$A$505,A335,$C$6:$C$505,C335)&gt;1,"Doublon OTP","")))</x:f>
      </x:c>
    </x:row>
    <x:row r="336" ht="23" customHeight="1">
      <x:c r="A336" s="9"/>
      <x:c r="B336" s="9"/>
      <x:c r="C336" s="9"/>
      <x:c r="D336" s="9"/>
      <x:c r="E336" s="9"/>
      <x:c r="F336" s="11"/>
      <x:c r="G336" s="9"/>
      <x:c r="H336" s="9"/>
      <x:c r="I336" s="9"/>
      <x:c r="J336" s="9"/>
      <x:c r="K336" s="9"/>
      <x:c r="L336" s="9"/>
      <x:c r="M336" s="9"/>
      <x:c r="N336" s="12" t="str">
        <x:f>IF(A336="","",IF(ISNUMBER(F336),F336-'Tableau de bord'!$F$5,""))</x:f>
      </x:c>
      <x:c r="O336" s="12" t="str">
        <x:f>IF(A336="","",IF(ISNUMBER(F336),IF(N336&lt;0,"Expiré",IF(N336&lt;='Paramètres'!$E$6,"À renouveler","À jour")),"À compléter"))</x:f>
      </x:c>
      <x:c r="P336" s="12" t="str">
        <x:f>IF(A336="","",IF(AND(ISNUMBER(F336),F336&gt;'Tableau de bord'!$F$5,G336="Oui",H336="Oui",I336="Oui",J336="Oui",K336="Oui"),1,0))</x:f>
      </x:c>
      <x:c r="Q336" s="9"/>
      <x:c r="R336" s="12" t="str">
        <x:f>IF(A336="","",IF(C336="","OTP manquant",IF(COUNTIFS($A$6:$A$505,A336,$C$6:$C$505,C336)&gt;1,"Doublon OTP","")))</x:f>
      </x:c>
    </x:row>
    <x:row r="337" ht="23" customHeight="1">
      <x:c r="A337" s="9"/>
      <x:c r="B337" s="9"/>
      <x:c r="C337" s="9"/>
      <x:c r="D337" s="9"/>
      <x:c r="E337" s="9"/>
      <x:c r="F337" s="11"/>
      <x:c r="G337" s="9"/>
      <x:c r="H337" s="9"/>
      <x:c r="I337" s="9"/>
      <x:c r="J337" s="9"/>
      <x:c r="K337" s="9"/>
      <x:c r="L337" s="9"/>
      <x:c r="M337" s="9"/>
      <x:c r="N337" s="12" t="str">
        <x:f>IF(A337="","",IF(ISNUMBER(F337),F337-'Tableau de bord'!$F$5,""))</x:f>
      </x:c>
      <x:c r="O337" s="12" t="str">
        <x:f>IF(A337="","",IF(ISNUMBER(F337),IF(N337&lt;0,"Expiré",IF(N337&lt;='Paramètres'!$E$6,"À renouveler","À jour")),"À compléter"))</x:f>
      </x:c>
      <x:c r="P337" s="12" t="str">
        <x:f>IF(A337="","",IF(AND(ISNUMBER(F337),F337&gt;'Tableau de bord'!$F$5,G337="Oui",H337="Oui",I337="Oui",J337="Oui",K337="Oui"),1,0))</x:f>
      </x:c>
      <x:c r="Q337" s="9"/>
      <x:c r="R337" s="12" t="str">
        <x:f>IF(A337="","",IF(C337="","OTP manquant",IF(COUNTIFS($A$6:$A$505,A337,$C$6:$C$505,C337)&gt;1,"Doublon OTP","")))</x:f>
      </x:c>
    </x:row>
    <x:row r="338" ht="23" customHeight="1">
      <x:c r="A338" s="9"/>
      <x:c r="B338" s="9"/>
      <x:c r="C338" s="9"/>
      <x:c r="D338" s="9"/>
      <x:c r="E338" s="9"/>
      <x:c r="F338" s="11"/>
      <x:c r="G338" s="9"/>
      <x:c r="H338" s="9"/>
      <x:c r="I338" s="9"/>
      <x:c r="J338" s="9"/>
      <x:c r="K338" s="9"/>
      <x:c r="L338" s="9"/>
      <x:c r="M338" s="9"/>
      <x:c r="N338" s="12" t="str">
        <x:f>IF(A338="","",IF(ISNUMBER(F338),F338-'Tableau de bord'!$F$5,""))</x:f>
      </x:c>
      <x:c r="O338" s="12" t="str">
        <x:f>IF(A338="","",IF(ISNUMBER(F338),IF(N338&lt;0,"Expiré",IF(N338&lt;='Paramètres'!$E$6,"À renouveler","À jour")),"À compléter"))</x:f>
      </x:c>
      <x:c r="P338" s="12" t="str">
        <x:f>IF(A338="","",IF(AND(ISNUMBER(F338),F338&gt;'Tableau de bord'!$F$5,G338="Oui",H338="Oui",I338="Oui",J338="Oui",K338="Oui"),1,0))</x:f>
      </x:c>
      <x:c r="Q338" s="9"/>
      <x:c r="R338" s="12" t="str">
        <x:f>IF(A338="","",IF(C338="","OTP manquant",IF(COUNTIFS($A$6:$A$505,A338,$C$6:$C$505,C338)&gt;1,"Doublon OTP","")))</x:f>
      </x:c>
    </x:row>
    <x:row r="339" ht="23" customHeight="1">
      <x:c r="A339" s="9"/>
      <x:c r="B339" s="9"/>
      <x:c r="C339" s="9"/>
      <x:c r="D339" s="9"/>
      <x:c r="E339" s="9"/>
      <x:c r="F339" s="11"/>
      <x:c r="G339" s="9"/>
      <x:c r="H339" s="9"/>
      <x:c r="I339" s="9"/>
      <x:c r="J339" s="9"/>
      <x:c r="K339" s="9"/>
      <x:c r="L339" s="9"/>
      <x:c r="M339" s="9"/>
      <x:c r="N339" s="12" t="str">
        <x:f>IF(A339="","",IF(ISNUMBER(F339),F339-'Tableau de bord'!$F$5,""))</x:f>
      </x:c>
      <x:c r="O339" s="12" t="str">
        <x:f>IF(A339="","",IF(ISNUMBER(F339),IF(N339&lt;0,"Expiré",IF(N339&lt;='Paramètres'!$E$6,"À renouveler","À jour")),"À compléter"))</x:f>
      </x:c>
      <x:c r="P339" s="12" t="str">
        <x:f>IF(A339="","",IF(AND(ISNUMBER(F339),F339&gt;'Tableau de bord'!$F$5,G339="Oui",H339="Oui",I339="Oui",J339="Oui",K339="Oui"),1,0))</x:f>
      </x:c>
      <x:c r="Q339" s="9"/>
      <x:c r="R339" s="12" t="str">
        <x:f>IF(A339="","",IF(C339="","OTP manquant",IF(COUNTIFS($A$6:$A$505,A339,$C$6:$C$505,C339)&gt;1,"Doublon OTP","")))</x:f>
      </x:c>
    </x:row>
    <x:row r="340" ht="23" customHeight="1">
      <x:c r="A340" s="9"/>
      <x:c r="B340" s="9"/>
      <x:c r="C340" s="9"/>
      <x:c r="D340" s="9"/>
      <x:c r="E340" s="9"/>
      <x:c r="F340" s="11"/>
      <x:c r="G340" s="9"/>
      <x:c r="H340" s="9"/>
      <x:c r="I340" s="9"/>
      <x:c r="J340" s="9"/>
      <x:c r="K340" s="9"/>
      <x:c r="L340" s="9"/>
      <x:c r="M340" s="9"/>
      <x:c r="N340" s="12" t="str">
        <x:f>IF(A340="","",IF(ISNUMBER(F340),F340-'Tableau de bord'!$F$5,""))</x:f>
      </x:c>
      <x:c r="O340" s="12" t="str">
        <x:f>IF(A340="","",IF(ISNUMBER(F340),IF(N340&lt;0,"Expiré",IF(N340&lt;='Paramètres'!$E$6,"À renouveler","À jour")),"À compléter"))</x:f>
      </x:c>
      <x:c r="P340" s="12" t="str">
        <x:f>IF(A340="","",IF(AND(ISNUMBER(F340),F340&gt;'Tableau de bord'!$F$5,G340="Oui",H340="Oui",I340="Oui",J340="Oui",K340="Oui"),1,0))</x:f>
      </x:c>
      <x:c r="Q340" s="9"/>
      <x:c r="R340" s="12" t="str">
        <x:f>IF(A340="","",IF(C340="","OTP manquant",IF(COUNTIFS($A$6:$A$505,A340,$C$6:$C$505,C340)&gt;1,"Doublon OTP","")))</x:f>
      </x:c>
    </x:row>
    <x:row r="341" ht="23" customHeight="1">
      <x:c r="A341" s="9"/>
      <x:c r="B341" s="9"/>
      <x:c r="C341" s="9"/>
      <x:c r="D341" s="9"/>
      <x:c r="E341" s="9"/>
      <x:c r="F341" s="11"/>
      <x:c r="G341" s="9"/>
      <x:c r="H341" s="9"/>
      <x:c r="I341" s="9"/>
      <x:c r="J341" s="9"/>
      <x:c r="K341" s="9"/>
      <x:c r="L341" s="9"/>
      <x:c r="M341" s="9"/>
      <x:c r="N341" s="12" t="str">
        <x:f>IF(A341="","",IF(ISNUMBER(F341),F341-'Tableau de bord'!$F$5,""))</x:f>
      </x:c>
      <x:c r="O341" s="12" t="str">
        <x:f>IF(A341="","",IF(ISNUMBER(F341),IF(N341&lt;0,"Expiré",IF(N341&lt;='Paramètres'!$E$6,"À renouveler","À jour")),"À compléter"))</x:f>
      </x:c>
      <x:c r="P341" s="12" t="str">
        <x:f>IF(A341="","",IF(AND(ISNUMBER(F341),F341&gt;'Tableau de bord'!$F$5,G341="Oui",H341="Oui",I341="Oui",J341="Oui",K341="Oui"),1,0))</x:f>
      </x:c>
      <x:c r="Q341" s="9"/>
      <x:c r="R341" s="12" t="str">
        <x:f>IF(A341="","",IF(C341="","OTP manquant",IF(COUNTIFS($A$6:$A$505,A341,$C$6:$C$505,C341)&gt;1,"Doublon OTP","")))</x:f>
      </x:c>
    </x:row>
    <x:row r="342" ht="23" customHeight="1">
      <x:c r="A342" s="9"/>
      <x:c r="B342" s="9"/>
      <x:c r="C342" s="9"/>
      <x:c r="D342" s="9"/>
      <x:c r="E342" s="9"/>
      <x:c r="F342" s="11"/>
      <x:c r="G342" s="9"/>
      <x:c r="H342" s="9"/>
      <x:c r="I342" s="9"/>
      <x:c r="J342" s="9"/>
      <x:c r="K342" s="9"/>
      <x:c r="L342" s="9"/>
      <x:c r="M342" s="9"/>
      <x:c r="N342" s="12" t="str">
        <x:f>IF(A342="","",IF(ISNUMBER(F342),F342-'Tableau de bord'!$F$5,""))</x:f>
      </x:c>
      <x:c r="O342" s="12" t="str">
        <x:f>IF(A342="","",IF(ISNUMBER(F342),IF(N342&lt;0,"Expiré",IF(N342&lt;='Paramètres'!$E$6,"À renouveler","À jour")),"À compléter"))</x:f>
      </x:c>
      <x:c r="P342" s="12" t="str">
        <x:f>IF(A342="","",IF(AND(ISNUMBER(F342),F342&gt;'Tableau de bord'!$F$5,G342="Oui",H342="Oui",I342="Oui",J342="Oui",K342="Oui"),1,0))</x:f>
      </x:c>
      <x:c r="Q342" s="9"/>
      <x:c r="R342" s="12" t="str">
        <x:f>IF(A342="","",IF(C342="","OTP manquant",IF(COUNTIFS($A$6:$A$505,A342,$C$6:$C$505,C342)&gt;1,"Doublon OTP","")))</x:f>
      </x:c>
    </x:row>
    <x:row r="343" ht="23" customHeight="1">
      <x:c r="A343" s="9"/>
      <x:c r="B343" s="9"/>
      <x:c r="C343" s="9"/>
      <x:c r="D343" s="9"/>
      <x:c r="E343" s="9"/>
      <x:c r="F343" s="11"/>
      <x:c r="G343" s="9"/>
      <x:c r="H343" s="9"/>
      <x:c r="I343" s="9"/>
      <x:c r="J343" s="9"/>
      <x:c r="K343" s="9"/>
      <x:c r="L343" s="9"/>
      <x:c r="M343" s="9"/>
      <x:c r="N343" s="12" t="str">
        <x:f>IF(A343="","",IF(ISNUMBER(F343),F343-'Tableau de bord'!$F$5,""))</x:f>
      </x:c>
      <x:c r="O343" s="12" t="str">
        <x:f>IF(A343="","",IF(ISNUMBER(F343),IF(N343&lt;0,"Expiré",IF(N343&lt;='Paramètres'!$E$6,"À renouveler","À jour")),"À compléter"))</x:f>
      </x:c>
      <x:c r="P343" s="12" t="str">
        <x:f>IF(A343="","",IF(AND(ISNUMBER(F343),F343&gt;'Tableau de bord'!$F$5,G343="Oui",H343="Oui",I343="Oui",J343="Oui",K343="Oui"),1,0))</x:f>
      </x:c>
      <x:c r="Q343" s="9"/>
      <x:c r="R343" s="12" t="str">
        <x:f>IF(A343="","",IF(C343="","OTP manquant",IF(COUNTIFS($A$6:$A$505,A343,$C$6:$C$505,C343)&gt;1,"Doublon OTP","")))</x:f>
      </x:c>
    </x:row>
    <x:row r="344" ht="23" customHeight="1">
      <x:c r="A344" s="9"/>
      <x:c r="B344" s="9"/>
      <x:c r="C344" s="9"/>
      <x:c r="D344" s="9"/>
      <x:c r="E344" s="9"/>
      <x:c r="F344" s="11"/>
      <x:c r="G344" s="9"/>
      <x:c r="H344" s="9"/>
      <x:c r="I344" s="9"/>
      <x:c r="J344" s="9"/>
      <x:c r="K344" s="9"/>
      <x:c r="L344" s="9"/>
      <x:c r="M344" s="9"/>
      <x:c r="N344" s="12" t="str">
        <x:f>IF(A344="","",IF(ISNUMBER(F344),F344-'Tableau de bord'!$F$5,""))</x:f>
      </x:c>
      <x:c r="O344" s="12" t="str">
        <x:f>IF(A344="","",IF(ISNUMBER(F344),IF(N344&lt;0,"Expiré",IF(N344&lt;='Paramètres'!$E$6,"À renouveler","À jour")),"À compléter"))</x:f>
      </x:c>
      <x:c r="P344" s="12" t="str">
        <x:f>IF(A344="","",IF(AND(ISNUMBER(F344),F344&gt;'Tableau de bord'!$F$5,G344="Oui",H344="Oui",I344="Oui",J344="Oui",K344="Oui"),1,0))</x:f>
      </x:c>
      <x:c r="Q344" s="9"/>
      <x:c r="R344" s="12" t="str">
        <x:f>IF(A344="","",IF(C344="","OTP manquant",IF(COUNTIFS($A$6:$A$505,A344,$C$6:$C$505,C344)&gt;1,"Doublon OTP","")))</x:f>
      </x:c>
    </x:row>
    <x:row r="345" ht="23" customHeight="1">
      <x:c r="A345" s="9"/>
      <x:c r="B345" s="9"/>
      <x:c r="C345" s="9"/>
      <x:c r="D345" s="9"/>
      <x:c r="E345" s="9"/>
      <x:c r="F345" s="11"/>
      <x:c r="G345" s="9"/>
      <x:c r="H345" s="9"/>
      <x:c r="I345" s="9"/>
      <x:c r="J345" s="9"/>
      <x:c r="K345" s="9"/>
      <x:c r="L345" s="9"/>
      <x:c r="M345" s="9"/>
      <x:c r="N345" s="12" t="str">
        <x:f>IF(A345="","",IF(ISNUMBER(F345),F345-'Tableau de bord'!$F$5,""))</x:f>
      </x:c>
      <x:c r="O345" s="12" t="str">
        <x:f>IF(A345="","",IF(ISNUMBER(F345),IF(N345&lt;0,"Expiré",IF(N345&lt;='Paramètres'!$E$6,"À renouveler","À jour")),"À compléter"))</x:f>
      </x:c>
      <x:c r="P345" s="12" t="str">
        <x:f>IF(A345="","",IF(AND(ISNUMBER(F345),F345&gt;'Tableau de bord'!$F$5,G345="Oui",H345="Oui",I345="Oui",J345="Oui",K345="Oui"),1,0))</x:f>
      </x:c>
      <x:c r="Q345" s="9"/>
      <x:c r="R345" s="12" t="str">
        <x:f>IF(A345="","",IF(C345="","OTP manquant",IF(COUNTIFS($A$6:$A$505,A345,$C$6:$C$505,C345)&gt;1,"Doublon OTP","")))</x:f>
      </x:c>
    </x:row>
    <x:row r="346" ht="23" customHeight="1">
      <x:c r="A346" s="9"/>
      <x:c r="B346" s="9"/>
      <x:c r="C346" s="9"/>
      <x:c r="D346" s="9"/>
      <x:c r="E346" s="9"/>
      <x:c r="F346" s="11"/>
      <x:c r="G346" s="9"/>
      <x:c r="H346" s="9"/>
      <x:c r="I346" s="9"/>
      <x:c r="J346" s="9"/>
      <x:c r="K346" s="9"/>
      <x:c r="L346" s="9"/>
      <x:c r="M346" s="9"/>
      <x:c r="N346" s="12" t="str">
        <x:f>IF(A346="","",IF(ISNUMBER(F346),F346-'Tableau de bord'!$F$5,""))</x:f>
      </x:c>
      <x:c r="O346" s="12" t="str">
        <x:f>IF(A346="","",IF(ISNUMBER(F346),IF(N346&lt;0,"Expiré",IF(N346&lt;='Paramètres'!$E$6,"À renouveler","À jour")),"À compléter"))</x:f>
      </x:c>
      <x:c r="P346" s="12" t="str">
        <x:f>IF(A346="","",IF(AND(ISNUMBER(F346),F346&gt;'Tableau de bord'!$F$5,G346="Oui",H346="Oui",I346="Oui",J346="Oui",K346="Oui"),1,0))</x:f>
      </x:c>
      <x:c r="Q346" s="9"/>
      <x:c r="R346" s="12" t="str">
        <x:f>IF(A346="","",IF(C346="","OTP manquant",IF(COUNTIFS($A$6:$A$505,A346,$C$6:$C$505,C346)&gt;1,"Doublon OTP","")))</x:f>
      </x:c>
    </x:row>
    <x:row r="347" ht="23" customHeight="1">
      <x:c r="A347" s="9"/>
      <x:c r="B347" s="9"/>
      <x:c r="C347" s="9"/>
      <x:c r="D347" s="9"/>
      <x:c r="E347" s="9"/>
      <x:c r="F347" s="11"/>
      <x:c r="G347" s="9"/>
      <x:c r="H347" s="9"/>
      <x:c r="I347" s="9"/>
      <x:c r="J347" s="9"/>
      <x:c r="K347" s="9"/>
      <x:c r="L347" s="9"/>
      <x:c r="M347" s="9"/>
      <x:c r="N347" s="12" t="str">
        <x:f>IF(A347="","",IF(ISNUMBER(F347),F347-'Tableau de bord'!$F$5,""))</x:f>
      </x:c>
      <x:c r="O347" s="12" t="str">
        <x:f>IF(A347="","",IF(ISNUMBER(F347),IF(N347&lt;0,"Expiré",IF(N347&lt;='Paramètres'!$E$6,"À renouveler","À jour")),"À compléter"))</x:f>
      </x:c>
      <x:c r="P347" s="12" t="str">
        <x:f>IF(A347="","",IF(AND(ISNUMBER(F347),F347&gt;'Tableau de bord'!$F$5,G347="Oui",H347="Oui",I347="Oui",J347="Oui",K347="Oui"),1,0))</x:f>
      </x:c>
      <x:c r="Q347" s="9"/>
      <x:c r="R347" s="12" t="str">
        <x:f>IF(A347="","",IF(C347="","OTP manquant",IF(COUNTIFS($A$6:$A$505,A347,$C$6:$C$505,C347)&gt;1,"Doublon OTP","")))</x:f>
      </x:c>
    </x:row>
    <x:row r="348" ht="23" customHeight="1">
      <x:c r="A348" s="9"/>
      <x:c r="B348" s="9"/>
      <x:c r="C348" s="9"/>
      <x:c r="D348" s="9"/>
      <x:c r="E348" s="9"/>
      <x:c r="F348" s="11"/>
      <x:c r="G348" s="9"/>
      <x:c r="H348" s="9"/>
      <x:c r="I348" s="9"/>
      <x:c r="J348" s="9"/>
      <x:c r="K348" s="9"/>
      <x:c r="L348" s="9"/>
      <x:c r="M348" s="9"/>
      <x:c r="N348" s="12" t="str">
        <x:f>IF(A348="","",IF(ISNUMBER(F348),F348-'Tableau de bord'!$F$5,""))</x:f>
      </x:c>
      <x:c r="O348" s="12" t="str">
        <x:f>IF(A348="","",IF(ISNUMBER(F348),IF(N348&lt;0,"Expiré",IF(N348&lt;='Paramètres'!$E$6,"À renouveler","À jour")),"À compléter"))</x:f>
      </x:c>
      <x:c r="P348" s="12" t="str">
        <x:f>IF(A348="","",IF(AND(ISNUMBER(F348),F348&gt;'Tableau de bord'!$F$5,G348="Oui",H348="Oui",I348="Oui",J348="Oui",K348="Oui"),1,0))</x:f>
      </x:c>
      <x:c r="Q348" s="9"/>
      <x:c r="R348" s="12" t="str">
        <x:f>IF(A348="","",IF(C348="","OTP manquant",IF(COUNTIFS($A$6:$A$505,A348,$C$6:$C$505,C348)&gt;1,"Doublon OTP","")))</x:f>
      </x:c>
    </x:row>
    <x:row r="349" ht="23" customHeight="1">
      <x:c r="A349" s="9"/>
      <x:c r="B349" s="9"/>
      <x:c r="C349" s="9"/>
      <x:c r="D349" s="9"/>
      <x:c r="E349" s="9"/>
      <x:c r="F349" s="11"/>
      <x:c r="G349" s="9"/>
      <x:c r="H349" s="9"/>
      <x:c r="I349" s="9"/>
      <x:c r="J349" s="9"/>
      <x:c r="K349" s="9"/>
      <x:c r="L349" s="9"/>
      <x:c r="M349" s="9"/>
      <x:c r="N349" s="12" t="str">
        <x:f>IF(A349="","",IF(ISNUMBER(F349),F349-'Tableau de bord'!$F$5,""))</x:f>
      </x:c>
      <x:c r="O349" s="12" t="str">
        <x:f>IF(A349="","",IF(ISNUMBER(F349),IF(N349&lt;0,"Expiré",IF(N349&lt;='Paramètres'!$E$6,"À renouveler","À jour")),"À compléter"))</x:f>
      </x:c>
      <x:c r="P349" s="12" t="str">
        <x:f>IF(A349="","",IF(AND(ISNUMBER(F349),F349&gt;'Tableau de bord'!$F$5,G349="Oui",H349="Oui",I349="Oui",J349="Oui",K349="Oui"),1,0))</x:f>
      </x:c>
      <x:c r="Q349" s="9"/>
      <x:c r="R349" s="12" t="str">
        <x:f>IF(A349="","",IF(C349="","OTP manquant",IF(COUNTIFS($A$6:$A$505,A349,$C$6:$C$505,C349)&gt;1,"Doublon OTP","")))</x:f>
      </x:c>
    </x:row>
    <x:row r="350" ht="23" customHeight="1">
      <x:c r="A350" s="9"/>
      <x:c r="B350" s="9"/>
      <x:c r="C350" s="9"/>
      <x:c r="D350" s="9"/>
      <x:c r="E350" s="9"/>
      <x:c r="F350" s="11"/>
      <x:c r="G350" s="9"/>
      <x:c r="H350" s="9"/>
      <x:c r="I350" s="9"/>
      <x:c r="J350" s="9"/>
      <x:c r="K350" s="9"/>
      <x:c r="L350" s="9"/>
      <x:c r="M350" s="9"/>
      <x:c r="N350" s="12" t="str">
        <x:f>IF(A350="","",IF(ISNUMBER(F350),F350-'Tableau de bord'!$F$5,""))</x:f>
      </x:c>
      <x:c r="O350" s="12" t="str">
        <x:f>IF(A350="","",IF(ISNUMBER(F350),IF(N350&lt;0,"Expiré",IF(N350&lt;='Paramètres'!$E$6,"À renouveler","À jour")),"À compléter"))</x:f>
      </x:c>
      <x:c r="P350" s="12" t="str">
        <x:f>IF(A350="","",IF(AND(ISNUMBER(F350),F350&gt;'Tableau de bord'!$F$5,G350="Oui",H350="Oui",I350="Oui",J350="Oui",K350="Oui"),1,0))</x:f>
      </x:c>
      <x:c r="Q350" s="9"/>
      <x:c r="R350" s="12" t="str">
        <x:f>IF(A350="","",IF(C350="","OTP manquant",IF(COUNTIFS($A$6:$A$505,A350,$C$6:$C$505,C350)&gt;1,"Doublon OTP","")))</x:f>
      </x:c>
    </x:row>
    <x:row r="351" ht="23" customHeight="1">
      <x:c r="A351" s="9"/>
      <x:c r="B351" s="9"/>
      <x:c r="C351" s="9"/>
      <x:c r="D351" s="9"/>
      <x:c r="E351" s="9"/>
      <x:c r="F351" s="11"/>
      <x:c r="G351" s="9"/>
      <x:c r="H351" s="9"/>
      <x:c r="I351" s="9"/>
      <x:c r="J351" s="9"/>
      <x:c r="K351" s="9"/>
      <x:c r="L351" s="9"/>
      <x:c r="M351" s="9"/>
      <x:c r="N351" s="12" t="str">
        <x:f>IF(A351="","",IF(ISNUMBER(F351),F351-'Tableau de bord'!$F$5,""))</x:f>
      </x:c>
      <x:c r="O351" s="12" t="str">
        <x:f>IF(A351="","",IF(ISNUMBER(F351),IF(N351&lt;0,"Expiré",IF(N351&lt;='Paramètres'!$E$6,"À renouveler","À jour")),"À compléter"))</x:f>
      </x:c>
      <x:c r="P351" s="12" t="str">
        <x:f>IF(A351="","",IF(AND(ISNUMBER(F351),F351&gt;'Tableau de bord'!$F$5,G351="Oui",H351="Oui",I351="Oui",J351="Oui",K351="Oui"),1,0))</x:f>
      </x:c>
      <x:c r="Q351" s="9"/>
      <x:c r="R351" s="12" t="str">
        <x:f>IF(A351="","",IF(C351="","OTP manquant",IF(COUNTIFS($A$6:$A$505,A351,$C$6:$C$505,C351)&gt;1,"Doublon OTP","")))</x:f>
      </x:c>
    </x:row>
    <x:row r="352" ht="23" customHeight="1">
      <x:c r="A352" s="9"/>
      <x:c r="B352" s="9"/>
      <x:c r="C352" s="9"/>
      <x:c r="D352" s="9"/>
      <x:c r="E352" s="9"/>
      <x:c r="F352" s="11"/>
      <x:c r="G352" s="9"/>
      <x:c r="H352" s="9"/>
      <x:c r="I352" s="9"/>
      <x:c r="J352" s="9"/>
      <x:c r="K352" s="9"/>
      <x:c r="L352" s="9"/>
      <x:c r="M352" s="9"/>
      <x:c r="N352" s="12" t="str">
        <x:f>IF(A352="","",IF(ISNUMBER(F352),F352-'Tableau de bord'!$F$5,""))</x:f>
      </x:c>
      <x:c r="O352" s="12" t="str">
        <x:f>IF(A352="","",IF(ISNUMBER(F352),IF(N352&lt;0,"Expiré",IF(N352&lt;='Paramètres'!$E$6,"À renouveler","À jour")),"À compléter"))</x:f>
      </x:c>
      <x:c r="P352" s="12" t="str">
        <x:f>IF(A352="","",IF(AND(ISNUMBER(F352),F352&gt;'Tableau de bord'!$F$5,G352="Oui",H352="Oui",I352="Oui",J352="Oui",K352="Oui"),1,0))</x:f>
      </x:c>
      <x:c r="Q352" s="9"/>
      <x:c r="R352" s="12" t="str">
        <x:f>IF(A352="","",IF(C352="","OTP manquant",IF(COUNTIFS($A$6:$A$505,A352,$C$6:$C$505,C352)&gt;1,"Doublon OTP","")))</x:f>
      </x:c>
    </x:row>
    <x:row r="353" ht="23" customHeight="1">
      <x:c r="A353" s="9"/>
      <x:c r="B353" s="9"/>
      <x:c r="C353" s="9"/>
      <x:c r="D353" s="9"/>
      <x:c r="E353" s="9"/>
      <x:c r="F353" s="11"/>
      <x:c r="G353" s="9"/>
      <x:c r="H353" s="9"/>
      <x:c r="I353" s="9"/>
      <x:c r="J353" s="9"/>
      <x:c r="K353" s="9"/>
      <x:c r="L353" s="9"/>
      <x:c r="M353" s="9"/>
      <x:c r="N353" s="12" t="str">
        <x:f>IF(A353="","",IF(ISNUMBER(F353),F353-'Tableau de bord'!$F$5,""))</x:f>
      </x:c>
      <x:c r="O353" s="12" t="str">
        <x:f>IF(A353="","",IF(ISNUMBER(F353),IF(N353&lt;0,"Expiré",IF(N353&lt;='Paramètres'!$E$6,"À renouveler","À jour")),"À compléter"))</x:f>
      </x:c>
      <x:c r="P353" s="12" t="str">
        <x:f>IF(A353="","",IF(AND(ISNUMBER(F353),F353&gt;'Tableau de bord'!$F$5,G353="Oui",H353="Oui",I353="Oui",J353="Oui",K353="Oui"),1,0))</x:f>
      </x:c>
      <x:c r="Q353" s="9"/>
      <x:c r="R353" s="12" t="str">
        <x:f>IF(A353="","",IF(C353="","OTP manquant",IF(COUNTIFS($A$6:$A$505,A353,$C$6:$C$505,C353)&gt;1,"Doublon OTP","")))</x:f>
      </x:c>
    </x:row>
    <x:row r="354" ht="23" customHeight="1">
      <x:c r="A354" s="9"/>
      <x:c r="B354" s="9"/>
      <x:c r="C354" s="9"/>
      <x:c r="D354" s="9"/>
      <x:c r="E354" s="9"/>
      <x:c r="F354" s="11"/>
      <x:c r="G354" s="9"/>
      <x:c r="H354" s="9"/>
      <x:c r="I354" s="9"/>
      <x:c r="J354" s="9"/>
      <x:c r="K354" s="9"/>
      <x:c r="L354" s="9"/>
      <x:c r="M354" s="9"/>
      <x:c r="N354" s="12" t="str">
        <x:f>IF(A354="","",IF(ISNUMBER(F354),F354-'Tableau de bord'!$F$5,""))</x:f>
      </x:c>
      <x:c r="O354" s="12" t="str">
        <x:f>IF(A354="","",IF(ISNUMBER(F354),IF(N354&lt;0,"Expiré",IF(N354&lt;='Paramètres'!$E$6,"À renouveler","À jour")),"À compléter"))</x:f>
      </x:c>
      <x:c r="P354" s="12" t="str">
        <x:f>IF(A354="","",IF(AND(ISNUMBER(F354),F354&gt;'Tableau de bord'!$F$5,G354="Oui",H354="Oui",I354="Oui",J354="Oui",K354="Oui"),1,0))</x:f>
      </x:c>
      <x:c r="Q354" s="9"/>
      <x:c r="R354" s="12" t="str">
        <x:f>IF(A354="","",IF(C354="","OTP manquant",IF(COUNTIFS($A$6:$A$505,A354,$C$6:$C$505,C354)&gt;1,"Doublon OTP","")))</x:f>
      </x:c>
    </x:row>
    <x:row r="355" ht="23" customHeight="1">
      <x:c r="A355" s="9"/>
      <x:c r="B355" s="9"/>
      <x:c r="C355" s="9"/>
      <x:c r="D355" s="9"/>
      <x:c r="E355" s="9"/>
      <x:c r="F355" s="11"/>
      <x:c r="G355" s="9"/>
      <x:c r="H355" s="9"/>
      <x:c r="I355" s="9"/>
      <x:c r="J355" s="9"/>
      <x:c r="K355" s="9"/>
      <x:c r="L355" s="9"/>
      <x:c r="M355" s="9"/>
      <x:c r="N355" s="12" t="str">
        <x:f>IF(A355="","",IF(ISNUMBER(F355),F355-'Tableau de bord'!$F$5,""))</x:f>
      </x:c>
      <x:c r="O355" s="12" t="str">
        <x:f>IF(A355="","",IF(ISNUMBER(F355),IF(N355&lt;0,"Expiré",IF(N355&lt;='Paramètres'!$E$6,"À renouveler","À jour")),"À compléter"))</x:f>
      </x:c>
      <x:c r="P355" s="12" t="str">
        <x:f>IF(A355="","",IF(AND(ISNUMBER(F355),F355&gt;'Tableau de bord'!$F$5,G355="Oui",H355="Oui",I355="Oui",J355="Oui",K355="Oui"),1,0))</x:f>
      </x:c>
      <x:c r="Q355" s="9"/>
      <x:c r="R355" s="12" t="str">
        <x:f>IF(A355="","",IF(C355="","OTP manquant",IF(COUNTIFS($A$6:$A$505,A355,$C$6:$C$505,C355)&gt;1,"Doublon OTP","")))</x:f>
      </x:c>
    </x:row>
    <x:row r="356" ht="23" customHeight="1">
      <x:c r="A356" s="9"/>
      <x:c r="B356" s="9"/>
      <x:c r="C356" s="9"/>
      <x:c r="D356" s="9"/>
      <x:c r="E356" s="9"/>
      <x:c r="F356" s="11"/>
      <x:c r="G356" s="9"/>
      <x:c r="H356" s="9"/>
      <x:c r="I356" s="9"/>
      <x:c r="J356" s="9"/>
      <x:c r="K356" s="9"/>
      <x:c r="L356" s="9"/>
      <x:c r="M356" s="9"/>
      <x:c r="N356" s="12" t="str">
        <x:f>IF(A356="","",IF(ISNUMBER(F356),F356-'Tableau de bord'!$F$5,""))</x:f>
      </x:c>
      <x:c r="O356" s="12" t="str">
        <x:f>IF(A356="","",IF(ISNUMBER(F356),IF(N356&lt;0,"Expiré",IF(N356&lt;='Paramètres'!$E$6,"À renouveler","À jour")),"À compléter"))</x:f>
      </x:c>
      <x:c r="P356" s="12" t="str">
        <x:f>IF(A356="","",IF(AND(ISNUMBER(F356),F356&gt;'Tableau de bord'!$F$5,G356="Oui",H356="Oui",I356="Oui",J356="Oui",K356="Oui"),1,0))</x:f>
      </x:c>
      <x:c r="Q356" s="9"/>
      <x:c r="R356" s="12" t="str">
        <x:f>IF(A356="","",IF(C356="","OTP manquant",IF(COUNTIFS($A$6:$A$505,A356,$C$6:$C$505,C356)&gt;1,"Doublon OTP","")))</x:f>
      </x:c>
    </x:row>
    <x:row r="357" ht="23" customHeight="1">
      <x:c r="A357" s="9"/>
      <x:c r="B357" s="9"/>
      <x:c r="C357" s="9"/>
      <x:c r="D357" s="9"/>
      <x:c r="E357" s="9"/>
      <x:c r="F357" s="11"/>
      <x:c r="G357" s="9"/>
      <x:c r="H357" s="9"/>
      <x:c r="I357" s="9"/>
      <x:c r="J357" s="9"/>
      <x:c r="K357" s="9"/>
      <x:c r="L357" s="9"/>
      <x:c r="M357" s="9"/>
      <x:c r="N357" s="12" t="str">
        <x:f>IF(A357="","",IF(ISNUMBER(F357),F357-'Tableau de bord'!$F$5,""))</x:f>
      </x:c>
      <x:c r="O357" s="12" t="str">
        <x:f>IF(A357="","",IF(ISNUMBER(F357),IF(N357&lt;0,"Expiré",IF(N357&lt;='Paramètres'!$E$6,"À renouveler","À jour")),"À compléter"))</x:f>
      </x:c>
      <x:c r="P357" s="12" t="str">
        <x:f>IF(A357="","",IF(AND(ISNUMBER(F357),F357&gt;'Tableau de bord'!$F$5,G357="Oui",H357="Oui",I357="Oui",J357="Oui",K357="Oui"),1,0))</x:f>
      </x:c>
      <x:c r="Q357" s="9"/>
      <x:c r="R357" s="12" t="str">
        <x:f>IF(A357="","",IF(C357="","OTP manquant",IF(COUNTIFS($A$6:$A$505,A357,$C$6:$C$505,C357)&gt;1,"Doublon OTP","")))</x:f>
      </x:c>
    </x:row>
    <x:row r="358" ht="23" customHeight="1">
      <x:c r="A358" s="9"/>
      <x:c r="B358" s="9"/>
      <x:c r="C358" s="9"/>
      <x:c r="D358" s="9"/>
      <x:c r="E358" s="9"/>
      <x:c r="F358" s="11"/>
      <x:c r="G358" s="9"/>
      <x:c r="H358" s="9"/>
      <x:c r="I358" s="9"/>
      <x:c r="J358" s="9"/>
      <x:c r="K358" s="9"/>
      <x:c r="L358" s="9"/>
      <x:c r="M358" s="9"/>
      <x:c r="N358" s="12" t="str">
        <x:f>IF(A358="","",IF(ISNUMBER(F358),F358-'Tableau de bord'!$F$5,""))</x:f>
      </x:c>
      <x:c r="O358" s="12" t="str">
        <x:f>IF(A358="","",IF(ISNUMBER(F358),IF(N358&lt;0,"Expiré",IF(N358&lt;='Paramètres'!$E$6,"À renouveler","À jour")),"À compléter"))</x:f>
      </x:c>
      <x:c r="P358" s="12" t="str">
        <x:f>IF(A358="","",IF(AND(ISNUMBER(F358),F358&gt;'Tableau de bord'!$F$5,G358="Oui",H358="Oui",I358="Oui",J358="Oui",K358="Oui"),1,0))</x:f>
      </x:c>
      <x:c r="Q358" s="9"/>
      <x:c r="R358" s="12" t="str">
        <x:f>IF(A358="","",IF(C358="","OTP manquant",IF(COUNTIFS($A$6:$A$505,A358,$C$6:$C$505,C358)&gt;1,"Doublon OTP","")))</x:f>
      </x:c>
    </x:row>
    <x:row r="359" ht="23" customHeight="1">
      <x:c r="A359" s="9"/>
      <x:c r="B359" s="9"/>
      <x:c r="C359" s="9"/>
      <x:c r="D359" s="9"/>
      <x:c r="E359" s="9"/>
      <x:c r="F359" s="11"/>
      <x:c r="G359" s="9"/>
      <x:c r="H359" s="9"/>
      <x:c r="I359" s="9"/>
      <x:c r="J359" s="9"/>
      <x:c r="K359" s="9"/>
      <x:c r="L359" s="9"/>
      <x:c r="M359" s="9"/>
      <x:c r="N359" s="12" t="str">
        <x:f>IF(A359="","",IF(ISNUMBER(F359),F359-'Tableau de bord'!$F$5,""))</x:f>
      </x:c>
      <x:c r="O359" s="12" t="str">
        <x:f>IF(A359="","",IF(ISNUMBER(F359),IF(N359&lt;0,"Expiré",IF(N359&lt;='Paramètres'!$E$6,"À renouveler","À jour")),"À compléter"))</x:f>
      </x:c>
      <x:c r="P359" s="12" t="str">
        <x:f>IF(A359="","",IF(AND(ISNUMBER(F359),F359&gt;'Tableau de bord'!$F$5,G359="Oui",H359="Oui",I359="Oui",J359="Oui",K359="Oui"),1,0))</x:f>
      </x:c>
      <x:c r="Q359" s="9"/>
      <x:c r="R359" s="12" t="str">
        <x:f>IF(A359="","",IF(C359="","OTP manquant",IF(COUNTIFS($A$6:$A$505,A359,$C$6:$C$505,C359)&gt;1,"Doublon OTP","")))</x:f>
      </x:c>
    </x:row>
    <x:row r="360" ht="23" customHeight="1">
      <x:c r="A360" s="9"/>
      <x:c r="B360" s="9"/>
      <x:c r="C360" s="9"/>
      <x:c r="D360" s="9"/>
      <x:c r="E360" s="9"/>
      <x:c r="F360" s="11"/>
      <x:c r="G360" s="9"/>
      <x:c r="H360" s="9"/>
      <x:c r="I360" s="9"/>
      <x:c r="J360" s="9"/>
      <x:c r="K360" s="9"/>
      <x:c r="L360" s="9"/>
      <x:c r="M360" s="9"/>
      <x:c r="N360" s="12" t="str">
        <x:f>IF(A360="","",IF(ISNUMBER(F360),F360-'Tableau de bord'!$F$5,""))</x:f>
      </x:c>
      <x:c r="O360" s="12" t="str">
        <x:f>IF(A360="","",IF(ISNUMBER(F360),IF(N360&lt;0,"Expiré",IF(N360&lt;='Paramètres'!$E$6,"À renouveler","À jour")),"À compléter"))</x:f>
      </x:c>
      <x:c r="P360" s="12" t="str">
        <x:f>IF(A360="","",IF(AND(ISNUMBER(F360),F360&gt;'Tableau de bord'!$F$5,G360="Oui",H360="Oui",I360="Oui",J360="Oui",K360="Oui"),1,0))</x:f>
      </x:c>
      <x:c r="Q360" s="9"/>
      <x:c r="R360" s="12" t="str">
        <x:f>IF(A360="","",IF(C360="","OTP manquant",IF(COUNTIFS($A$6:$A$505,A360,$C$6:$C$505,C360)&gt;1,"Doublon OTP","")))</x:f>
      </x:c>
    </x:row>
    <x:row r="361" ht="23" customHeight="1">
      <x:c r="A361" s="9"/>
      <x:c r="B361" s="9"/>
      <x:c r="C361" s="9"/>
      <x:c r="D361" s="9"/>
      <x:c r="E361" s="9"/>
      <x:c r="F361" s="11"/>
      <x:c r="G361" s="9"/>
      <x:c r="H361" s="9"/>
      <x:c r="I361" s="9"/>
      <x:c r="J361" s="9"/>
      <x:c r="K361" s="9"/>
      <x:c r="L361" s="9"/>
      <x:c r="M361" s="9"/>
      <x:c r="N361" s="12" t="str">
        <x:f>IF(A361="","",IF(ISNUMBER(F361),F361-'Tableau de bord'!$F$5,""))</x:f>
      </x:c>
      <x:c r="O361" s="12" t="str">
        <x:f>IF(A361="","",IF(ISNUMBER(F361),IF(N361&lt;0,"Expiré",IF(N361&lt;='Paramètres'!$E$6,"À renouveler","À jour")),"À compléter"))</x:f>
      </x:c>
      <x:c r="P361" s="12" t="str">
        <x:f>IF(A361="","",IF(AND(ISNUMBER(F361),F361&gt;'Tableau de bord'!$F$5,G361="Oui",H361="Oui",I361="Oui",J361="Oui",K361="Oui"),1,0))</x:f>
      </x:c>
      <x:c r="Q361" s="9"/>
      <x:c r="R361" s="12" t="str">
        <x:f>IF(A361="","",IF(C361="","OTP manquant",IF(COUNTIFS($A$6:$A$505,A361,$C$6:$C$505,C361)&gt;1,"Doublon OTP","")))</x:f>
      </x:c>
    </x:row>
    <x:row r="362" ht="23" customHeight="1">
      <x:c r="A362" s="9"/>
      <x:c r="B362" s="9"/>
      <x:c r="C362" s="9"/>
      <x:c r="D362" s="9"/>
      <x:c r="E362" s="9"/>
      <x:c r="F362" s="11"/>
      <x:c r="G362" s="9"/>
      <x:c r="H362" s="9"/>
      <x:c r="I362" s="9"/>
      <x:c r="J362" s="9"/>
      <x:c r="K362" s="9"/>
      <x:c r="L362" s="9"/>
      <x:c r="M362" s="9"/>
      <x:c r="N362" s="12" t="str">
        <x:f>IF(A362="","",IF(ISNUMBER(F362),F362-'Tableau de bord'!$F$5,""))</x:f>
      </x:c>
      <x:c r="O362" s="12" t="str">
        <x:f>IF(A362="","",IF(ISNUMBER(F362),IF(N362&lt;0,"Expiré",IF(N362&lt;='Paramètres'!$E$6,"À renouveler","À jour")),"À compléter"))</x:f>
      </x:c>
      <x:c r="P362" s="12" t="str">
        <x:f>IF(A362="","",IF(AND(ISNUMBER(F362),F362&gt;'Tableau de bord'!$F$5,G362="Oui",H362="Oui",I362="Oui",J362="Oui",K362="Oui"),1,0))</x:f>
      </x:c>
      <x:c r="Q362" s="9"/>
      <x:c r="R362" s="12" t="str">
        <x:f>IF(A362="","",IF(C362="","OTP manquant",IF(COUNTIFS($A$6:$A$505,A362,$C$6:$C$505,C362)&gt;1,"Doublon OTP","")))</x:f>
      </x:c>
    </x:row>
    <x:row r="363" ht="23" customHeight="1">
      <x:c r="A363" s="9"/>
      <x:c r="B363" s="9"/>
      <x:c r="C363" s="9"/>
      <x:c r="D363" s="9"/>
      <x:c r="E363" s="9"/>
      <x:c r="F363" s="11"/>
      <x:c r="G363" s="9"/>
      <x:c r="H363" s="9"/>
      <x:c r="I363" s="9"/>
      <x:c r="J363" s="9"/>
      <x:c r="K363" s="9"/>
      <x:c r="L363" s="9"/>
      <x:c r="M363" s="9"/>
      <x:c r="N363" s="12" t="str">
        <x:f>IF(A363="","",IF(ISNUMBER(F363),F363-'Tableau de bord'!$F$5,""))</x:f>
      </x:c>
      <x:c r="O363" s="12" t="str">
        <x:f>IF(A363="","",IF(ISNUMBER(F363),IF(N363&lt;0,"Expiré",IF(N363&lt;='Paramètres'!$E$6,"À renouveler","À jour")),"À compléter"))</x:f>
      </x:c>
      <x:c r="P363" s="12" t="str">
        <x:f>IF(A363="","",IF(AND(ISNUMBER(F363),F363&gt;'Tableau de bord'!$F$5,G363="Oui",H363="Oui",I363="Oui",J363="Oui",K363="Oui"),1,0))</x:f>
      </x:c>
      <x:c r="Q363" s="9"/>
      <x:c r="R363" s="12" t="str">
        <x:f>IF(A363="","",IF(C363="","OTP manquant",IF(COUNTIFS($A$6:$A$505,A363,$C$6:$C$505,C363)&gt;1,"Doublon OTP","")))</x:f>
      </x:c>
    </x:row>
    <x:row r="364" ht="23" customHeight="1">
      <x:c r="A364" s="9"/>
      <x:c r="B364" s="9"/>
      <x:c r="C364" s="9"/>
      <x:c r="D364" s="9"/>
      <x:c r="E364" s="9"/>
      <x:c r="F364" s="11"/>
      <x:c r="G364" s="9"/>
      <x:c r="H364" s="9"/>
      <x:c r="I364" s="9"/>
      <x:c r="J364" s="9"/>
      <x:c r="K364" s="9"/>
      <x:c r="L364" s="9"/>
      <x:c r="M364" s="9"/>
      <x:c r="N364" s="12" t="str">
        <x:f>IF(A364="","",IF(ISNUMBER(F364),F364-'Tableau de bord'!$F$5,""))</x:f>
      </x:c>
      <x:c r="O364" s="12" t="str">
        <x:f>IF(A364="","",IF(ISNUMBER(F364),IF(N364&lt;0,"Expiré",IF(N364&lt;='Paramètres'!$E$6,"À renouveler","À jour")),"À compléter"))</x:f>
      </x:c>
      <x:c r="P364" s="12" t="str">
        <x:f>IF(A364="","",IF(AND(ISNUMBER(F364),F364&gt;'Tableau de bord'!$F$5,G364="Oui",H364="Oui",I364="Oui",J364="Oui",K364="Oui"),1,0))</x:f>
      </x:c>
      <x:c r="Q364" s="9"/>
      <x:c r="R364" s="12" t="str">
        <x:f>IF(A364="","",IF(C364="","OTP manquant",IF(COUNTIFS($A$6:$A$505,A364,$C$6:$C$505,C364)&gt;1,"Doublon OTP","")))</x:f>
      </x:c>
    </x:row>
    <x:row r="365" ht="23" customHeight="1">
      <x:c r="A365" s="9"/>
      <x:c r="B365" s="9"/>
      <x:c r="C365" s="9"/>
      <x:c r="D365" s="9"/>
      <x:c r="E365" s="9"/>
      <x:c r="F365" s="11"/>
      <x:c r="G365" s="9"/>
      <x:c r="H365" s="9"/>
      <x:c r="I365" s="9"/>
      <x:c r="J365" s="9"/>
      <x:c r="K365" s="9"/>
      <x:c r="L365" s="9"/>
      <x:c r="M365" s="9"/>
      <x:c r="N365" s="12" t="str">
        <x:f>IF(A365="","",IF(ISNUMBER(F365),F365-'Tableau de bord'!$F$5,""))</x:f>
      </x:c>
      <x:c r="O365" s="12" t="str">
        <x:f>IF(A365="","",IF(ISNUMBER(F365),IF(N365&lt;0,"Expiré",IF(N365&lt;='Paramètres'!$E$6,"À renouveler","À jour")),"À compléter"))</x:f>
      </x:c>
      <x:c r="P365" s="12" t="str">
        <x:f>IF(A365="","",IF(AND(ISNUMBER(F365),F365&gt;'Tableau de bord'!$F$5,G365="Oui",H365="Oui",I365="Oui",J365="Oui",K365="Oui"),1,0))</x:f>
      </x:c>
      <x:c r="Q365" s="9"/>
      <x:c r="R365" s="12" t="str">
        <x:f>IF(A365="","",IF(C365="","OTP manquant",IF(COUNTIFS($A$6:$A$505,A365,$C$6:$C$505,C365)&gt;1,"Doublon OTP","")))</x:f>
      </x:c>
    </x:row>
    <x:row r="366" ht="23" customHeight="1">
      <x:c r="A366" s="9"/>
      <x:c r="B366" s="9"/>
      <x:c r="C366" s="9"/>
      <x:c r="D366" s="9"/>
      <x:c r="E366" s="9"/>
      <x:c r="F366" s="11"/>
      <x:c r="G366" s="9"/>
      <x:c r="H366" s="9"/>
      <x:c r="I366" s="9"/>
      <x:c r="J366" s="9"/>
      <x:c r="K366" s="9"/>
      <x:c r="L366" s="9"/>
      <x:c r="M366" s="9"/>
      <x:c r="N366" s="12" t="str">
        <x:f>IF(A366="","",IF(ISNUMBER(F366),F366-'Tableau de bord'!$F$5,""))</x:f>
      </x:c>
      <x:c r="O366" s="12" t="str">
        <x:f>IF(A366="","",IF(ISNUMBER(F366),IF(N366&lt;0,"Expiré",IF(N366&lt;='Paramètres'!$E$6,"À renouveler","À jour")),"À compléter"))</x:f>
      </x:c>
      <x:c r="P366" s="12" t="str">
        <x:f>IF(A366="","",IF(AND(ISNUMBER(F366),F366&gt;'Tableau de bord'!$F$5,G366="Oui",H366="Oui",I366="Oui",J366="Oui",K366="Oui"),1,0))</x:f>
      </x:c>
      <x:c r="Q366" s="9"/>
      <x:c r="R366" s="12" t="str">
        <x:f>IF(A366="","",IF(C366="","OTP manquant",IF(COUNTIFS($A$6:$A$505,A366,$C$6:$C$505,C366)&gt;1,"Doublon OTP","")))</x:f>
      </x:c>
    </x:row>
    <x:row r="367" ht="23" customHeight="1">
      <x:c r="A367" s="9"/>
      <x:c r="B367" s="9"/>
      <x:c r="C367" s="9"/>
      <x:c r="D367" s="9"/>
      <x:c r="E367" s="9"/>
      <x:c r="F367" s="11"/>
      <x:c r="G367" s="9"/>
      <x:c r="H367" s="9"/>
      <x:c r="I367" s="9"/>
      <x:c r="J367" s="9"/>
      <x:c r="K367" s="9"/>
      <x:c r="L367" s="9"/>
      <x:c r="M367" s="9"/>
      <x:c r="N367" s="12" t="str">
        <x:f>IF(A367="","",IF(ISNUMBER(F367),F367-'Tableau de bord'!$F$5,""))</x:f>
      </x:c>
      <x:c r="O367" s="12" t="str">
        <x:f>IF(A367="","",IF(ISNUMBER(F367),IF(N367&lt;0,"Expiré",IF(N367&lt;='Paramètres'!$E$6,"À renouveler","À jour")),"À compléter"))</x:f>
      </x:c>
      <x:c r="P367" s="12" t="str">
        <x:f>IF(A367="","",IF(AND(ISNUMBER(F367),F367&gt;'Tableau de bord'!$F$5,G367="Oui",H367="Oui",I367="Oui",J367="Oui",K367="Oui"),1,0))</x:f>
      </x:c>
      <x:c r="Q367" s="9"/>
      <x:c r="R367" s="12" t="str">
        <x:f>IF(A367="","",IF(C367="","OTP manquant",IF(COUNTIFS($A$6:$A$505,A367,$C$6:$C$505,C367)&gt;1,"Doublon OTP","")))</x:f>
      </x:c>
    </x:row>
    <x:row r="368" ht="23" customHeight="1">
      <x:c r="A368" s="9"/>
      <x:c r="B368" s="9"/>
      <x:c r="C368" s="9"/>
      <x:c r="D368" s="9"/>
      <x:c r="E368" s="9"/>
      <x:c r="F368" s="11"/>
      <x:c r="G368" s="9"/>
      <x:c r="H368" s="9"/>
      <x:c r="I368" s="9"/>
      <x:c r="J368" s="9"/>
      <x:c r="K368" s="9"/>
      <x:c r="L368" s="9"/>
      <x:c r="M368" s="9"/>
      <x:c r="N368" s="12" t="str">
        <x:f>IF(A368="","",IF(ISNUMBER(F368),F368-'Tableau de bord'!$F$5,""))</x:f>
      </x:c>
      <x:c r="O368" s="12" t="str">
        <x:f>IF(A368="","",IF(ISNUMBER(F368),IF(N368&lt;0,"Expiré",IF(N368&lt;='Paramètres'!$E$6,"À renouveler","À jour")),"À compléter"))</x:f>
      </x:c>
      <x:c r="P368" s="12" t="str">
        <x:f>IF(A368="","",IF(AND(ISNUMBER(F368),F368&gt;'Tableau de bord'!$F$5,G368="Oui",H368="Oui",I368="Oui",J368="Oui",K368="Oui"),1,0))</x:f>
      </x:c>
      <x:c r="Q368" s="9"/>
      <x:c r="R368" s="12" t="str">
        <x:f>IF(A368="","",IF(C368="","OTP manquant",IF(COUNTIFS($A$6:$A$505,A368,$C$6:$C$505,C368)&gt;1,"Doublon OTP","")))</x:f>
      </x:c>
    </x:row>
    <x:row r="369" ht="23" customHeight="1">
      <x:c r="A369" s="9"/>
      <x:c r="B369" s="9"/>
      <x:c r="C369" s="9"/>
      <x:c r="D369" s="9"/>
      <x:c r="E369" s="9"/>
      <x:c r="F369" s="11"/>
      <x:c r="G369" s="9"/>
      <x:c r="H369" s="9"/>
      <x:c r="I369" s="9"/>
      <x:c r="J369" s="9"/>
      <x:c r="K369" s="9"/>
      <x:c r="L369" s="9"/>
      <x:c r="M369" s="9"/>
      <x:c r="N369" s="12" t="str">
        <x:f>IF(A369="","",IF(ISNUMBER(F369),F369-'Tableau de bord'!$F$5,""))</x:f>
      </x:c>
      <x:c r="O369" s="12" t="str">
        <x:f>IF(A369="","",IF(ISNUMBER(F369),IF(N369&lt;0,"Expiré",IF(N369&lt;='Paramètres'!$E$6,"À renouveler","À jour")),"À compléter"))</x:f>
      </x:c>
      <x:c r="P369" s="12" t="str">
        <x:f>IF(A369="","",IF(AND(ISNUMBER(F369),F369&gt;'Tableau de bord'!$F$5,G369="Oui",H369="Oui",I369="Oui",J369="Oui",K369="Oui"),1,0))</x:f>
      </x:c>
      <x:c r="Q369" s="9"/>
      <x:c r="R369" s="12" t="str">
        <x:f>IF(A369="","",IF(C369="","OTP manquant",IF(COUNTIFS($A$6:$A$505,A369,$C$6:$C$505,C369)&gt;1,"Doublon OTP","")))</x:f>
      </x:c>
    </x:row>
    <x:row r="370" ht="23" customHeight="1">
      <x:c r="A370" s="9"/>
      <x:c r="B370" s="9"/>
      <x:c r="C370" s="9"/>
      <x:c r="D370" s="9"/>
      <x:c r="E370" s="9"/>
      <x:c r="F370" s="11"/>
      <x:c r="G370" s="9"/>
      <x:c r="H370" s="9"/>
      <x:c r="I370" s="9"/>
      <x:c r="J370" s="9"/>
      <x:c r="K370" s="9"/>
      <x:c r="L370" s="9"/>
      <x:c r="M370" s="9"/>
      <x:c r="N370" s="12" t="str">
        <x:f>IF(A370="","",IF(ISNUMBER(F370),F370-'Tableau de bord'!$F$5,""))</x:f>
      </x:c>
      <x:c r="O370" s="12" t="str">
        <x:f>IF(A370="","",IF(ISNUMBER(F370),IF(N370&lt;0,"Expiré",IF(N370&lt;='Paramètres'!$E$6,"À renouveler","À jour")),"À compléter"))</x:f>
      </x:c>
      <x:c r="P370" s="12" t="str">
        <x:f>IF(A370="","",IF(AND(ISNUMBER(F370),F370&gt;'Tableau de bord'!$F$5,G370="Oui",H370="Oui",I370="Oui",J370="Oui",K370="Oui"),1,0))</x:f>
      </x:c>
      <x:c r="Q370" s="9"/>
      <x:c r="R370" s="12" t="str">
        <x:f>IF(A370="","",IF(C370="","OTP manquant",IF(COUNTIFS($A$6:$A$505,A370,$C$6:$C$505,C370)&gt;1,"Doublon OTP","")))</x:f>
      </x:c>
    </x:row>
    <x:row r="371" ht="23" customHeight="1">
      <x:c r="A371" s="9"/>
      <x:c r="B371" s="9"/>
      <x:c r="C371" s="9"/>
      <x:c r="D371" s="9"/>
      <x:c r="E371" s="9"/>
      <x:c r="F371" s="11"/>
      <x:c r="G371" s="9"/>
      <x:c r="H371" s="9"/>
      <x:c r="I371" s="9"/>
      <x:c r="J371" s="9"/>
      <x:c r="K371" s="9"/>
      <x:c r="L371" s="9"/>
      <x:c r="M371" s="9"/>
      <x:c r="N371" s="12" t="str">
        <x:f>IF(A371="","",IF(ISNUMBER(F371),F371-'Tableau de bord'!$F$5,""))</x:f>
      </x:c>
      <x:c r="O371" s="12" t="str">
        <x:f>IF(A371="","",IF(ISNUMBER(F371),IF(N371&lt;0,"Expiré",IF(N371&lt;='Paramètres'!$E$6,"À renouveler","À jour")),"À compléter"))</x:f>
      </x:c>
      <x:c r="P371" s="12" t="str">
        <x:f>IF(A371="","",IF(AND(ISNUMBER(F371),F371&gt;'Tableau de bord'!$F$5,G371="Oui",H371="Oui",I371="Oui",J371="Oui",K371="Oui"),1,0))</x:f>
      </x:c>
      <x:c r="Q371" s="9"/>
      <x:c r="R371" s="12" t="str">
        <x:f>IF(A371="","",IF(C371="","OTP manquant",IF(COUNTIFS($A$6:$A$505,A371,$C$6:$C$505,C371)&gt;1,"Doublon OTP","")))</x:f>
      </x:c>
    </x:row>
    <x:row r="372" ht="23" customHeight="1">
      <x:c r="A372" s="9"/>
      <x:c r="B372" s="9"/>
      <x:c r="C372" s="9"/>
      <x:c r="D372" s="9"/>
      <x:c r="E372" s="9"/>
      <x:c r="F372" s="11"/>
      <x:c r="G372" s="9"/>
      <x:c r="H372" s="9"/>
      <x:c r="I372" s="9"/>
      <x:c r="J372" s="9"/>
      <x:c r="K372" s="9"/>
      <x:c r="L372" s="9"/>
      <x:c r="M372" s="9"/>
      <x:c r="N372" s="12" t="str">
        <x:f>IF(A372="","",IF(ISNUMBER(F372),F372-'Tableau de bord'!$F$5,""))</x:f>
      </x:c>
      <x:c r="O372" s="12" t="str">
        <x:f>IF(A372="","",IF(ISNUMBER(F372),IF(N372&lt;0,"Expiré",IF(N372&lt;='Paramètres'!$E$6,"À renouveler","À jour")),"À compléter"))</x:f>
      </x:c>
      <x:c r="P372" s="12" t="str">
        <x:f>IF(A372="","",IF(AND(ISNUMBER(F372),F372&gt;'Tableau de bord'!$F$5,G372="Oui",H372="Oui",I372="Oui",J372="Oui",K372="Oui"),1,0))</x:f>
      </x:c>
      <x:c r="Q372" s="9"/>
      <x:c r="R372" s="12" t="str">
        <x:f>IF(A372="","",IF(C372="","OTP manquant",IF(COUNTIFS($A$6:$A$505,A372,$C$6:$C$505,C372)&gt;1,"Doublon OTP","")))</x:f>
      </x:c>
    </x:row>
    <x:row r="373" ht="23" customHeight="1">
      <x:c r="A373" s="9"/>
      <x:c r="B373" s="9"/>
      <x:c r="C373" s="9"/>
      <x:c r="D373" s="9"/>
      <x:c r="E373" s="9"/>
      <x:c r="F373" s="11"/>
      <x:c r="G373" s="9"/>
      <x:c r="H373" s="9"/>
      <x:c r="I373" s="9"/>
      <x:c r="J373" s="9"/>
      <x:c r="K373" s="9"/>
      <x:c r="L373" s="9"/>
      <x:c r="M373" s="9"/>
      <x:c r="N373" s="12" t="str">
        <x:f>IF(A373="","",IF(ISNUMBER(F373),F373-'Tableau de bord'!$F$5,""))</x:f>
      </x:c>
      <x:c r="O373" s="12" t="str">
        <x:f>IF(A373="","",IF(ISNUMBER(F373),IF(N373&lt;0,"Expiré",IF(N373&lt;='Paramètres'!$E$6,"À renouveler","À jour")),"À compléter"))</x:f>
      </x:c>
      <x:c r="P373" s="12" t="str">
        <x:f>IF(A373="","",IF(AND(ISNUMBER(F373),F373&gt;'Tableau de bord'!$F$5,G373="Oui",H373="Oui",I373="Oui",J373="Oui",K373="Oui"),1,0))</x:f>
      </x:c>
      <x:c r="Q373" s="9"/>
      <x:c r="R373" s="12" t="str">
        <x:f>IF(A373="","",IF(C373="","OTP manquant",IF(COUNTIFS($A$6:$A$505,A373,$C$6:$C$505,C373)&gt;1,"Doublon OTP","")))</x:f>
      </x:c>
    </x:row>
    <x:row r="374" ht="23" customHeight="1">
      <x:c r="A374" s="9"/>
      <x:c r="B374" s="9"/>
      <x:c r="C374" s="9"/>
      <x:c r="D374" s="9"/>
      <x:c r="E374" s="9"/>
      <x:c r="F374" s="11"/>
      <x:c r="G374" s="9"/>
      <x:c r="H374" s="9"/>
      <x:c r="I374" s="9"/>
      <x:c r="J374" s="9"/>
      <x:c r="K374" s="9"/>
      <x:c r="L374" s="9"/>
      <x:c r="M374" s="9"/>
      <x:c r="N374" s="12" t="str">
        <x:f>IF(A374="","",IF(ISNUMBER(F374),F374-'Tableau de bord'!$F$5,""))</x:f>
      </x:c>
      <x:c r="O374" s="12" t="str">
        <x:f>IF(A374="","",IF(ISNUMBER(F374),IF(N374&lt;0,"Expiré",IF(N374&lt;='Paramètres'!$E$6,"À renouveler","À jour")),"À compléter"))</x:f>
      </x:c>
      <x:c r="P374" s="12" t="str">
        <x:f>IF(A374="","",IF(AND(ISNUMBER(F374),F374&gt;'Tableau de bord'!$F$5,G374="Oui",H374="Oui",I374="Oui",J374="Oui",K374="Oui"),1,0))</x:f>
      </x:c>
      <x:c r="Q374" s="9"/>
      <x:c r="R374" s="12" t="str">
        <x:f>IF(A374="","",IF(C374="","OTP manquant",IF(COUNTIFS($A$6:$A$505,A374,$C$6:$C$505,C374)&gt;1,"Doublon OTP","")))</x:f>
      </x:c>
    </x:row>
    <x:row r="375" ht="23" customHeight="1">
      <x:c r="A375" s="9"/>
      <x:c r="B375" s="9"/>
      <x:c r="C375" s="9"/>
      <x:c r="D375" s="9"/>
      <x:c r="E375" s="9"/>
      <x:c r="F375" s="11"/>
      <x:c r="G375" s="9"/>
      <x:c r="H375" s="9"/>
      <x:c r="I375" s="9"/>
      <x:c r="J375" s="9"/>
      <x:c r="K375" s="9"/>
      <x:c r="L375" s="9"/>
      <x:c r="M375" s="9"/>
      <x:c r="N375" s="12" t="str">
        <x:f>IF(A375="","",IF(ISNUMBER(F375),F375-'Tableau de bord'!$F$5,""))</x:f>
      </x:c>
      <x:c r="O375" s="12" t="str">
        <x:f>IF(A375="","",IF(ISNUMBER(F375),IF(N375&lt;0,"Expiré",IF(N375&lt;='Paramètres'!$E$6,"À renouveler","À jour")),"À compléter"))</x:f>
      </x:c>
      <x:c r="P375" s="12" t="str">
        <x:f>IF(A375="","",IF(AND(ISNUMBER(F375),F375&gt;'Tableau de bord'!$F$5,G375="Oui",H375="Oui",I375="Oui",J375="Oui",K375="Oui"),1,0))</x:f>
      </x:c>
      <x:c r="Q375" s="9"/>
      <x:c r="R375" s="12" t="str">
        <x:f>IF(A375="","",IF(C375="","OTP manquant",IF(COUNTIFS($A$6:$A$505,A375,$C$6:$C$505,C375)&gt;1,"Doublon OTP","")))</x:f>
      </x:c>
    </x:row>
    <x:row r="376" ht="23" customHeight="1">
      <x:c r="A376" s="9"/>
      <x:c r="B376" s="9"/>
      <x:c r="C376" s="9"/>
      <x:c r="D376" s="9"/>
      <x:c r="E376" s="9"/>
      <x:c r="F376" s="11"/>
      <x:c r="G376" s="9"/>
      <x:c r="H376" s="9"/>
      <x:c r="I376" s="9"/>
      <x:c r="J376" s="9"/>
      <x:c r="K376" s="9"/>
      <x:c r="L376" s="9"/>
      <x:c r="M376" s="9"/>
      <x:c r="N376" s="12" t="str">
        <x:f>IF(A376="","",IF(ISNUMBER(F376),F376-'Tableau de bord'!$F$5,""))</x:f>
      </x:c>
      <x:c r="O376" s="12" t="str">
        <x:f>IF(A376="","",IF(ISNUMBER(F376),IF(N376&lt;0,"Expiré",IF(N376&lt;='Paramètres'!$E$6,"À renouveler","À jour")),"À compléter"))</x:f>
      </x:c>
      <x:c r="P376" s="12" t="str">
        <x:f>IF(A376="","",IF(AND(ISNUMBER(F376),F376&gt;'Tableau de bord'!$F$5,G376="Oui",H376="Oui",I376="Oui",J376="Oui",K376="Oui"),1,0))</x:f>
      </x:c>
      <x:c r="Q376" s="9"/>
      <x:c r="R376" s="12" t="str">
        <x:f>IF(A376="","",IF(C376="","OTP manquant",IF(COUNTIFS($A$6:$A$505,A376,$C$6:$C$505,C376)&gt;1,"Doublon OTP","")))</x:f>
      </x:c>
    </x:row>
    <x:row r="377" ht="23" customHeight="1">
      <x:c r="A377" s="9"/>
      <x:c r="B377" s="9"/>
      <x:c r="C377" s="9"/>
      <x:c r="D377" s="9"/>
      <x:c r="E377" s="9"/>
      <x:c r="F377" s="11"/>
      <x:c r="G377" s="9"/>
      <x:c r="H377" s="9"/>
      <x:c r="I377" s="9"/>
      <x:c r="J377" s="9"/>
      <x:c r="K377" s="9"/>
      <x:c r="L377" s="9"/>
      <x:c r="M377" s="9"/>
      <x:c r="N377" s="12" t="str">
        <x:f>IF(A377="","",IF(ISNUMBER(F377),F377-'Tableau de bord'!$F$5,""))</x:f>
      </x:c>
      <x:c r="O377" s="12" t="str">
        <x:f>IF(A377="","",IF(ISNUMBER(F377),IF(N377&lt;0,"Expiré",IF(N377&lt;='Paramètres'!$E$6,"À renouveler","À jour")),"À compléter"))</x:f>
      </x:c>
      <x:c r="P377" s="12" t="str">
        <x:f>IF(A377="","",IF(AND(ISNUMBER(F377),F377&gt;'Tableau de bord'!$F$5,G377="Oui",H377="Oui",I377="Oui",J377="Oui",K377="Oui"),1,0))</x:f>
      </x:c>
      <x:c r="Q377" s="9"/>
      <x:c r="R377" s="12" t="str">
        <x:f>IF(A377="","",IF(C377="","OTP manquant",IF(COUNTIFS($A$6:$A$505,A377,$C$6:$C$505,C377)&gt;1,"Doublon OTP","")))</x:f>
      </x:c>
    </x:row>
    <x:row r="378" ht="23" customHeight="1">
      <x:c r="A378" s="9"/>
      <x:c r="B378" s="9"/>
      <x:c r="C378" s="9"/>
      <x:c r="D378" s="9"/>
      <x:c r="E378" s="9"/>
      <x:c r="F378" s="11"/>
      <x:c r="G378" s="9"/>
      <x:c r="H378" s="9"/>
      <x:c r="I378" s="9"/>
      <x:c r="J378" s="9"/>
      <x:c r="K378" s="9"/>
      <x:c r="L378" s="9"/>
      <x:c r="M378" s="9"/>
      <x:c r="N378" s="12" t="str">
        <x:f>IF(A378="","",IF(ISNUMBER(F378),F378-'Tableau de bord'!$F$5,""))</x:f>
      </x:c>
      <x:c r="O378" s="12" t="str">
        <x:f>IF(A378="","",IF(ISNUMBER(F378),IF(N378&lt;0,"Expiré",IF(N378&lt;='Paramètres'!$E$6,"À renouveler","À jour")),"À compléter"))</x:f>
      </x:c>
      <x:c r="P378" s="12" t="str">
        <x:f>IF(A378="","",IF(AND(ISNUMBER(F378),F378&gt;'Tableau de bord'!$F$5,G378="Oui",H378="Oui",I378="Oui",J378="Oui",K378="Oui"),1,0))</x:f>
      </x:c>
      <x:c r="Q378" s="9"/>
      <x:c r="R378" s="12" t="str">
        <x:f>IF(A378="","",IF(C378="","OTP manquant",IF(COUNTIFS($A$6:$A$505,A378,$C$6:$C$505,C378)&gt;1,"Doublon OTP","")))</x:f>
      </x:c>
    </x:row>
    <x:row r="379" ht="23" customHeight="1">
      <x:c r="A379" s="9"/>
      <x:c r="B379" s="9"/>
      <x:c r="C379" s="9"/>
      <x:c r="D379" s="9"/>
      <x:c r="E379" s="9"/>
      <x:c r="F379" s="11"/>
      <x:c r="G379" s="9"/>
      <x:c r="H379" s="9"/>
      <x:c r="I379" s="9"/>
      <x:c r="J379" s="9"/>
      <x:c r="K379" s="9"/>
      <x:c r="L379" s="9"/>
      <x:c r="M379" s="9"/>
      <x:c r="N379" s="12" t="str">
        <x:f>IF(A379="","",IF(ISNUMBER(F379),F379-'Tableau de bord'!$F$5,""))</x:f>
      </x:c>
      <x:c r="O379" s="12" t="str">
        <x:f>IF(A379="","",IF(ISNUMBER(F379),IF(N379&lt;0,"Expiré",IF(N379&lt;='Paramètres'!$E$6,"À renouveler","À jour")),"À compléter"))</x:f>
      </x:c>
      <x:c r="P379" s="12" t="str">
        <x:f>IF(A379="","",IF(AND(ISNUMBER(F379),F379&gt;'Tableau de bord'!$F$5,G379="Oui",H379="Oui",I379="Oui",J379="Oui",K379="Oui"),1,0))</x:f>
      </x:c>
      <x:c r="Q379" s="9"/>
      <x:c r="R379" s="12" t="str">
        <x:f>IF(A379="","",IF(C379="","OTP manquant",IF(COUNTIFS($A$6:$A$505,A379,$C$6:$C$505,C379)&gt;1,"Doublon OTP","")))</x:f>
      </x:c>
    </x:row>
    <x:row r="380" ht="23" customHeight="1">
      <x:c r="A380" s="9"/>
      <x:c r="B380" s="9"/>
      <x:c r="C380" s="9"/>
      <x:c r="D380" s="9"/>
      <x:c r="E380" s="9"/>
      <x:c r="F380" s="11"/>
      <x:c r="G380" s="9"/>
      <x:c r="H380" s="9"/>
      <x:c r="I380" s="9"/>
      <x:c r="J380" s="9"/>
      <x:c r="K380" s="9"/>
      <x:c r="L380" s="9"/>
      <x:c r="M380" s="9"/>
      <x:c r="N380" s="12" t="str">
        <x:f>IF(A380="","",IF(ISNUMBER(F380),F380-'Tableau de bord'!$F$5,""))</x:f>
      </x:c>
      <x:c r="O380" s="12" t="str">
        <x:f>IF(A380="","",IF(ISNUMBER(F380),IF(N380&lt;0,"Expiré",IF(N380&lt;='Paramètres'!$E$6,"À renouveler","À jour")),"À compléter"))</x:f>
      </x:c>
      <x:c r="P380" s="12" t="str">
        <x:f>IF(A380="","",IF(AND(ISNUMBER(F380),F380&gt;'Tableau de bord'!$F$5,G380="Oui",H380="Oui",I380="Oui",J380="Oui",K380="Oui"),1,0))</x:f>
      </x:c>
      <x:c r="Q380" s="9"/>
      <x:c r="R380" s="12" t="str">
        <x:f>IF(A380="","",IF(C380="","OTP manquant",IF(COUNTIFS($A$6:$A$505,A380,$C$6:$C$505,C380)&gt;1,"Doublon OTP","")))</x:f>
      </x:c>
    </x:row>
    <x:row r="381" ht="23" customHeight="1">
      <x:c r="A381" s="9"/>
      <x:c r="B381" s="9"/>
      <x:c r="C381" s="9"/>
      <x:c r="D381" s="9"/>
      <x:c r="E381" s="9"/>
      <x:c r="F381" s="11"/>
      <x:c r="G381" s="9"/>
      <x:c r="H381" s="9"/>
      <x:c r="I381" s="9"/>
      <x:c r="J381" s="9"/>
      <x:c r="K381" s="9"/>
      <x:c r="L381" s="9"/>
      <x:c r="M381" s="9"/>
      <x:c r="N381" s="12" t="str">
        <x:f>IF(A381="","",IF(ISNUMBER(F381),F381-'Tableau de bord'!$F$5,""))</x:f>
      </x:c>
      <x:c r="O381" s="12" t="str">
        <x:f>IF(A381="","",IF(ISNUMBER(F381),IF(N381&lt;0,"Expiré",IF(N381&lt;='Paramètres'!$E$6,"À renouveler","À jour")),"À compléter"))</x:f>
      </x:c>
      <x:c r="P381" s="12" t="str">
        <x:f>IF(A381="","",IF(AND(ISNUMBER(F381),F381&gt;'Tableau de bord'!$F$5,G381="Oui",H381="Oui",I381="Oui",J381="Oui",K381="Oui"),1,0))</x:f>
      </x:c>
      <x:c r="Q381" s="9"/>
      <x:c r="R381" s="12" t="str">
        <x:f>IF(A381="","",IF(C381="","OTP manquant",IF(COUNTIFS($A$6:$A$505,A381,$C$6:$C$505,C381)&gt;1,"Doublon OTP","")))</x:f>
      </x:c>
    </x:row>
    <x:row r="382" ht="23" customHeight="1">
      <x:c r="A382" s="9"/>
      <x:c r="B382" s="9"/>
      <x:c r="C382" s="9"/>
      <x:c r="D382" s="9"/>
      <x:c r="E382" s="9"/>
      <x:c r="F382" s="11"/>
      <x:c r="G382" s="9"/>
      <x:c r="H382" s="9"/>
      <x:c r="I382" s="9"/>
      <x:c r="J382" s="9"/>
      <x:c r="K382" s="9"/>
      <x:c r="L382" s="9"/>
      <x:c r="M382" s="9"/>
      <x:c r="N382" s="12" t="str">
        <x:f>IF(A382="","",IF(ISNUMBER(F382),F382-'Tableau de bord'!$F$5,""))</x:f>
      </x:c>
      <x:c r="O382" s="12" t="str">
        <x:f>IF(A382="","",IF(ISNUMBER(F382),IF(N382&lt;0,"Expiré",IF(N382&lt;='Paramètres'!$E$6,"À renouveler","À jour")),"À compléter"))</x:f>
      </x:c>
      <x:c r="P382" s="12" t="str">
        <x:f>IF(A382="","",IF(AND(ISNUMBER(F382),F382&gt;'Tableau de bord'!$F$5,G382="Oui",H382="Oui",I382="Oui",J382="Oui",K382="Oui"),1,0))</x:f>
      </x:c>
      <x:c r="Q382" s="9"/>
      <x:c r="R382" s="12" t="str">
        <x:f>IF(A382="","",IF(C382="","OTP manquant",IF(COUNTIFS($A$6:$A$505,A382,$C$6:$C$505,C382)&gt;1,"Doublon OTP","")))</x:f>
      </x:c>
    </x:row>
    <x:row r="383" ht="23" customHeight="1">
      <x:c r="A383" s="9"/>
      <x:c r="B383" s="9"/>
      <x:c r="C383" s="9"/>
      <x:c r="D383" s="9"/>
      <x:c r="E383" s="9"/>
      <x:c r="F383" s="11"/>
      <x:c r="G383" s="9"/>
      <x:c r="H383" s="9"/>
      <x:c r="I383" s="9"/>
      <x:c r="J383" s="9"/>
      <x:c r="K383" s="9"/>
      <x:c r="L383" s="9"/>
      <x:c r="M383" s="9"/>
      <x:c r="N383" s="12" t="str">
        <x:f>IF(A383="","",IF(ISNUMBER(F383),F383-'Tableau de bord'!$F$5,""))</x:f>
      </x:c>
      <x:c r="O383" s="12" t="str">
        <x:f>IF(A383="","",IF(ISNUMBER(F383),IF(N383&lt;0,"Expiré",IF(N383&lt;='Paramètres'!$E$6,"À renouveler","À jour")),"À compléter"))</x:f>
      </x:c>
      <x:c r="P383" s="12" t="str">
        <x:f>IF(A383="","",IF(AND(ISNUMBER(F383),F383&gt;'Tableau de bord'!$F$5,G383="Oui",H383="Oui",I383="Oui",J383="Oui",K383="Oui"),1,0))</x:f>
      </x:c>
      <x:c r="Q383" s="9"/>
      <x:c r="R383" s="12" t="str">
        <x:f>IF(A383="","",IF(C383="","OTP manquant",IF(COUNTIFS($A$6:$A$505,A383,$C$6:$C$505,C383)&gt;1,"Doublon OTP","")))</x:f>
      </x:c>
    </x:row>
    <x:row r="384" ht="23" customHeight="1">
      <x:c r="A384" s="9"/>
      <x:c r="B384" s="9"/>
      <x:c r="C384" s="9"/>
      <x:c r="D384" s="9"/>
      <x:c r="E384" s="9"/>
      <x:c r="F384" s="11"/>
      <x:c r="G384" s="9"/>
      <x:c r="H384" s="9"/>
      <x:c r="I384" s="9"/>
      <x:c r="J384" s="9"/>
      <x:c r="K384" s="9"/>
      <x:c r="L384" s="9"/>
      <x:c r="M384" s="9"/>
      <x:c r="N384" s="12" t="str">
        <x:f>IF(A384="","",IF(ISNUMBER(F384),F384-'Tableau de bord'!$F$5,""))</x:f>
      </x:c>
      <x:c r="O384" s="12" t="str">
        <x:f>IF(A384="","",IF(ISNUMBER(F384),IF(N384&lt;0,"Expiré",IF(N384&lt;='Paramètres'!$E$6,"À renouveler","À jour")),"À compléter"))</x:f>
      </x:c>
      <x:c r="P384" s="12" t="str">
        <x:f>IF(A384="","",IF(AND(ISNUMBER(F384),F384&gt;'Tableau de bord'!$F$5,G384="Oui",H384="Oui",I384="Oui",J384="Oui",K384="Oui"),1,0))</x:f>
      </x:c>
      <x:c r="Q384" s="9"/>
      <x:c r="R384" s="12" t="str">
        <x:f>IF(A384="","",IF(C384="","OTP manquant",IF(COUNTIFS($A$6:$A$505,A384,$C$6:$C$505,C384)&gt;1,"Doublon OTP","")))</x:f>
      </x:c>
    </x:row>
    <x:row r="385" ht="23" customHeight="1">
      <x:c r="A385" s="9"/>
      <x:c r="B385" s="9"/>
      <x:c r="C385" s="9"/>
      <x:c r="D385" s="9"/>
      <x:c r="E385" s="9"/>
      <x:c r="F385" s="11"/>
      <x:c r="G385" s="9"/>
      <x:c r="H385" s="9"/>
      <x:c r="I385" s="9"/>
      <x:c r="J385" s="9"/>
      <x:c r="K385" s="9"/>
      <x:c r="L385" s="9"/>
      <x:c r="M385" s="9"/>
      <x:c r="N385" s="12" t="str">
        <x:f>IF(A385="","",IF(ISNUMBER(F385),F385-'Tableau de bord'!$F$5,""))</x:f>
      </x:c>
      <x:c r="O385" s="12" t="str">
        <x:f>IF(A385="","",IF(ISNUMBER(F385),IF(N385&lt;0,"Expiré",IF(N385&lt;='Paramètres'!$E$6,"À renouveler","À jour")),"À compléter"))</x:f>
      </x:c>
      <x:c r="P385" s="12" t="str">
        <x:f>IF(A385="","",IF(AND(ISNUMBER(F385),F385&gt;'Tableau de bord'!$F$5,G385="Oui",H385="Oui",I385="Oui",J385="Oui",K385="Oui"),1,0))</x:f>
      </x:c>
      <x:c r="Q385" s="9"/>
      <x:c r="R385" s="12" t="str">
        <x:f>IF(A385="","",IF(C385="","OTP manquant",IF(COUNTIFS($A$6:$A$505,A385,$C$6:$C$505,C385)&gt;1,"Doublon OTP","")))</x:f>
      </x:c>
    </x:row>
    <x:row r="386" ht="23" customHeight="1">
      <x:c r="A386" s="9"/>
      <x:c r="B386" s="9"/>
      <x:c r="C386" s="9"/>
      <x:c r="D386" s="9"/>
      <x:c r="E386" s="9"/>
      <x:c r="F386" s="11"/>
      <x:c r="G386" s="9"/>
      <x:c r="H386" s="9"/>
      <x:c r="I386" s="9"/>
      <x:c r="J386" s="9"/>
      <x:c r="K386" s="9"/>
      <x:c r="L386" s="9"/>
      <x:c r="M386" s="9"/>
      <x:c r="N386" s="12" t="str">
        <x:f>IF(A386="","",IF(ISNUMBER(F386),F386-'Tableau de bord'!$F$5,""))</x:f>
      </x:c>
      <x:c r="O386" s="12" t="str">
        <x:f>IF(A386="","",IF(ISNUMBER(F386),IF(N386&lt;0,"Expiré",IF(N386&lt;='Paramètres'!$E$6,"À renouveler","À jour")),"À compléter"))</x:f>
      </x:c>
      <x:c r="P386" s="12" t="str">
        <x:f>IF(A386="","",IF(AND(ISNUMBER(F386),F386&gt;'Tableau de bord'!$F$5,G386="Oui",H386="Oui",I386="Oui",J386="Oui",K386="Oui"),1,0))</x:f>
      </x:c>
      <x:c r="Q386" s="9"/>
      <x:c r="R386" s="12" t="str">
        <x:f>IF(A386="","",IF(C386="","OTP manquant",IF(COUNTIFS($A$6:$A$505,A386,$C$6:$C$505,C386)&gt;1,"Doublon OTP","")))</x:f>
      </x:c>
    </x:row>
    <x:row r="387" ht="23" customHeight="1">
      <x:c r="A387" s="9"/>
      <x:c r="B387" s="9"/>
      <x:c r="C387" s="9"/>
      <x:c r="D387" s="9"/>
      <x:c r="E387" s="9"/>
      <x:c r="F387" s="11"/>
      <x:c r="G387" s="9"/>
      <x:c r="H387" s="9"/>
      <x:c r="I387" s="9"/>
      <x:c r="J387" s="9"/>
      <x:c r="K387" s="9"/>
      <x:c r="L387" s="9"/>
      <x:c r="M387" s="9"/>
      <x:c r="N387" s="12" t="str">
        <x:f>IF(A387="","",IF(ISNUMBER(F387),F387-'Tableau de bord'!$F$5,""))</x:f>
      </x:c>
      <x:c r="O387" s="12" t="str">
        <x:f>IF(A387="","",IF(ISNUMBER(F387),IF(N387&lt;0,"Expiré",IF(N387&lt;='Paramètres'!$E$6,"À renouveler","À jour")),"À compléter"))</x:f>
      </x:c>
      <x:c r="P387" s="12" t="str">
        <x:f>IF(A387="","",IF(AND(ISNUMBER(F387),F387&gt;'Tableau de bord'!$F$5,G387="Oui",H387="Oui",I387="Oui",J387="Oui",K387="Oui"),1,0))</x:f>
      </x:c>
      <x:c r="Q387" s="9"/>
      <x:c r="R387" s="12" t="str">
        <x:f>IF(A387="","",IF(C387="","OTP manquant",IF(COUNTIFS($A$6:$A$505,A387,$C$6:$C$505,C387)&gt;1,"Doublon OTP","")))</x:f>
      </x:c>
    </x:row>
    <x:row r="388" ht="23" customHeight="1">
      <x:c r="A388" s="9"/>
      <x:c r="B388" s="9"/>
      <x:c r="C388" s="9"/>
      <x:c r="D388" s="9"/>
      <x:c r="E388" s="9"/>
      <x:c r="F388" s="11"/>
      <x:c r="G388" s="9"/>
      <x:c r="H388" s="9"/>
      <x:c r="I388" s="9"/>
      <x:c r="J388" s="9"/>
      <x:c r="K388" s="9"/>
      <x:c r="L388" s="9"/>
      <x:c r="M388" s="9"/>
      <x:c r="N388" s="12" t="str">
        <x:f>IF(A388="","",IF(ISNUMBER(F388),F388-'Tableau de bord'!$F$5,""))</x:f>
      </x:c>
      <x:c r="O388" s="12" t="str">
        <x:f>IF(A388="","",IF(ISNUMBER(F388),IF(N388&lt;0,"Expiré",IF(N388&lt;='Paramètres'!$E$6,"À renouveler","À jour")),"À compléter"))</x:f>
      </x:c>
      <x:c r="P388" s="12" t="str">
        <x:f>IF(A388="","",IF(AND(ISNUMBER(F388),F388&gt;'Tableau de bord'!$F$5,G388="Oui",H388="Oui",I388="Oui",J388="Oui",K388="Oui"),1,0))</x:f>
      </x:c>
      <x:c r="Q388" s="9"/>
      <x:c r="R388" s="12" t="str">
        <x:f>IF(A388="","",IF(C388="","OTP manquant",IF(COUNTIFS($A$6:$A$505,A388,$C$6:$C$505,C388)&gt;1,"Doublon OTP","")))</x:f>
      </x:c>
    </x:row>
    <x:row r="389" ht="23" customHeight="1">
      <x:c r="A389" s="9"/>
      <x:c r="B389" s="9"/>
      <x:c r="C389" s="9"/>
      <x:c r="D389" s="9"/>
      <x:c r="E389" s="9"/>
      <x:c r="F389" s="11"/>
      <x:c r="G389" s="9"/>
      <x:c r="H389" s="9"/>
      <x:c r="I389" s="9"/>
      <x:c r="J389" s="9"/>
      <x:c r="K389" s="9"/>
      <x:c r="L389" s="9"/>
      <x:c r="M389" s="9"/>
      <x:c r="N389" s="12" t="str">
        <x:f>IF(A389="","",IF(ISNUMBER(F389),F389-'Tableau de bord'!$F$5,""))</x:f>
      </x:c>
      <x:c r="O389" s="12" t="str">
        <x:f>IF(A389="","",IF(ISNUMBER(F389),IF(N389&lt;0,"Expiré",IF(N389&lt;='Paramètres'!$E$6,"À renouveler","À jour")),"À compléter"))</x:f>
      </x:c>
      <x:c r="P389" s="12" t="str">
        <x:f>IF(A389="","",IF(AND(ISNUMBER(F389),F389&gt;'Tableau de bord'!$F$5,G389="Oui",H389="Oui",I389="Oui",J389="Oui",K389="Oui"),1,0))</x:f>
      </x:c>
      <x:c r="Q389" s="9"/>
      <x:c r="R389" s="12" t="str">
        <x:f>IF(A389="","",IF(C389="","OTP manquant",IF(COUNTIFS($A$6:$A$505,A389,$C$6:$C$505,C389)&gt;1,"Doublon OTP","")))</x:f>
      </x:c>
    </x:row>
    <x:row r="390" ht="23" customHeight="1">
      <x:c r="A390" s="9"/>
      <x:c r="B390" s="9"/>
      <x:c r="C390" s="9"/>
      <x:c r="D390" s="9"/>
      <x:c r="E390" s="9"/>
      <x:c r="F390" s="11"/>
      <x:c r="G390" s="9"/>
      <x:c r="H390" s="9"/>
      <x:c r="I390" s="9"/>
      <x:c r="J390" s="9"/>
      <x:c r="K390" s="9"/>
      <x:c r="L390" s="9"/>
      <x:c r="M390" s="9"/>
      <x:c r="N390" s="12" t="str">
        <x:f>IF(A390="","",IF(ISNUMBER(F390),F390-'Tableau de bord'!$F$5,""))</x:f>
      </x:c>
      <x:c r="O390" s="12" t="str">
        <x:f>IF(A390="","",IF(ISNUMBER(F390),IF(N390&lt;0,"Expiré",IF(N390&lt;='Paramètres'!$E$6,"À renouveler","À jour")),"À compléter"))</x:f>
      </x:c>
      <x:c r="P390" s="12" t="str">
        <x:f>IF(A390="","",IF(AND(ISNUMBER(F390),F390&gt;'Tableau de bord'!$F$5,G390="Oui",H390="Oui",I390="Oui",J390="Oui",K390="Oui"),1,0))</x:f>
      </x:c>
      <x:c r="Q390" s="9"/>
      <x:c r="R390" s="12" t="str">
        <x:f>IF(A390="","",IF(C390="","OTP manquant",IF(COUNTIFS($A$6:$A$505,A390,$C$6:$C$505,C390)&gt;1,"Doublon OTP","")))</x:f>
      </x:c>
    </x:row>
    <x:row r="391" ht="23" customHeight="1">
      <x:c r="A391" s="9"/>
      <x:c r="B391" s="9"/>
      <x:c r="C391" s="9"/>
      <x:c r="D391" s="9"/>
      <x:c r="E391" s="9"/>
      <x:c r="F391" s="11"/>
      <x:c r="G391" s="9"/>
      <x:c r="H391" s="9"/>
      <x:c r="I391" s="9"/>
      <x:c r="J391" s="9"/>
      <x:c r="K391" s="9"/>
      <x:c r="L391" s="9"/>
      <x:c r="M391" s="9"/>
      <x:c r="N391" s="12" t="str">
        <x:f>IF(A391="","",IF(ISNUMBER(F391),F391-'Tableau de bord'!$F$5,""))</x:f>
      </x:c>
      <x:c r="O391" s="12" t="str">
        <x:f>IF(A391="","",IF(ISNUMBER(F391),IF(N391&lt;0,"Expiré",IF(N391&lt;='Paramètres'!$E$6,"À renouveler","À jour")),"À compléter"))</x:f>
      </x:c>
      <x:c r="P391" s="12" t="str">
        <x:f>IF(A391="","",IF(AND(ISNUMBER(F391),F391&gt;'Tableau de bord'!$F$5,G391="Oui",H391="Oui",I391="Oui",J391="Oui",K391="Oui"),1,0))</x:f>
      </x:c>
      <x:c r="Q391" s="9"/>
      <x:c r="R391" s="12" t="str">
        <x:f>IF(A391="","",IF(C391="","OTP manquant",IF(COUNTIFS($A$6:$A$505,A391,$C$6:$C$505,C391)&gt;1,"Doublon OTP","")))</x:f>
      </x:c>
    </x:row>
    <x:row r="392" ht="23" customHeight="1">
      <x:c r="A392" s="9"/>
      <x:c r="B392" s="9"/>
      <x:c r="C392" s="9"/>
      <x:c r="D392" s="9"/>
      <x:c r="E392" s="9"/>
      <x:c r="F392" s="11"/>
      <x:c r="G392" s="9"/>
      <x:c r="H392" s="9"/>
      <x:c r="I392" s="9"/>
      <x:c r="J392" s="9"/>
      <x:c r="K392" s="9"/>
      <x:c r="L392" s="9"/>
      <x:c r="M392" s="9"/>
      <x:c r="N392" s="12" t="str">
        <x:f>IF(A392="","",IF(ISNUMBER(F392),F392-'Tableau de bord'!$F$5,""))</x:f>
      </x:c>
      <x:c r="O392" s="12" t="str">
        <x:f>IF(A392="","",IF(ISNUMBER(F392),IF(N392&lt;0,"Expiré",IF(N392&lt;='Paramètres'!$E$6,"À renouveler","À jour")),"À compléter"))</x:f>
      </x:c>
      <x:c r="P392" s="12" t="str">
        <x:f>IF(A392="","",IF(AND(ISNUMBER(F392),F392&gt;'Tableau de bord'!$F$5,G392="Oui",H392="Oui",I392="Oui",J392="Oui",K392="Oui"),1,0))</x:f>
      </x:c>
      <x:c r="Q392" s="9"/>
      <x:c r="R392" s="12" t="str">
        <x:f>IF(A392="","",IF(C392="","OTP manquant",IF(COUNTIFS($A$6:$A$505,A392,$C$6:$C$505,C392)&gt;1,"Doublon OTP","")))</x:f>
      </x:c>
    </x:row>
    <x:row r="393" ht="23" customHeight="1">
      <x:c r="A393" s="9"/>
      <x:c r="B393" s="9"/>
      <x:c r="C393" s="9"/>
      <x:c r="D393" s="9"/>
      <x:c r="E393" s="9"/>
      <x:c r="F393" s="11"/>
      <x:c r="G393" s="9"/>
      <x:c r="H393" s="9"/>
      <x:c r="I393" s="9"/>
      <x:c r="J393" s="9"/>
      <x:c r="K393" s="9"/>
      <x:c r="L393" s="9"/>
      <x:c r="M393" s="9"/>
      <x:c r="N393" s="12" t="str">
        <x:f>IF(A393="","",IF(ISNUMBER(F393),F393-'Tableau de bord'!$F$5,""))</x:f>
      </x:c>
      <x:c r="O393" s="12" t="str">
        <x:f>IF(A393="","",IF(ISNUMBER(F393),IF(N393&lt;0,"Expiré",IF(N393&lt;='Paramètres'!$E$6,"À renouveler","À jour")),"À compléter"))</x:f>
      </x:c>
      <x:c r="P393" s="12" t="str">
        <x:f>IF(A393="","",IF(AND(ISNUMBER(F393),F393&gt;'Tableau de bord'!$F$5,G393="Oui",H393="Oui",I393="Oui",J393="Oui",K393="Oui"),1,0))</x:f>
      </x:c>
      <x:c r="Q393" s="9"/>
      <x:c r="R393" s="12" t="str">
        <x:f>IF(A393="","",IF(C393="","OTP manquant",IF(COUNTIFS($A$6:$A$505,A393,$C$6:$C$505,C393)&gt;1,"Doublon OTP","")))</x:f>
      </x:c>
    </x:row>
    <x:row r="394" ht="23" customHeight="1">
      <x:c r="A394" s="9"/>
      <x:c r="B394" s="9"/>
      <x:c r="C394" s="9"/>
      <x:c r="D394" s="9"/>
      <x:c r="E394" s="9"/>
      <x:c r="F394" s="11"/>
      <x:c r="G394" s="9"/>
      <x:c r="H394" s="9"/>
      <x:c r="I394" s="9"/>
      <x:c r="J394" s="9"/>
      <x:c r="K394" s="9"/>
      <x:c r="L394" s="9"/>
      <x:c r="M394" s="9"/>
      <x:c r="N394" s="12" t="str">
        <x:f>IF(A394="","",IF(ISNUMBER(F394),F394-'Tableau de bord'!$F$5,""))</x:f>
      </x:c>
      <x:c r="O394" s="12" t="str">
        <x:f>IF(A394="","",IF(ISNUMBER(F394),IF(N394&lt;0,"Expiré",IF(N394&lt;='Paramètres'!$E$6,"À renouveler","À jour")),"À compléter"))</x:f>
      </x:c>
      <x:c r="P394" s="12" t="str">
        <x:f>IF(A394="","",IF(AND(ISNUMBER(F394),F394&gt;'Tableau de bord'!$F$5,G394="Oui",H394="Oui",I394="Oui",J394="Oui",K394="Oui"),1,0))</x:f>
      </x:c>
      <x:c r="Q394" s="9"/>
      <x:c r="R394" s="12" t="str">
        <x:f>IF(A394="","",IF(C394="","OTP manquant",IF(COUNTIFS($A$6:$A$505,A394,$C$6:$C$505,C394)&gt;1,"Doublon OTP","")))</x:f>
      </x:c>
    </x:row>
    <x:row r="395" ht="23" customHeight="1">
      <x:c r="A395" s="9"/>
      <x:c r="B395" s="9"/>
      <x:c r="C395" s="9"/>
      <x:c r="D395" s="9"/>
      <x:c r="E395" s="9"/>
      <x:c r="F395" s="11"/>
      <x:c r="G395" s="9"/>
      <x:c r="H395" s="9"/>
      <x:c r="I395" s="9"/>
      <x:c r="J395" s="9"/>
      <x:c r="K395" s="9"/>
      <x:c r="L395" s="9"/>
      <x:c r="M395" s="9"/>
      <x:c r="N395" s="12" t="str">
        <x:f>IF(A395="","",IF(ISNUMBER(F395),F395-'Tableau de bord'!$F$5,""))</x:f>
      </x:c>
      <x:c r="O395" s="12" t="str">
        <x:f>IF(A395="","",IF(ISNUMBER(F395),IF(N395&lt;0,"Expiré",IF(N395&lt;='Paramètres'!$E$6,"À renouveler","À jour")),"À compléter"))</x:f>
      </x:c>
      <x:c r="P395" s="12" t="str">
        <x:f>IF(A395="","",IF(AND(ISNUMBER(F395),F395&gt;'Tableau de bord'!$F$5,G395="Oui",H395="Oui",I395="Oui",J395="Oui",K395="Oui"),1,0))</x:f>
      </x:c>
      <x:c r="Q395" s="9"/>
      <x:c r="R395" s="12" t="str">
        <x:f>IF(A395="","",IF(C395="","OTP manquant",IF(COUNTIFS($A$6:$A$505,A395,$C$6:$C$505,C395)&gt;1,"Doublon OTP","")))</x:f>
      </x:c>
    </x:row>
    <x:row r="396" ht="23" customHeight="1">
      <x:c r="A396" s="9"/>
      <x:c r="B396" s="9"/>
      <x:c r="C396" s="9"/>
      <x:c r="D396" s="9"/>
      <x:c r="E396" s="9"/>
      <x:c r="F396" s="11"/>
      <x:c r="G396" s="9"/>
      <x:c r="H396" s="9"/>
      <x:c r="I396" s="9"/>
      <x:c r="J396" s="9"/>
      <x:c r="K396" s="9"/>
      <x:c r="L396" s="9"/>
      <x:c r="M396" s="9"/>
      <x:c r="N396" s="12" t="str">
        <x:f>IF(A396="","",IF(ISNUMBER(F396),F396-'Tableau de bord'!$F$5,""))</x:f>
      </x:c>
      <x:c r="O396" s="12" t="str">
        <x:f>IF(A396="","",IF(ISNUMBER(F396),IF(N396&lt;0,"Expiré",IF(N396&lt;='Paramètres'!$E$6,"À renouveler","À jour")),"À compléter"))</x:f>
      </x:c>
      <x:c r="P396" s="12" t="str">
        <x:f>IF(A396="","",IF(AND(ISNUMBER(F396),F396&gt;'Tableau de bord'!$F$5,G396="Oui",H396="Oui",I396="Oui",J396="Oui",K396="Oui"),1,0))</x:f>
      </x:c>
      <x:c r="Q396" s="9"/>
      <x:c r="R396" s="12" t="str">
        <x:f>IF(A396="","",IF(C396="","OTP manquant",IF(COUNTIFS($A$6:$A$505,A396,$C$6:$C$505,C396)&gt;1,"Doublon OTP","")))</x:f>
      </x:c>
    </x:row>
    <x:row r="397" ht="23" customHeight="1">
      <x:c r="A397" s="9"/>
      <x:c r="B397" s="9"/>
      <x:c r="C397" s="9"/>
      <x:c r="D397" s="9"/>
      <x:c r="E397" s="9"/>
      <x:c r="F397" s="11"/>
      <x:c r="G397" s="9"/>
      <x:c r="H397" s="9"/>
      <x:c r="I397" s="9"/>
      <x:c r="J397" s="9"/>
      <x:c r="K397" s="9"/>
      <x:c r="L397" s="9"/>
      <x:c r="M397" s="9"/>
      <x:c r="N397" s="12" t="str">
        <x:f>IF(A397="","",IF(ISNUMBER(F397),F397-'Tableau de bord'!$F$5,""))</x:f>
      </x:c>
      <x:c r="O397" s="12" t="str">
        <x:f>IF(A397="","",IF(ISNUMBER(F397),IF(N397&lt;0,"Expiré",IF(N397&lt;='Paramètres'!$E$6,"À renouveler","À jour")),"À compléter"))</x:f>
      </x:c>
      <x:c r="P397" s="12" t="str">
        <x:f>IF(A397="","",IF(AND(ISNUMBER(F397),F397&gt;'Tableau de bord'!$F$5,G397="Oui",H397="Oui",I397="Oui",J397="Oui",K397="Oui"),1,0))</x:f>
      </x:c>
      <x:c r="Q397" s="9"/>
      <x:c r="R397" s="12" t="str">
        <x:f>IF(A397="","",IF(C397="","OTP manquant",IF(COUNTIFS($A$6:$A$505,A397,$C$6:$C$505,C397)&gt;1,"Doublon OTP","")))</x:f>
      </x:c>
    </x:row>
    <x:row r="398" ht="23" customHeight="1">
      <x:c r="A398" s="9"/>
      <x:c r="B398" s="9"/>
      <x:c r="C398" s="9"/>
      <x:c r="D398" s="9"/>
      <x:c r="E398" s="9"/>
      <x:c r="F398" s="11"/>
      <x:c r="G398" s="9"/>
      <x:c r="H398" s="9"/>
      <x:c r="I398" s="9"/>
      <x:c r="J398" s="9"/>
      <x:c r="K398" s="9"/>
      <x:c r="L398" s="9"/>
      <x:c r="M398" s="9"/>
      <x:c r="N398" s="12" t="str">
        <x:f>IF(A398="","",IF(ISNUMBER(F398),F398-'Tableau de bord'!$F$5,""))</x:f>
      </x:c>
      <x:c r="O398" s="12" t="str">
        <x:f>IF(A398="","",IF(ISNUMBER(F398),IF(N398&lt;0,"Expiré",IF(N398&lt;='Paramètres'!$E$6,"À renouveler","À jour")),"À compléter"))</x:f>
      </x:c>
      <x:c r="P398" s="12" t="str">
        <x:f>IF(A398="","",IF(AND(ISNUMBER(F398),F398&gt;'Tableau de bord'!$F$5,G398="Oui",H398="Oui",I398="Oui",J398="Oui",K398="Oui"),1,0))</x:f>
      </x:c>
      <x:c r="Q398" s="9"/>
      <x:c r="R398" s="12" t="str">
        <x:f>IF(A398="","",IF(C398="","OTP manquant",IF(COUNTIFS($A$6:$A$505,A398,$C$6:$C$505,C398)&gt;1,"Doublon OTP","")))</x:f>
      </x:c>
    </x:row>
    <x:row r="399" ht="23" customHeight="1">
      <x:c r="A399" s="9"/>
      <x:c r="B399" s="9"/>
      <x:c r="C399" s="9"/>
      <x:c r="D399" s="9"/>
      <x:c r="E399" s="9"/>
      <x:c r="F399" s="11"/>
      <x:c r="G399" s="9"/>
      <x:c r="H399" s="9"/>
      <x:c r="I399" s="9"/>
      <x:c r="J399" s="9"/>
      <x:c r="K399" s="9"/>
      <x:c r="L399" s="9"/>
      <x:c r="M399" s="9"/>
      <x:c r="N399" s="12" t="str">
        <x:f>IF(A399="","",IF(ISNUMBER(F399),F399-'Tableau de bord'!$F$5,""))</x:f>
      </x:c>
      <x:c r="O399" s="12" t="str">
        <x:f>IF(A399="","",IF(ISNUMBER(F399),IF(N399&lt;0,"Expiré",IF(N399&lt;='Paramètres'!$E$6,"À renouveler","À jour")),"À compléter"))</x:f>
      </x:c>
      <x:c r="P399" s="12" t="str">
        <x:f>IF(A399="","",IF(AND(ISNUMBER(F399),F399&gt;'Tableau de bord'!$F$5,G399="Oui",H399="Oui",I399="Oui",J399="Oui",K399="Oui"),1,0))</x:f>
      </x:c>
      <x:c r="Q399" s="9"/>
      <x:c r="R399" s="12" t="str">
        <x:f>IF(A399="","",IF(C399="","OTP manquant",IF(COUNTIFS($A$6:$A$505,A399,$C$6:$C$505,C399)&gt;1,"Doublon OTP","")))</x:f>
      </x:c>
    </x:row>
    <x:row r="400" ht="23" customHeight="1">
      <x:c r="A400" s="9"/>
      <x:c r="B400" s="9"/>
      <x:c r="C400" s="9"/>
      <x:c r="D400" s="9"/>
      <x:c r="E400" s="9"/>
      <x:c r="F400" s="11"/>
      <x:c r="G400" s="9"/>
      <x:c r="H400" s="9"/>
      <x:c r="I400" s="9"/>
      <x:c r="J400" s="9"/>
      <x:c r="K400" s="9"/>
      <x:c r="L400" s="9"/>
      <x:c r="M400" s="9"/>
      <x:c r="N400" s="12" t="str">
        <x:f>IF(A400="","",IF(ISNUMBER(F400),F400-'Tableau de bord'!$F$5,""))</x:f>
      </x:c>
      <x:c r="O400" s="12" t="str">
        <x:f>IF(A400="","",IF(ISNUMBER(F400),IF(N400&lt;0,"Expiré",IF(N400&lt;='Paramètres'!$E$6,"À renouveler","À jour")),"À compléter"))</x:f>
      </x:c>
      <x:c r="P400" s="12" t="str">
        <x:f>IF(A400="","",IF(AND(ISNUMBER(F400),F400&gt;'Tableau de bord'!$F$5,G400="Oui",H400="Oui",I400="Oui",J400="Oui",K400="Oui"),1,0))</x:f>
      </x:c>
      <x:c r="Q400" s="9"/>
      <x:c r="R400" s="12" t="str">
        <x:f>IF(A400="","",IF(C400="","OTP manquant",IF(COUNTIFS($A$6:$A$505,A400,$C$6:$C$505,C400)&gt;1,"Doublon OTP","")))</x:f>
      </x:c>
    </x:row>
    <x:row r="401" ht="23" customHeight="1">
      <x:c r="A401" s="9"/>
      <x:c r="B401" s="9"/>
      <x:c r="C401" s="9"/>
      <x:c r="D401" s="9"/>
      <x:c r="E401" s="9"/>
      <x:c r="F401" s="11"/>
      <x:c r="G401" s="9"/>
      <x:c r="H401" s="9"/>
      <x:c r="I401" s="9"/>
      <x:c r="J401" s="9"/>
      <x:c r="K401" s="9"/>
      <x:c r="L401" s="9"/>
      <x:c r="M401" s="9"/>
      <x:c r="N401" s="12" t="str">
        <x:f>IF(A401="","",IF(ISNUMBER(F401),F401-'Tableau de bord'!$F$5,""))</x:f>
      </x:c>
      <x:c r="O401" s="12" t="str">
        <x:f>IF(A401="","",IF(ISNUMBER(F401),IF(N401&lt;0,"Expiré",IF(N401&lt;='Paramètres'!$E$6,"À renouveler","À jour")),"À compléter"))</x:f>
      </x:c>
      <x:c r="P401" s="12" t="str">
        <x:f>IF(A401="","",IF(AND(ISNUMBER(F401),F401&gt;'Tableau de bord'!$F$5,G401="Oui",H401="Oui",I401="Oui",J401="Oui",K401="Oui"),1,0))</x:f>
      </x:c>
      <x:c r="Q401" s="9"/>
      <x:c r="R401" s="12" t="str">
        <x:f>IF(A401="","",IF(C401="","OTP manquant",IF(COUNTIFS($A$6:$A$505,A401,$C$6:$C$505,C401)&gt;1,"Doublon OTP","")))</x:f>
      </x:c>
    </x:row>
    <x:row r="402" ht="23" customHeight="1">
      <x:c r="A402" s="9"/>
      <x:c r="B402" s="9"/>
      <x:c r="C402" s="9"/>
      <x:c r="D402" s="9"/>
      <x:c r="E402" s="9"/>
      <x:c r="F402" s="11"/>
      <x:c r="G402" s="9"/>
      <x:c r="H402" s="9"/>
      <x:c r="I402" s="9"/>
      <x:c r="J402" s="9"/>
      <x:c r="K402" s="9"/>
      <x:c r="L402" s="9"/>
      <x:c r="M402" s="9"/>
      <x:c r="N402" s="12" t="str">
        <x:f>IF(A402="","",IF(ISNUMBER(F402),F402-'Tableau de bord'!$F$5,""))</x:f>
      </x:c>
      <x:c r="O402" s="12" t="str">
        <x:f>IF(A402="","",IF(ISNUMBER(F402),IF(N402&lt;0,"Expiré",IF(N402&lt;='Paramètres'!$E$6,"À renouveler","À jour")),"À compléter"))</x:f>
      </x:c>
      <x:c r="P402" s="12" t="str">
        <x:f>IF(A402="","",IF(AND(ISNUMBER(F402),F402&gt;'Tableau de bord'!$F$5,G402="Oui",H402="Oui",I402="Oui",J402="Oui",K402="Oui"),1,0))</x:f>
      </x:c>
      <x:c r="Q402" s="9"/>
      <x:c r="R402" s="12" t="str">
        <x:f>IF(A402="","",IF(C402="","OTP manquant",IF(COUNTIFS($A$6:$A$505,A402,$C$6:$C$505,C402)&gt;1,"Doublon OTP","")))</x:f>
      </x:c>
    </x:row>
    <x:row r="403" ht="23" customHeight="1">
      <x:c r="A403" s="9"/>
      <x:c r="B403" s="9"/>
      <x:c r="C403" s="9"/>
      <x:c r="D403" s="9"/>
      <x:c r="E403" s="9"/>
      <x:c r="F403" s="11"/>
      <x:c r="G403" s="9"/>
      <x:c r="H403" s="9"/>
      <x:c r="I403" s="9"/>
      <x:c r="J403" s="9"/>
      <x:c r="K403" s="9"/>
      <x:c r="L403" s="9"/>
      <x:c r="M403" s="9"/>
      <x:c r="N403" s="12" t="str">
        <x:f>IF(A403="","",IF(ISNUMBER(F403),F403-'Tableau de bord'!$F$5,""))</x:f>
      </x:c>
      <x:c r="O403" s="12" t="str">
        <x:f>IF(A403="","",IF(ISNUMBER(F403),IF(N403&lt;0,"Expiré",IF(N403&lt;='Paramètres'!$E$6,"À renouveler","À jour")),"À compléter"))</x:f>
      </x:c>
      <x:c r="P403" s="12" t="str">
        <x:f>IF(A403="","",IF(AND(ISNUMBER(F403),F403&gt;'Tableau de bord'!$F$5,G403="Oui",H403="Oui",I403="Oui",J403="Oui",K403="Oui"),1,0))</x:f>
      </x:c>
      <x:c r="Q403" s="9"/>
      <x:c r="R403" s="12" t="str">
        <x:f>IF(A403="","",IF(C403="","OTP manquant",IF(COUNTIFS($A$6:$A$505,A403,$C$6:$C$505,C403)&gt;1,"Doublon OTP","")))</x:f>
      </x:c>
    </x:row>
    <x:row r="404" ht="23" customHeight="1">
      <x:c r="A404" s="9"/>
      <x:c r="B404" s="9"/>
      <x:c r="C404" s="9"/>
      <x:c r="D404" s="9"/>
      <x:c r="E404" s="9"/>
      <x:c r="F404" s="11"/>
      <x:c r="G404" s="9"/>
      <x:c r="H404" s="9"/>
      <x:c r="I404" s="9"/>
      <x:c r="J404" s="9"/>
      <x:c r="K404" s="9"/>
      <x:c r="L404" s="9"/>
      <x:c r="M404" s="9"/>
      <x:c r="N404" s="12" t="str">
        <x:f>IF(A404="","",IF(ISNUMBER(F404),F404-'Tableau de bord'!$F$5,""))</x:f>
      </x:c>
      <x:c r="O404" s="12" t="str">
        <x:f>IF(A404="","",IF(ISNUMBER(F404),IF(N404&lt;0,"Expiré",IF(N404&lt;='Paramètres'!$E$6,"À renouveler","À jour")),"À compléter"))</x:f>
      </x:c>
      <x:c r="P404" s="12" t="str">
        <x:f>IF(A404="","",IF(AND(ISNUMBER(F404),F404&gt;'Tableau de bord'!$F$5,G404="Oui",H404="Oui",I404="Oui",J404="Oui",K404="Oui"),1,0))</x:f>
      </x:c>
      <x:c r="Q404" s="9"/>
      <x:c r="R404" s="12" t="str">
        <x:f>IF(A404="","",IF(C404="","OTP manquant",IF(COUNTIFS($A$6:$A$505,A404,$C$6:$C$505,C404)&gt;1,"Doublon OTP","")))</x:f>
      </x:c>
    </x:row>
    <x:row r="405" ht="23" customHeight="1">
      <x:c r="A405" s="9"/>
      <x:c r="B405" s="9"/>
      <x:c r="C405" s="9"/>
      <x:c r="D405" s="9"/>
      <x:c r="E405" s="9"/>
      <x:c r="F405" s="11"/>
      <x:c r="G405" s="9"/>
      <x:c r="H405" s="9"/>
      <x:c r="I405" s="9"/>
      <x:c r="J405" s="9"/>
      <x:c r="K405" s="9"/>
      <x:c r="L405" s="9"/>
      <x:c r="M405" s="9"/>
      <x:c r="N405" s="12" t="str">
        <x:f>IF(A405="","",IF(ISNUMBER(F405),F405-'Tableau de bord'!$F$5,""))</x:f>
      </x:c>
      <x:c r="O405" s="12" t="str">
        <x:f>IF(A405="","",IF(ISNUMBER(F405),IF(N405&lt;0,"Expiré",IF(N405&lt;='Paramètres'!$E$6,"À renouveler","À jour")),"À compléter"))</x:f>
      </x:c>
      <x:c r="P405" s="12" t="str">
        <x:f>IF(A405="","",IF(AND(ISNUMBER(F405),F405&gt;'Tableau de bord'!$F$5,G405="Oui",H405="Oui",I405="Oui",J405="Oui",K405="Oui"),1,0))</x:f>
      </x:c>
      <x:c r="Q405" s="9"/>
      <x:c r="R405" s="12" t="str">
        <x:f>IF(A405="","",IF(C405="","OTP manquant",IF(COUNTIFS($A$6:$A$505,A405,$C$6:$C$505,C405)&gt;1,"Doublon OTP","")))</x:f>
      </x:c>
    </x:row>
    <x:row r="406" ht="23" customHeight="1">
      <x:c r="A406" s="9"/>
      <x:c r="B406" s="9"/>
      <x:c r="C406" s="9"/>
      <x:c r="D406" s="9"/>
      <x:c r="E406" s="9"/>
      <x:c r="F406" s="11"/>
      <x:c r="G406" s="9"/>
      <x:c r="H406" s="9"/>
      <x:c r="I406" s="9"/>
      <x:c r="J406" s="9"/>
      <x:c r="K406" s="9"/>
      <x:c r="L406" s="9"/>
      <x:c r="M406" s="9"/>
      <x:c r="N406" s="12" t="str">
        <x:f>IF(A406="","",IF(ISNUMBER(F406),F406-'Tableau de bord'!$F$5,""))</x:f>
      </x:c>
      <x:c r="O406" s="12" t="str">
        <x:f>IF(A406="","",IF(ISNUMBER(F406),IF(N406&lt;0,"Expiré",IF(N406&lt;='Paramètres'!$E$6,"À renouveler","À jour")),"À compléter"))</x:f>
      </x:c>
      <x:c r="P406" s="12" t="str">
        <x:f>IF(A406="","",IF(AND(ISNUMBER(F406),F406&gt;'Tableau de bord'!$F$5,G406="Oui",H406="Oui",I406="Oui",J406="Oui",K406="Oui"),1,0))</x:f>
      </x:c>
      <x:c r="Q406" s="9"/>
      <x:c r="R406" s="12" t="str">
        <x:f>IF(A406="","",IF(C406="","OTP manquant",IF(COUNTIFS($A$6:$A$505,A406,$C$6:$C$505,C406)&gt;1,"Doublon OTP","")))</x:f>
      </x:c>
    </x:row>
    <x:row r="407" ht="23" customHeight="1">
      <x:c r="A407" s="9"/>
      <x:c r="B407" s="9"/>
      <x:c r="C407" s="9"/>
      <x:c r="D407" s="9"/>
      <x:c r="E407" s="9"/>
      <x:c r="F407" s="11"/>
      <x:c r="G407" s="9"/>
      <x:c r="H407" s="9"/>
      <x:c r="I407" s="9"/>
      <x:c r="J407" s="9"/>
      <x:c r="K407" s="9"/>
      <x:c r="L407" s="9"/>
      <x:c r="M407" s="9"/>
      <x:c r="N407" s="12" t="str">
        <x:f>IF(A407="","",IF(ISNUMBER(F407),F407-'Tableau de bord'!$F$5,""))</x:f>
      </x:c>
      <x:c r="O407" s="12" t="str">
        <x:f>IF(A407="","",IF(ISNUMBER(F407),IF(N407&lt;0,"Expiré",IF(N407&lt;='Paramètres'!$E$6,"À renouveler","À jour")),"À compléter"))</x:f>
      </x:c>
      <x:c r="P407" s="12" t="str">
        <x:f>IF(A407="","",IF(AND(ISNUMBER(F407),F407&gt;'Tableau de bord'!$F$5,G407="Oui",H407="Oui",I407="Oui",J407="Oui",K407="Oui"),1,0))</x:f>
      </x:c>
      <x:c r="Q407" s="9"/>
      <x:c r="R407" s="12" t="str">
        <x:f>IF(A407="","",IF(C407="","OTP manquant",IF(COUNTIFS($A$6:$A$505,A407,$C$6:$C$505,C407)&gt;1,"Doublon OTP","")))</x:f>
      </x:c>
    </x:row>
    <x:row r="408" ht="23" customHeight="1">
      <x:c r="A408" s="9"/>
      <x:c r="B408" s="9"/>
      <x:c r="C408" s="9"/>
      <x:c r="D408" s="9"/>
      <x:c r="E408" s="9"/>
      <x:c r="F408" s="11"/>
      <x:c r="G408" s="9"/>
      <x:c r="H408" s="9"/>
      <x:c r="I408" s="9"/>
      <x:c r="J408" s="9"/>
      <x:c r="K408" s="9"/>
      <x:c r="L408" s="9"/>
      <x:c r="M408" s="9"/>
      <x:c r="N408" s="12" t="str">
        <x:f>IF(A408="","",IF(ISNUMBER(F408),F408-'Tableau de bord'!$F$5,""))</x:f>
      </x:c>
      <x:c r="O408" s="12" t="str">
        <x:f>IF(A408="","",IF(ISNUMBER(F408),IF(N408&lt;0,"Expiré",IF(N408&lt;='Paramètres'!$E$6,"À renouveler","À jour")),"À compléter"))</x:f>
      </x:c>
      <x:c r="P408" s="12" t="str">
        <x:f>IF(A408="","",IF(AND(ISNUMBER(F408),F408&gt;'Tableau de bord'!$F$5,G408="Oui",H408="Oui",I408="Oui",J408="Oui",K408="Oui"),1,0))</x:f>
      </x:c>
      <x:c r="Q408" s="9"/>
      <x:c r="R408" s="12" t="str">
        <x:f>IF(A408="","",IF(C408="","OTP manquant",IF(COUNTIFS($A$6:$A$505,A408,$C$6:$C$505,C408)&gt;1,"Doublon OTP","")))</x:f>
      </x:c>
    </x:row>
    <x:row r="409" ht="23" customHeight="1">
      <x:c r="A409" s="9"/>
      <x:c r="B409" s="9"/>
      <x:c r="C409" s="9"/>
      <x:c r="D409" s="9"/>
      <x:c r="E409" s="9"/>
      <x:c r="F409" s="11"/>
      <x:c r="G409" s="9"/>
      <x:c r="H409" s="9"/>
      <x:c r="I409" s="9"/>
      <x:c r="J409" s="9"/>
      <x:c r="K409" s="9"/>
      <x:c r="L409" s="9"/>
      <x:c r="M409" s="9"/>
      <x:c r="N409" s="12" t="str">
        <x:f>IF(A409="","",IF(ISNUMBER(F409),F409-'Tableau de bord'!$F$5,""))</x:f>
      </x:c>
      <x:c r="O409" s="12" t="str">
        <x:f>IF(A409="","",IF(ISNUMBER(F409),IF(N409&lt;0,"Expiré",IF(N409&lt;='Paramètres'!$E$6,"À renouveler","À jour")),"À compléter"))</x:f>
      </x:c>
      <x:c r="P409" s="12" t="str">
        <x:f>IF(A409="","",IF(AND(ISNUMBER(F409),F409&gt;'Tableau de bord'!$F$5,G409="Oui",H409="Oui",I409="Oui",J409="Oui",K409="Oui"),1,0))</x:f>
      </x:c>
      <x:c r="Q409" s="9"/>
      <x:c r="R409" s="12" t="str">
        <x:f>IF(A409="","",IF(C409="","OTP manquant",IF(COUNTIFS($A$6:$A$505,A409,$C$6:$C$505,C409)&gt;1,"Doublon OTP","")))</x:f>
      </x:c>
    </x:row>
    <x:row r="410" ht="23" customHeight="1">
      <x:c r="A410" s="9"/>
      <x:c r="B410" s="9"/>
      <x:c r="C410" s="9"/>
      <x:c r="D410" s="9"/>
      <x:c r="E410" s="9"/>
      <x:c r="F410" s="11"/>
      <x:c r="G410" s="9"/>
      <x:c r="H410" s="9"/>
      <x:c r="I410" s="9"/>
      <x:c r="J410" s="9"/>
      <x:c r="K410" s="9"/>
      <x:c r="L410" s="9"/>
      <x:c r="M410" s="9"/>
      <x:c r="N410" s="12" t="str">
        <x:f>IF(A410="","",IF(ISNUMBER(F410),F410-'Tableau de bord'!$F$5,""))</x:f>
      </x:c>
      <x:c r="O410" s="12" t="str">
        <x:f>IF(A410="","",IF(ISNUMBER(F410),IF(N410&lt;0,"Expiré",IF(N410&lt;='Paramètres'!$E$6,"À renouveler","À jour")),"À compléter"))</x:f>
      </x:c>
      <x:c r="P410" s="12" t="str">
        <x:f>IF(A410="","",IF(AND(ISNUMBER(F410),F410&gt;'Tableau de bord'!$F$5,G410="Oui",H410="Oui",I410="Oui",J410="Oui",K410="Oui"),1,0))</x:f>
      </x:c>
      <x:c r="Q410" s="9"/>
      <x:c r="R410" s="12" t="str">
        <x:f>IF(A410="","",IF(C410="","OTP manquant",IF(COUNTIFS($A$6:$A$505,A410,$C$6:$C$505,C410)&gt;1,"Doublon OTP","")))</x:f>
      </x:c>
    </x:row>
    <x:row r="411" ht="23" customHeight="1">
      <x:c r="A411" s="9"/>
      <x:c r="B411" s="9"/>
      <x:c r="C411" s="9"/>
      <x:c r="D411" s="9"/>
      <x:c r="E411" s="9"/>
      <x:c r="F411" s="11"/>
      <x:c r="G411" s="9"/>
      <x:c r="H411" s="9"/>
      <x:c r="I411" s="9"/>
      <x:c r="J411" s="9"/>
      <x:c r="K411" s="9"/>
      <x:c r="L411" s="9"/>
      <x:c r="M411" s="9"/>
      <x:c r="N411" s="12" t="str">
        <x:f>IF(A411="","",IF(ISNUMBER(F411),F411-'Tableau de bord'!$F$5,""))</x:f>
      </x:c>
      <x:c r="O411" s="12" t="str">
        <x:f>IF(A411="","",IF(ISNUMBER(F411),IF(N411&lt;0,"Expiré",IF(N411&lt;='Paramètres'!$E$6,"À renouveler","À jour")),"À compléter"))</x:f>
      </x:c>
      <x:c r="P411" s="12" t="str">
        <x:f>IF(A411="","",IF(AND(ISNUMBER(F411),F411&gt;'Tableau de bord'!$F$5,G411="Oui",H411="Oui",I411="Oui",J411="Oui",K411="Oui"),1,0))</x:f>
      </x:c>
      <x:c r="Q411" s="9"/>
      <x:c r="R411" s="12" t="str">
        <x:f>IF(A411="","",IF(C411="","OTP manquant",IF(COUNTIFS($A$6:$A$505,A411,$C$6:$C$505,C411)&gt;1,"Doublon OTP","")))</x:f>
      </x:c>
    </x:row>
    <x:row r="412" ht="23" customHeight="1">
      <x:c r="A412" s="9"/>
      <x:c r="B412" s="9"/>
      <x:c r="C412" s="9"/>
      <x:c r="D412" s="9"/>
      <x:c r="E412" s="9"/>
      <x:c r="F412" s="11"/>
      <x:c r="G412" s="9"/>
      <x:c r="H412" s="9"/>
      <x:c r="I412" s="9"/>
      <x:c r="J412" s="9"/>
      <x:c r="K412" s="9"/>
      <x:c r="L412" s="9"/>
      <x:c r="M412" s="9"/>
      <x:c r="N412" s="12" t="str">
        <x:f>IF(A412="","",IF(ISNUMBER(F412),F412-'Tableau de bord'!$F$5,""))</x:f>
      </x:c>
      <x:c r="O412" s="12" t="str">
        <x:f>IF(A412="","",IF(ISNUMBER(F412),IF(N412&lt;0,"Expiré",IF(N412&lt;='Paramètres'!$E$6,"À renouveler","À jour")),"À compléter"))</x:f>
      </x:c>
      <x:c r="P412" s="12" t="str">
        <x:f>IF(A412="","",IF(AND(ISNUMBER(F412),F412&gt;'Tableau de bord'!$F$5,G412="Oui",H412="Oui",I412="Oui",J412="Oui",K412="Oui"),1,0))</x:f>
      </x:c>
      <x:c r="Q412" s="9"/>
      <x:c r="R412" s="12" t="str">
        <x:f>IF(A412="","",IF(C412="","OTP manquant",IF(COUNTIFS($A$6:$A$505,A412,$C$6:$C$505,C412)&gt;1,"Doublon OTP","")))</x:f>
      </x:c>
    </x:row>
    <x:row r="413" ht="23" customHeight="1">
      <x:c r="A413" s="9"/>
      <x:c r="B413" s="9"/>
      <x:c r="C413" s="9"/>
      <x:c r="D413" s="9"/>
      <x:c r="E413" s="9"/>
      <x:c r="F413" s="11"/>
      <x:c r="G413" s="9"/>
      <x:c r="H413" s="9"/>
      <x:c r="I413" s="9"/>
      <x:c r="J413" s="9"/>
      <x:c r="K413" s="9"/>
      <x:c r="L413" s="9"/>
      <x:c r="M413" s="9"/>
      <x:c r="N413" s="12" t="str">
        <x:f>IF(A413="","",IF(ISNUMBER(F413),F413-'Tableau de bord'!$F$5,""))</x:f>
      </x:c>
      <x:c r="O413" s="12" t="str">
        <x:f>IF(A413="","",IF(ISNUMBER(F413),IF(N413&lt;0,"Expiré",IF(N413&lt;='Paramètres'!$E$6,"À renouveler","À jour")),"À compléter"))</x:f>
      </x:c>
      <x:c r="P413" s="12" t="str">
        <x:f>IF(A413="","",IF(AND(ISNUMBER(F413),F413&gt;'Tableau de bord'!$F$5,G413="Oui",H413="Oui",I413="Oui",J413="Oui",K413="Oui"),1,0))</x:f>
      </x:c>
      <x:c r="Q413" s="9"/>
      <x:c r="R413" s="12" t="str">
        <x:f>IF(A413="","",IF(C413="","OTP manquant",IF(COUNTIFS($A$6:$A$505,A413,$C$6:$C$505,C413)&gt;1,"Doublon OTP","")))</x:f>
      </x:c>
    </x:row>
    <x:row r="414" ht="23" customHeight="1">
      <x:c r="A414" s="9"/>
      <x:c r="B414" s="9"/>
      <x:c r="C414" s="9"/>
      <x:c r="D414" s="9"/>
      <x:c r="E414" s="9"/>
      <x:c r="F414" s="11"/>
      <x:c r="G414" s="9"/>
      <x:c r="H414" s="9"/>
      <x:c r="I414" s="9"/>
      <x:c r="J414" s="9"/>
      <x:c r="K414" s="9"/>
      <x:c r="L414" s="9"/>
      <x:c r="M414" s="9"/>
      <x:c r="N414" s="12" t="str">
        <x:f>IF(A414="","",IF(ISNUMBER(F414),F414-'Tableau de bord'!$F$5,""))</x:f>
      </x:c>
      <x:c r="O414" s="12" t="str">
        <x:f>IF(A414="","",IF(ISNUMBER(F414),IF(N414&lt;0,"Expiré",IF(N414&lt;='Paramètres'!$E$6,"À renouveler","À jour")),"À compléter"))</x:f>
      </x:c>
      <x:c r="P414" s="12" t="str">
        <x:f>IF(A414="","",IF(AND(ISNUMBER(F414),F414&gt;'Tableau de bord'!$F$5,G414="Oui",H414="Oui",I414="Oui",J414="Oui",K414="Oui"),1,0))</x:f>
      </x:c>
      <x:c r="Q414" s="9"/>
      <x:c r="R414" s="12" t="str">
        <x:f>IF(A414="","",IF(C414="","OTP manquant",IF(COUNTIFS($A$6:$A$505,A414,$C$6:$C$505,C414)&gt;1,"Doublon OTP","")))</x:f>
      </x:c>
    </x:row>
    <x:row r="415" ht="23" customHeight="1">
      <x:c r="A415" s="9"/>
      <x:c r="B415" s="9"/>
      <x:c r="C415" s="9"/>
      <x:c r="D415" s="9"/>
      <x:c r="E415" s="9"/>
      <x:c r="F415" s="11"/>
      <x:c r="G415" s="9"/>
      <x:c r="H415" s="9"/>
      <x:c r="I415" s="9"/>
      <x:c r="J415" s="9"/>
      <x:c r="K415" s="9"/>
      <x:c r="L415" s="9"/>
      <x:c r="M415" s="9"/>
      <x:c r="N415" s="12" t="str">
        <x:f>IF(A415="","",IF(ISNUMBER(F415),F415-'Tableau de bord'!$F$5,""))</x:f>
      </x:c>
      <x:c r="O415" s="12" t="str">
        <x:f>IF(A415="","",IF(ISNUMBER(F415),IF(N415&lt;0,"Expiré",IF(N415&lt;='Paramètres'!$E$6,"À renouveler","À jour")),"À compléter"))</x:f>
      </x:c>
      <x:c r="P415" s="12" t="str">
        <x:f>IF(A415="","",IF(AND(ISNUMBER(F415),F415&gt;'Tableau de bord'!$F$5,G415="Oui",H415="Oui",I415="Oui",J415="Oui",K415="Oui"),1,0))</x:f>
      </x:c>
      <x:c r="Q415" s="9"/>
      <x:c r="R415" s="12" t="str">
        <x:f>IF(A415="","",IF(C415="","OTP manquant",IF(COUNTIFS($A$6:$A$505,A415,$C$6:$C$505,C415)&gt;1,"Doublon OTP","")))</x:f>
      </x:c>
    </x:row>
    <x:row r="416" ht="23" customHeight="1">
      <x:c r="A416" s="9"/>
      <x:c r="B416" s="9"/>
      <x:c r="C416" s="9"/>
      <x:c r="D416" s="9"/>
      <x:c r="E416" s="9"/>
      <x:c r="F416" s="11"/>
      <x:c r="G416" s="9"/>
      <x:c r="H416" s="9"/>
      <x:c r="I416" s="9"/>
      <x:c r="J416" s="9"/>
      <x:c r="K416" s="9"/>
      <x:c r="L416" s="9"/>
      <x:c r="M416" s="9"/>
      <x:c r="N416" s="12" t="str">
        <x:f>IF(A416="","",IF(ISNUMBER(F416),F416-'Tableau de bord'!$F$5,""))</x:f>
      </x:c>
      <x:c r="O416" s="12" t="str">
        <x:f>IF(A416="","",IF(ISNUMBER(F416),IF(N416&lt;0,"Expiré",IF(N416&lt;='Paramètres'!$E$6,"À renouveler","À jour")),"À compléter"))</x:f>
      </x:c>
      <x:c r="P416" s="12" t="str">
        <x:f>IF(A416="","",IF(AND(ISNUMBER(F416),F416&gt;'Tableau de bord'!$F$5,G416="Oui",H416="Oui",I416="Oui",J416="Oui",K416="Oui"),1,0))</x:f>
      </x:c>
      <x:c r="Q416" s="9"/>
      <x:c r="R416" s="12" t="str">
        <x:f>IF(A416="","",IF(C416="","OTP manquant",IF(COUNTIFS($A$6:$A$505,A416,$C$6:$C$505,C416)&gt;1,"Doublon OTP","")))</x:f>
      </x:c>
    </x:row>
    <x:row r="417" ht="23" customHeight="1">
      <x:c r="A417" s="9"/>
      <x:c r="B417" s="9"/>
      <x:c r="C417" s="9"/>
      <x:c r="D417" s="9"/>
      <x:c r="E417" s="9"/>
      <x:c r="F417" s="11"/>
      <x:c r="G417" s="9"/>
      <x:c r="H417" s="9"/>
      <x:c r="I417" s="9"/>
      <x:c r="J417" s="9"/>
      <x:c r="K417" s="9"/>
      <x:c r="L417" s="9"/>
      <x:c r="M417" s="9"/>
      <x:c r="N417" s="12" t="str">
        <x:f>IF(A417="","",IF(ISNUMBER(F417),F417-'Tableau de bord'!$F$5,""))</x:f>
      </x:c>
      <x:c r="O417" s="12" t="str">
        <x:f>IF(A417="","",IF(ISNUMBER(F417),IF(N417&lt;0,"Expiré",IF(N417&lt;='Paramètres'!$E$6,"À renouveler","À jour")),"À compléter"))</x:f>
      </x:c>
      <x:c r="P417" s="12" t="str">
        <x:f>IF(A417="","",IF(AND(ISNUMBER(F417),F417&gt;'Tableau de bord'!$F$5,G417="Oui",H417="Oui",I417="Oui",J417="Oui",K417="Oui"),1,0))</x:f>
      </x:c>
      <x:c r="Q417" s="9"/>
      <x:c r="R417" s="12" t="str">
        <x:f>IF(A417="","",IF(C417="","OTP manquant",IF(COUNTIFS($A$6:$A$505,A417,$C$6:$C$505,C417)&gt;1,"Doublon OTP","")))</x:f>
      </x:c>
    </x:row>
    <x:row r="418" ht="23" customHeight="1">
      <x:c r="A418" s="9"/>
      <x:c r="B418" s="9"/>
      <x:c r="C418" s="9"/>
      <x:c r="D418" s="9"/>
      <x:c r="E418" s="9"/>
      <x:c r="F418" s="11"/>
      <x:c r="G418" s="9"/>
      <x:c r="H418" s="9"/>
      <x:c r="I418" s="9"/>
      <x:c r="J418" s="9"/>
      <x:c r="K418" s="9"/>
      <x:c r="L418" s="9"/>
      <x:c r="M418" s="9"/>
      <x:c r="N418" s="12" t="str">
        <x:f>IF(A418="","",IF(ISNUMBER(F418),F418-'Tableau de bord'!$F$5,""))</x:f>
      </x:c>
      <x:c r="O418" s="12" t="str">
        <x:f>IF(A418="","",IF(ISNUMBER(F418),IF(N418&lt;0,"Expiré",IF(N418&lt;='Paramètres'!$E$6,"À renouveler","À jour")),"À compléter"))</x:f>
      </x:c>
      <x:c r="P418" s="12" t="str">
        <x:f>IF(A418="","",IF(AND(ISNUMBER(F418),F418&gt;'Tableau de bord'!$F$5,G418="Oui",H418="Oui",I418="Oui",J418="Oui",K418="Oui"),1,0))</x:f>
      </x:c>
      <x:c r="Q418" s="9"/>
      <x:c r="R418" s="12" t="str">
        <x:f>IF(A418="","",IF(C418="","OTP manquant",IF(COUNTIFS($A$6:$A$505,A418,$C$6:$C$505,C418)&gt;1,"Doublon OTP","")))</x:f>
      </x:c>
    </x:row>
    <x:row r="419" ht="23" customHeight="1">
      <x:c r="A419" s="9"/>
      <x:c r="B419" s="9"/>
      <x:c r="C419" s="9"/>
      <x:c r="D419" s="9"/>
      <x:c r="E419" s="9"/>
      <x:c r="F419" s="11"/>
      <x:c r="G419" s="9"/>
      <x:c r="H419" s="9"/>
      <x:c r="I419" s="9"/>
      <x:c r="J419" s="9"/>
      <x:c r="K419" s="9"/>
      <x:c r="L419" s="9"/>
      <x:c r="M419" s="9"/>
      <x:c r="N419" s="12" t="str">
        <x:f>IF(A419="","",IF(ISNUMBER(F419),F419-'Tableau de bord'!$F$5,""))</x:f>
      </x:c>
      <x:c r="O419" s="12" t="str">
        <x:f>IF(A419="","",IF(ISNUMBER(F419),IF(N419&lt;0,"Expiré",IF(N419&lt;='Paramètres'!$E$6,"À renouveler","À jour")),"À compléter"))</x:f>
      </x:c>
      <x:c r="P419" s="12" t="str">
        <x:f>IF(A419="","",IF(AND(ISNUMBER(F419),F419&gt;'Tableau de bord'!$F$5,G419="Oui",H419="Oui",I419="Oui",J419="Oui",K419="Oui"),1,0))</x:f>
      </x:c>
      <x:c r="Q419" s="9"/>
      <x:c r="R419" s="12" t="str">
        <x:f>IF(A419="","",IF(C419="","OTP manquant",IF(COUNTIFS($A$6:$A$505,A419,$C$6:$C$505,C419)&gt;1,"Doublon OTP","")))</x:f>
      </x:c>
    </x:row>
    <x:row r="420" ht="23" customHeight="1">
      <x:c r="A420" s="9"/>
      <x:c r="B420" s="9"/>
      <x:c r="C420" s="9"/>
      <x:c r="D420" s="9"/>
      <x:c r="E420" s="9"/>
      <x:c r="F420" s="11"/>
      <x:c r="G420" s="9"/>
      <x:c r="H420" s="9"/>
      <x:c r="I420" s="9"/>
      <x:c r="J420" s="9"/>
      <x:c r="K420" s="9"/>
      <x:c r="L420" s="9"/>
      <x:c r="M420" s="9"/>
      <x:c r="N420" s="12" t="str">
        <x:f>IF(A420="","",IF(ISNUMBER(F420),F420-'Tableau de bord'!$F$5,""))</x:f>
      </x:c>
      <x:c r="O420" s="12" t="str">
        <x:f>IF(A420="","",IF(ISNUMBER(F420),IF(N420&lt;0,"Expiré",IF(N420&lt;='Paramètres'!$E$6,"À renouveler","À jour")),"À compléter"))</x:f>
      </x:c>
      <x:c r="P420" s="12" t="str">
        <x:f>IF(A420="","",IF(AND(ISNUMBER(F420),F420&gt;'Tableau de bord'!$F$5,G420="Oui",H420="Oui",I420="Oui",J420="Oui",K420="Oui"),1,0))</x:f>
      </x:c>
      <x:c r="Q420" s="9"/>
      <x:c r="R420" s="12" t="str">
        <x:f>IF(A420="","",IF(C420="","OTP manquant",IF(COUNTIFS($A$6:$A$505,A420,$C$6:$C$505,C420)&gt;1,"Doublon OTP","")))</x:f>
      </x:c>
    </x:row>
    <x:row r="421" ht="23" customHeight="1">
      <x:c r="A421" s="9"/>
      <x:c r="B421" s="9"/>
      <x:c r="C421" s="9"/>
      <x:c r="D421" s="9"/>
      <x:c r="E421" s="9"/>
      <x:c r="F421" s="11"/>
      <x:c r="G421" s="9"/>
      <x:c r="H421" s="9"/>
      <x:c r="I421" s="9"/>
      <x:c r="J421" s="9"/>
      <x:c r="K421" s="9"/>
      <x:c r="L421" s="9"/>
      <x:c r="M421" s="9"/>
      <x:c r="N421" s="12" t="str">
        <x:f>IF(A421="","",IF(ISNUMBER(F421),F421-'Tableau de bord'!$F$5,""))</x:f>
      </x:c>
      <x:c r="O421" s="12" t="str">
        <x:f>IF(A421="","",IF(ISNUMBER(F421),IF(N421&lt;0,"Expiré",IF(N421&lt;='Paramètres'!$E$6,"À renouveler","À jour")),"À compléter"))</x:f>
      </x:c>
      <x:c r="P421" s="12" t="str">
        <x:f>IF(A421="","",IF(AND(ISNUMBER(F421),F421&gt;'Tableau de bord'!$F$5,G421="Oui",H421="Oui",I421="Oui",J421="Oui",K421="Oui"),1,0))</x:f>
      </x:c>
      <x:c r="Q421" s="9"/>
      <x:c r="R421" s="12" t="str">
        <x:f>IF(A421="","",IF(C421="","OTP manquant",IF(COUNTIFS($A$6:$A$505,A421,$C$6:$C$505,C421)&gt;1,"Doublon OTP","")))</x:f>
      </x:c>
    </x:row>
    <x:row r="422" ht="23" customHeight="1">
      <x:c r="A422" s="9"/>
      <x:c r="B422" s="9"/>
      <x:c r="C422" s="9"/>
      <x:c r="D422" s="9"/>
      <x:c r="E422" s="9"/>
      <x:c r="F422" s="11"/>
      <x:c r="G422" s="9"/>
      <x:c r="H422" s="9"/>
      <x:c r="I422" s="9"/>
      <x:c r="J422" s="9"/>
      <x:c r="K422" s="9"/>
      <x:c r="L422" s="9"/>
      <x:c r="M422" s="9"/>
      <x:c r="N422" s="12" t="str">
        <x:f>IF(A422="","",IF(ISNUMBER(F422),F422-'Tableau de bord'!$F$5,""))</x:f>
      </x:c>
      <x:c r="O422" s="12" t="str">
        <x:f>IF(A422="","",IF(ISNUMBER(F422),IF(N422&lt;0,"Expiré",IF(N422&lt;='Paramètres'!$E$6,"À renouveler","À jour")),"À compléter"))</x:f>
      </x:c>
      <x:c r="P422" s="12" t="str">
        <x:f>IF(A422="","",IF(AND(ISNUMBER(F422),F422&gt;'Tableau de bord'!$F$5,G422="Oui",H422="Oui",I422="Oui",J422="Oui",K422="Oui"),1,0))</x:f>
      </x:c>
      <x:c r="Q422" s="9"/>
      <x:c r="R422" s="12" t="str">
        <x:f>IF(A422="","",IF(C422="","OTP manquant",IF(COUNTIFS($A$6:$A$505,A422,$C$6:$C$505,C422)&gt;1,"Doublon OTP","")))</x:f>
      </x:c>
    </x:row>
    <x:row r="423" ht="23" customHeight="1">
      <x:c r="A423" s="9"/>
      <x:c r="B423" s="9"/>
      <x:c r="C423" s="9"/>
      <x:c r="D423" s="9"/>
      <x:c r="E423" s="9"/>
      <x:c r="F423" s="11"/>
      <x:c r="G423" s="9"/>
      <x:c r="H423" s="9"/>
      <x:c r="I423" s="9"/>
      <x:c r="J423" s="9"/>
      <x:c r="K423" s="9"/>
      <x:c r="L423" s="9"/>
      <x:c r="M423" s="9"/>
      <x:c r="N423" s="12" t="str">
        <x:f>IF(A423="","",IF(ISNUMBER(F423),F423-'Tableau de bord'!$F$5,""))</x:f>
      </x:c>
      <x:c r="O423" s="12" t="str">
        <x:f>IF(A423="","",IF(ISNUMBER(F423),IF(N423&lt;0,"Expiré",IF(N423&lt;='Paramètres'!$E$6,"À renouveler","À jour")),"À compléter"))</x:f>
      </x:c>
      <x:c r="P423" s="12" t="str">
        <x:f>IF(A423="","",IF(AND(ISNUMBER(F423),F423&gt;'Tableau de bord'!$F$5,G423="Oui",H423="Oui",I423="Oui",J423="Oui",K423="Oui"),1,0))</x:f>
      </x:c>
      <x:c r="Q423" s="9"/>
      <x:c r="R423" s="12" t="str">
        <x:f>IF(A423="","",IF(C423="","OTP manquant",IF(COUNTIFS($A$6:$A$505,A423,$C$6:$C$505,C423)&gt;1,"Doublon OTP","")))</x:f>
      </x:c>
    </x:row>
    <x:row r="424" ht="23" customHeight="1">
      <x:c r="A424" s="9"/>
      <x:c r="B424" s="9"/>
      <x:c r="C424" s="9"/>
      <x:c r="D424" s="9"/>
      <x:c r="E424" s="9"/>
      <x:c r="F424" s="11"/>
      <x:c r="G424" s="9"/>
      <x:c r="H424" s="9"/>
      <x:c r="I424" s="9"/>
      <x:c r="J424" s="9"/>
      <x:c r="K424" s="9"/>
      <x:c r="L424" s="9"/>
      <x:c r="M424" s="9"/>
      <x:c r="N424" s="12" t="str">
        <x:f>IF(A424="","",IF(ISNUMBER(F424),F424-'Tableau de bord'!$F$5,""))</x:f>
      </x:c>
      <x:c r="O424" s="12" t="str">
        <x:f>IF(A424="","",IF(ISNUMBER(F424),IF(N424&lt;0,"Expiré",IF(N424&lt;='Paramètres'!$E$6,"À renouveler","À jour")),"À compléter"))</x:f>
      </x:c>
      <x:c r="P424" s="12" t="str">
        <x:f>IF(A424="","",IF(AND(ISNUMBER(F424),F424&gt;'Tableau de bord'!$F$5,G424="Oui",H424="Oui",I424="Oui",J424="Oui",K424="Oui"),1,0))</x:f>
      </x:c>
      <x:c r="Q424" s="9"/>
      <x:c r="R424" s="12" t="str">
        <x:f>IF(A424="","",IF(C424="","OTP manquant",IF(COUNTIFS($A$6:$A$505,A424,$C$6:$C$505,C424)&gt;1,"Doublon OTP","")))</x:f>
      </x:c>
    </x:row>
    <x:row r="425" ht="23" customHeight="1">
      <x:c r="A425" s="9"/>
      <x:c r="B425" s="9"/>
      <x:c r="C425" s="9"/>
      <x:c r="D425" s="9"/>
      <x:c r="E425" s="9"/>
      <x:c r="F425" s="11"/>
      <x:c r="G425" s="9"/>
      <x:c r="H425" s="9"/>
      <x:c r="I425" s="9"/>
      <x:c r="J425" s="9"/>
      <x:c r="K425" s="9"/>
      <x:c r="L425" s="9"/>
      <x:c r="M425" s="9"/>
      <x:c r="N425" s="12" t="str">
        <x:f>IF(A425="","",IF(ISNUMBER(F425),F425-'Tableau de bord'!$F$5,""))</x:f>
      </x:c>
      <x:c r="O425" s="12" t="str">
        <x:f>IF(A425="","",IF(ISNUMBER(F425),IF(N425&lt;0,"Expiré",IF(N425&lt;='Paramètres'!$E$6,"À renouveler","À jour")),"À compléter"))</x:f>
      </x:c>
      <x:c r="P425" s="12" t="str">
        <x:f>IF(A425="","",IF(AND(ISNUMBER(F425),F425&gt;'Tableau de bord'!$F$5,G425="Oui",H425="Oui",I425="Oui",J425="Oui",K425="Oui"),1,0))</x:f>
      </x:c>
      <x:c r="Q425" s="9"/>
      <x:c r="R425" s="12" t="str">
        <x:f>IF(A425="","",IF(C425="","OTP manquant",IF(COUNTIFS($A$6:$A$505,A425,$C$6:$C$505,C425)&gt;1,"Doublon OTP","")))</x:f>
      </x:c>
    </x:row>
    <x:row r="426" ht="23" customHeight="1">
      <x:c r="A426" s="9"/>
      <x:c r="B426" s="9"/>
      <x:c r="C426" s="9"/>
      <x:c r="D426" s="9"/>
      <x:c r="E426" s="9"/>
      <x:c r="F426" s="11"/>
      <x:c r="G426" s="9"/>
      <x:c r="H426" s="9"/>
      <x:c r="I426" s="9"/>
      <x:c r="J426" s="9"/>
      <x:c r="K426" s="9"/>
      <x:c r="L426" s="9"/>
      <x:c r="M426" s="9"/>
      <x:c r="N426" s="12" t="str">
        <x:f>IF(A426="","",IF(ISNUMBER(F426),F426-'Tableau de bord'!$F$5,""))</x:f>
      </x:c>
      <x:c r="O426" s="12" t="str">
        <x:f>IF(A426="","",IF(ISNUMBER(F426),IF(N426&lt;0,"Expiré",IF(N426&lt;='Paramètres'!$E$6,"À renouveler","À jour")),"À compléter"))</x:f>
      </x:c>
      <x:c r="P426" s="12" t="str">
        <x:f>IF(A426="","",IF(AND(ISNUMBER(F426),F426&gt;'Tableau de bord'!$F$5,G426="Oui",H426="Oui",I426="Oui",J426="Oui",K426="Oui"),1,0))</x:f>
      </x:c>
      <x:c r="Q426" s="9"/>
      <x:c r="R426" s="12" t="str">
        <x:f>IF(A426="","",IF(C426="","OTP manquant",IF(COUNTIFS($A$6:$A$505,A426,$C$6:$C$505,C426)&gt;1,"Doublon OTP","")))</x:f>
      </x:c>
    </x:row>
    <x:row r="427" ht="23" customHeight="1">
      <x:c r="A427" s="9"/>
      <x:c r="B427" s="9"/>
      <x:c r="C427" s="9"/>
      <x:c r="D427" s="9"/>
      <x:c r="E427" s="9"/>
      <x:c r="F427" s="11"/>
      <x:c r="G427" s="9"/>
      <x:c r="H427" s="9"/>
      <x:c r="I427" s="9"/>
      <x:c r="J427" s="9"/>
      <x:c r="K427" s="9"/>
      <x:c r="L427" s="9"/>
      <x:c r="M427" s="9"/>
      <x:c r="N427" s="12" t="str">
        <x:f>IF(A427="","",IF(ISNUMBER(F427),F427-'Tableau de bord'!$F$5,""))</x:f>
      </x:c>
      <x:c r="O427" s="12" t="str">
        <x:f>IF(A427="","",IF(ISNUMBER(F427),IF(N427&lt;0,"Expiré",IF(N427&lt;='Paramètres'!$E$6,"À renouveler","À jour")),"À compléter"))</x:f>
      </x:c>
      <x:c r="P427" s="12" t="str">
        <x:f>IF(A427="","",IF(AND(ISNUMBER(F427),F427&gt;'Tableau de bord'!$F$5,G427="Oui",H427="Oui",I427="Oui",J427="Oui",K427="Oui"),1,0))</x:f>
      </x:c>
      <x:c r="Q427" s="9"/>
      <x:c r="R427" s="12" t="str">
        <x:f>IF(A427="","",IF(C427="","OTP manquant",IF(COUNTIFS($A$6:$A$505,A427,$C$6:$C$505,C427)&gt;1,"Doublon OTP","")))</x:f>
      </x:c>
    </x:row>
    <x:row r="428" ht="23" customHeight="1">
      <x:c r="A428" s="9"/>
      <x:c r="B428" s="9"/>
      <x:c r="C428" s="9"/>
      <x:c r="D428" s="9"/>
      <x:c r="E428" s="9"/>
      <x:c r="F428" s="11"/>
      <x:c r="G428" s="9"/>
      <x:c r="H428" s="9"/>
      <x:c r="I428" s="9"/>
      <x:c r="J428" s="9"/>
      <x:c r="K428" s="9"/>
      <x:c r="L428" s="9"/>
      <x:c r="M428" s="9"/>
      <x:c r="N428" s="12" t="str">
        <x:f>IF(A428="","",IF(ISNUMBER(F428),F428-'Tableau de bord'!$F$5,""))</x:f>
      </x:c>
      <x:c r="O428" s="12" t="str">
        <x:f>IF(A428="","",IF(ISNUMBER(F428),IF(N428&lt;0,"Expiré",IF(N428&lt;='Paramètres'!$E$6,"À renouveler","À jour")),"À compléter"))</x:f>
      </x:c>
      <x:c r="P428" s="12" t="str">
        <x:f>IF(A428="","",IF(AND(ISNUMBER(F428),F428&gt;'Tableau de bord'!$F$5,G428="Oui",H428="Oui",I428="Oui",J428="Oui",K428="Oui"),1,0))</x:f>
      </x:c>
      <x:c r="Q428" s="9"/>
      <x:c r="R428" s="12" t="str">
        <x:f>IF(A428="","",IF(C428="","OTP manquant",IF(COUNTIFS($A$6:$A$505,A428,$C$6:$C$505,C428)&gt;1,"Doublon OTP","")))</x:f>
      </x:c>
    </x:row>
    <x:row r="429" ht="23" customHeight="1">
      <x:c r="A429" s="9"/>
      <x:c r="B429" s="9"/>
      <x:c r="C429" s="9"/>
      <x:c r="D429" s="9"/>
      <x:c r="E429" s="9"/>
      <x:c r="F429" s="11"/>
      <x:c r="G429" s="9"/>
      <x:c r="H429" s="9"/>
      <x:c r="I429" s="9"/>
      <x:c r="J429" s="9"/>
      <x:c r="K429" s="9"/>
      <x:c r="L429" s="9"/>
      <x:c r="M429" s="9"/>
      <x:c r="N429" s="12" t="str">
        <x:f>IF(A429="","",IF(ISNUMBER(F429),F429-'Tableau de bord'!$F$5,""))</x:f>
      </x:c>
      <x:c r="O429" s="12" t="str">
        <x:f>IF(A429="","",IF(ISNUMBER(F429),IF(N429&lt;0,"Expiré",IF(N429&lt;='Paramètres'!$E$6,"À renouveler","À jour")),"À compléter"))</x:f>
      </x:c>
      <x:c r="P429" s="12" t="str">
        <x:f>IF(A429="","",IF(AND(ISNUMBER(F429),F429&gt;'Tableau de bord'!$F$5,G429="Oui",H429="Oui",I429="Oui",J429="Oui",K429="Oui"),1,0))</x:f>
      </x:c>
      <x:c r="Q429" s="9"/>
      <x:c r="R429" s="12" t="str">
        <x:f>IF(A429="","",IF(C429="","OTP manquant",IF(COUNTIFS($A$6:$A$505,A429,$C$6:$C$505,C429)&gt;1,"Doublon OTP","")))</x:f>
      </x:c>
    </x:row>
    <x:row r="430" ht="23" customHeight="1">
      <x:c r="A430" s="9"/>
      <x:c r="B430" s="9"/>
      <x:c r="C430" s="9"/>
      <x:c r="D430" s="9"/>
      <x:c r="E430" s="9"/>
      <x:c r="F430" s="11"/>
      <x:c r="G430" s="9"/>
      <x:c r="H430" s="9"/>
      <x:c r="I430" s="9"/>
      <x:c r="J430" s="9"/>
      <x:c r="K430" s="9"/>
      <x:c r="L430" s="9"/>
      <x:c r="M430" s="9"/>
      <x:c r="N430" s="12" t="str">
        <x:f>IF(A430="","",IF(ISNUMBER(F430),F430-'Tableau de bord'!$F$5,""))</x:f>
      </x:c>
      <x:c r="O430" s="12" t="str">
        <x:f>IF(A430="","",IF(ISNUMBER(F430),IF(N430&lt;0,"Expiré",IF(N430&lt;='Paramètres'!$E$6,"À renouveler","À jour")),"À compléter"))</x:f>
      </x:c>
      <x:c r="P430" s="12" t="str">
        <x:f>IF(A430="","",IF(AND(ISNUMBER(F430),F430&gt;'Tableau de bord'!$F$5,G430="Oui",H430="Oui",I430="Oui",J430="Oui",K430="Oui"),1,0))</x:f>
      </x:c>
      <x:c r="Q430" s="9"/>
      <x:c r="R430" s="12" t="str">
        <x:f>IF(A430="","",IF(C430="","OTP manquant",IF(COUNTIFS($A$6:$A$505,A430,$C$6:$C$505,C430)&gt;1,"Doublon OTP","")))</x:f>
      </x:c>
    </x:row>
    <x:row r="431" ht="23" customHeight="1">
      <x:c r="A431" s="9"/>
      <x:c r="B431" s="9"/>
      <x:c r="C431" s="9"/>
      <x:c r="D431" s="9"/>
      <x:c r="E431" s="9"/>
      <x:c r="F431" s="11"/>
      <x:c r="G431" s="9"/>
      <x:c r="H431" s="9"/>
      <x:c r="I431" s="9"/>
      <x:c r="J431" s="9"/>
      <x:c r="K431" s="9"/>
      <x:c r="L431" s="9"/>
      <x:c r="M431" s="9"/>
      <x:c r="N431" s="12" t="str">
        <x:f>IF(A431="","",IF(ISNUMBER(F431),F431-'Tableau de bord'!$F$5,""))</x:f>
      </x:c>
      <x:c r="O431" s="12" t="str">
        <x:f>IF(A431="","",IF(ISNUMBER(F431),IF(N431&lt;0,"Expiré",IF(N431&lt;='Paramètres'!$E$6,"À renouveler","À jour")),"À compléter"))</x:f>
      </x:c>
      <x:c r="P431" s="12" t="str">
        <x:f>IF(A431="","",IF(AND(ISNUMBER(F431),F431&gt;'Tableau de bord'!$F$5,G431="Oui",H431="Oui",I431="Oui",J431="Oui",K431="Oui"),1,0))</x:f>
      </x:c>
      <x:c r="Q431" s="9"/>
      <x:c r="R431" s="12" t="str">
        <x:f>IF(A431="","",IF(C431="","OTP manquant",IF(COUNTIFS($A$6:$A$505,A431,$C$6:$C$505,C431)&gt;1,"Doublon OTP","")))</x:f>
      </x:c>
    </x:row>
    <x:row r="432" ht="23" customHeight="1">
      <x:c r="A432" s="9"/>
      <x:c r="B432" s="9"/>
      <x:c r="C432" s="9"/>
      <x:c r="D432" s="9"/>
      <x:c r="E432" s="9"/>
      <x:c r="F432" s="11"/>
      <x:c r="G432" s="9"/>
      <x:c r="H432" s="9"/>
      <x:c r="I432" s="9"/>
      <x:c r="J432" s="9"/>
      <x:c r="K432" s="9"/>
      <x:c r="L432" s="9"/>
      <x:c r="M432" s="9"/>
      <x:c r="N432" s="12" t="str">
        <x:f>IF(A432="","",IF(ISNUMBER(F432),F432-'Tableau de bord'!$F$5,""))</x:f>
      </x:c>
      <x:c r="O432" s="12" t="str">
        <x:f>IF(A432="","",IF(ISNUMBER(F432),IF(N432&lt;0,"Expiré",IF(N432&lt;='Paramètres'!$E$6,"À renouveler","À jour")),"À compléter"))</x:f>
      </x:c>
      <x:c r="P432" s="12" t="str">
        <x:f>IF(A432="","",IF(AND(ISNUMBER(F432),F432&gt;'Tableau de bord'!$F$5,G432="Oui",H432="Oui",I432="Oui",J432="Oui",K432="Oui"),1,0))</x:f>
      </x:c>
      <x:c r="Q432" s="9"/>
      <x:c r="R432" s="12" t="str">
        <x:f>IF(A432="","",IF(C432="","OTP manquant",IF(COUNTIFS($A$6:$A$505,A432,$C$6:$C$505,C432)&gt;1,"Doublon OTP","")))</x:f>
      </x:c>
    </x:row>
    <x:row r="433" ht="23" customHeight="1">
      <x:c r="A433" s="9"/>
      <x:c r="B433" s="9"/>
      <x:c r="C433" s="9"/>
      <x:c r="D433" s="9"/>
      <x:c r="E433" s="9"/>
      <x:c r="F433" s="11"/>
      <x:c r="G433" s="9"/>
      <x:c r="H433" s="9"/>
      <x:c r="I433" s="9"/>
      <x:c r="J433" s="9"/>
      <x:c r="K433" s="9"/>
      <x:c r="L433" s="9"/>
      <x:c r="M433" s="9"/>
      <x:c r="N433" s="12" t="str">
        <x:f>IF(A433="","",IF(ISNUMBER(F433),F433-'Tableau de bord'!$F$5,""))</x:f>
      </x:c>
      <x:c r="O433" s="12" t="str">
        <x:f>IF(A433="","",IF(ISNUMBER(F433),IF(N433&lt;0,"Expiré",IF(N433&lt;='Paramètres'!$E$6,"À renouveler","À jour")),"À compléter"))</x:f>
      </x:c>
      <x:c r="P433" s="12" t="str">
        <x:f>IF(A433="","",IF(AND(ISNUMBER(F433),F433&gt;'Tableau de bord'!$F$5,G433="Oui",H433="Oui",I433="Oui",J433="Oui",K433="Oui"),1,0))</x:f>
      </x:c>
      <x:c r="Q433" s="9"/>
      <x:c r="R433" s="12" t="str">
        <x:f>IF(A433="","",IF(C433="","OTP manquant",IF(COUNTIFS($A$6:$A$505,A433,$C$6:$C$505,C433)&gt;1,"Doublon OTP","")))</x:f>
      </x:c>
    </x:row>
    <x:row r="434" ht="23" customHeight="1">
      <x:c r="A434" s="9"/>
      <x:c r="B434" s="9"/>
      <x:c r="C434" s="9"/>
      <x:c r="D434" s="9"/>
      <x:c r="E434" s="9"/>
      <x:c r="F434" s="11"/>
      <x:c r="G434" s="9"/>
      <x:c r="H434" s="9"/>
      <x:c r="I434" s="9"/>
      <x:c r="J434" s="9"/>
      <x:c r="K434" s="9"/>
      <x:c r="L434" s="9"/>
      <x:c r="M434" s="9"/>
      <x:c r="N434" s="12" t="str">
        <x:f>IF(A434="","",IF(ISNUMBER(F434),F434-'Tableau de bord'!$F$5,""))</x:f>
      </x:c>
      <x:c r="O434" s="12" t="str">
        <x:f>IF(A434="","",IF(ISNUMBER(F434),IF(N434&lt;0,"Expiré",IF(N434&lt;='Paramètres'!$E$6,"À renouveler","À jour")),"À compléter"))</x:f>
      </x:c>
      <x:c r="P434" s="12" t="str">
        <x:f>IF(A434="","",IF(AND(ISNUMBER(F434),F434&gt;'Tableau de bord'!$F$5,G434="Oui",H434="Oui",I434="Oui",J434="Oui",K434="Oui"),1,0))</x:f>
      </x:c>
      <x:c r="Q434" s="9"/>
      <x:c r="R434" s="12" t="str">
        <x:f>IF(A434="","",IF(C434="","OTP manquant",IF(COUNTIFS($A$6:$A$505,A434,$C$6:$C$505,C434)&gt;1,"Doublon OTP","")))</x:f>
      </x:c>
    </x:row>
    <x:row r="435" ht="23" customHeight="1">
      <x:c r="A435" s="9"/>
      <x:c r="B435" s="9"/>
      <x:c r="C435" s="9"/>
      <x:c r="D435" s="9"/>
      <x:c r="E435" s="9"/>
      <x:c r="F435" s="11"/>
      <x:c r="G435" s="9"/>
      <x:c r="H435" s="9"/>
      <x:c r="I435" s="9"/>
      <x:c r="J435" s="9"/>
      <x:c r="K435" s="9"/>
      <x:c r="L435" s="9"/>
      <x:c r="M435" s="9"/>
      <x:c r="N435" s="12" t="str">
        <x:f>IF(A435="","",IF(ISNUMBER(F435),F435-'Tableau de bord'!$F$5,""))</x:f>
      </x:c>
      <x:c r="O435" s="12" t="str">
        <x:f>IF(A435="","",IF(ISNUMBER(F435),IF(N435&lt;0,"Expiré",IF(N435&lt;='Paramètres'!$E$6,"À renouveler","À jour")),"À compléter"))</x:f>
      </x:c>
      <x:c r="P435" s="12" t="str">
        <x:f>IF(A435="","",IF(AND(ISNUMBER(F435),F435&gt;'Tableau de bord'!$F$5,G435="Oui",H435="Oui",I435="Oui",J435="Oui",K435="Oui"),1,0))</x:f>
      </x:c>
      <x:c r="Q435" s="9"/>
      <x:c r="R435" s="12" t="str">
        <x:f>IF(A435="","",IF(C435="","OTP manquant",IF(COUNTIFS($A$6:$A$505,A435,$C$6:$C$505,C435)&gt;1,"Doublon OTP","")))</x:f>
      </x:c>
    </x:row>
    <x:row r="436" ht="23" customHeight="1">
      <x:c r="A436" s="9"/>
      <x:c r="B436" s="9"/>
      <x:c r="C436" s="9"/>
      <x:c r="D436" s="9"/>
      <x:c r="E436" s="9"/>
      <x:c r="F436" s="11"/>
      <x:c r="G436" s="9"/>
      <x:c r="H436" s="9"/>
      <x:c r="I436" s="9"/>
      <x:c r="J436" s="9"/>
      <x:c r="K436" s="9"/>
      <x:c r="L436" s="9"/>
      <x:c r="M436" s="9"/>
      <x:c r="N436" s="12" t="str">
        <x:f>IF(A436="","",IF(ISNUMBER(F436),F436-'Tableau de bord'!$F$5,""))</x:f>
      </x:c>
      <x:c r="O436" s="12" t="str">
        <x:f>IF(A436="","",IF(ISNUMBER(F436),IF(N436&lt;0,"Expiré",IF(N436&lt;='Paramètres'!$E$6,"À renouveler","À jour")),"À compléter"))</x:f>
      </x:c>
      <x:c r="P436" s="12" t="str">
        <x:f>IF(A436="","",IF(AND(ISNUMBER(F436),F436&gt;'Tableau de bord'!$F$5,G436="Oui",H436="Oui",I436="Oui",J436="Oui",K436="Oui"),1,0))</x:f>
      </x:c>
      <x:c r="Q436" s="9"/>
      <x:c r="R436" s="12" t="str">
        <x:f>IF(A436="","",IF(C436="","OTP manquant",IF(COUNTIFS($A$6:$A$505,A436,$C$6:$C$505,C436)&gt;1,"Doublon OTP","")))</x:f>
      </x:c>
    </x:row>
    <x:row r="437" ht="23" customHeight="1">
      <x:c r="A437" s="9"/>
      <x:c r="B437" s="9"/>
      <x:c r="C437" s="9"/>
      <x:c r="D437" s="9"/>
      <x:c r="E437" s="9"/>
      <x:c r="F437" s="11"/>
      <x:c r="G437" s="9"/>
      <x:c r="H437" s="9"/>
      <x:c r="I437" s="9"/>
      <x:c r="J437" s="9"/>
      <x:c r="K437" s="9"/>
      <x:c r="L437" s="9"/>
      <x:c r="M437" s="9"/>
      <x:c r="N437" s="12" t="str">
        <x:f>IF(A437="","",IF(ISNUMBER(F437),F437-'Tableau de bord'!$F$5,""))</x:f>
      </x:c>
      <x:c r="O437" s="12" t="str">
        <x:f>IF(A437="","",IF(ISNUMBER(F437),IF(N437&lt;0,"Expiré",IF(N437&lt;='Paramètres'!$E$6,"À renouveler","À jour")),"À compléter"))</x:f>
      </x:c>
      <x:c r="P437" s="12" t="str">
        <x:f>IF(A437="","",IF(AND(ISNUMBER(F437),F437&gt;'Tableau de bord'!$F$5,G437="Oui",H437="Oui",I437="Oui",J437="Oui",K437="Oui"),1,0))</x:f>
      </x:c>
      <x:c r="Q437" s="9"/>
      <x:c r="R437" s="12" t="str">
        <x:f>IF(A437="","",IF(C437="","OTP manquant",IF(COUNTIFS($A$6:$A$505,A437,$C$6:$C$505,C437)&gt;1,"Doublon OTP","")))</x:f>
      </x:c>
    </x:row>
    <x:row r="438" ht="23" customHeight="1">
      <x:c r="A438" s="9"/>
      <x:c r="B438" s="9"/>
      <x:c r="C438" s="9"/>
      <x:c r="D438" s="9"/>
      <x:c r="E438" s="9"/>
      <x:c r="F438" s="11"/>
      <x:c r="G438" s="9"/>
      <x:c r="H438" s="9"/>
      <x:c r="I438" s="9"/>
      <x:c r="J438" s="9"/>
      <x:c r="K438" s="9"/>
      <x:c r="L438" s="9"/>
      <x:c r="M438" s="9"/>
      <x:c r="N438" s="12" t="str">
        <x:f>IF(A438="","",IF(ISNUMBER(F438),F438-'Tableau de bord'!$F$5,""))</x:f>
      </x:c>
      <x:c r="O438" s="12" t="str">
        <x:f>IF(A438="","",IF(ISNUMBER(F438),IF(N438&lt;0,"Expiré",IF(N438&lt;='Paramètres'!$E$6,"À renouveler","À jour")),"À compléter"))</x:f>
      </x:c>
      <x:c r="P438" s="12" t="str">
        <x:f>IF(A438="","",IF(AND(ISNUMBER(F438),F438&gt;'Tableau de bord'!$F$5,G438="Oui",H438="Oui",I438="Oui",J438="Oui",K438="Oui"),1,0))</x:f>
      </x:c>
      <x:c r="Q438" s="9"/>
      <x:c r="R438" s="12" t="str">
        <x:f>IF(A438="","",IF(C438="","OTP manquant",IF(COUNTIFS($A$6:$A$505,A438,$C$6:$C$505,C438)&gt;1,"Doublon OTP","")))</x:f>
      </x:c>
    </x:row>
    <x:row r="439" ht="23" customHeight="1">
      <x:c r="A439" s="9"/>
      <x:c r="B439" s="9"/>
      <x:c r="C439" s="9"/>
      <x:c r="D439" s="9"/>
      <x:c r="E439" s="9"/>
      <x:c r="F439" s="11"/>
      <x:c r="G439" s="9"/>
      <x:c r="H439" s="9"/>
      <x:c r="I439" s="9"/>
      <x:c r="J439" s="9"/>
      <x:c r="K439" s="9"/>
      <x:c r="L439" s="9"/>
      <x:c r="M439" s="9"/>
      <x:c r="N439" s="12" t="str">
        <x:f>IF(A439="","",IF(ISNUMBER(F439),F439-'Tableau de bord'!$F$5,""))</x:f>
      </x:c>
      <x:c r="O439" s="12" t="str">
        <x:f>IF(A439="","",IF(ISNUMBER(F439),IF(N439&lt;0,"Expiré",IF(N439&lt;='Paramètres'!$E$6,"À renouveler","À jour")),"À compléter"))</x:f>
      </x:c>
      <x:c r="P439" s="12" t="str">
        <x:f>IF(A439="","",IF(AND(ISNUMBER(F439),F439&gt;'Tableau de bord'!$F$5,G439="Oui",H439="Oui",I439="Oui",J439="Oui",K439="Oui"),1,0))</x:f>
      </x:c>
      <x:c r="Q439" s="9"/>
      <x:c r="R439" s="12" t="str">
        <x:f>IF(A439="","",IF(C439="","OTP manquant",IF(COUNTIFS($A$6:$A$505,A439,$C$6:$C$505,C439)&gt;1,"Doublon OTP","")))</x:f>
      </x:c>
    </x:row>
    <x:row r="440" ht="23" customHeight="1">
      <x:c r="A440" s="9"/>
      <x:c r="B440" s="9"/>
      <x:c r="C440" s="9"/>
      <x:c r="D440" s="9"/>
      <x:c r="E440" s="9"/>
      <x:c r="F440" s="11"/>
      <x:c r="G440" s="9"/>
      <x:c r="H440" s="9"/>
      <x:c r="I440" s="9"/>
      <x:c r="J440" s="9"/>
      <x:c r="K440" s="9"/>
      <x:c r="L440" s="9"/>
      <x:c r="M440" s="9"/>
      <x:c r="N440" s="12" t="str">
        <x:f>IF(A440="","",IF(ISNUMBER(F440),F440-'Tableau de bord'!$F$5,""))</x:f>
      </x:c>
      <x:c r="O440" s="12" t="str">
        <x:f>IF(A440="","",IF(ISNUMBER(F440),IF(N440&lt;0,"Expiré",IF(N440&lt;='Paramètres'!$E$6,"À renouveler","À jour")),"À compléter"))</x:f>
      </x:c>
      <x:c r="P440" s="12" t="str">
        <x:f>IF(A440="","",IF(AND(ISNUMBER(F440),F440&gt;'Tableau de bord'!$F$5,G440="Oui",H440="Oui",I440="Oui",J440="Oui",K440="Oui"),1,0))</x:f>
      </x:c>
      <x:c r="Q440" s="9"/>
      <x:c r="R440" s="12" t="str">
        <x:f>IF(A440="","",IF(C440="","OTP manquant",IF(COUNTIFS($A$6:$A$505,A440,$C$6:$C$505,C440)&gt;1,"Doublon OTP","")))</x:f>
      </x:c>
    </x:row>
    <x:row r="441" ht="23" customHeight="1">
      <x:c r="A441" s="9"/>
      <x:c r="B441" s="9"/>
      <x:c r="C441" s="9"/>
      <x:c r="D441" s="9"/>
      <x:c r="E441" s="9"/>
      <x:c r="F441" s="11"/>
      <x:c r="G441" s="9"/>
      <x:c r="H441" s="9"/>
      <x:c r="I441" s="9"/>
      <x:c r="J441" s="9"/>
      <x:c r="K441" s="9"/>
      <x:c r="L441" s="9"/>
      <x:c r="M441" s="9"/>
      <x:c r="N441" s="12" t="str">
        <x:f>IF(A441="","",IF(ISNUMBER(F441),F441-'Tableau de bord'!$F$5,""))</x:f>
      </x:c>
      <x:c r="O441" s="12" t="str">
        <x:f>IF(A441="","",IF(ISNUMBER(F441),IF(N441&lt;0,"Expiré",IF(N441&lt;='Paramètres'!$E$6,"À renouveler","À jour")),"À compléter"))</x:f>
      </x:c>
      <x:c r="P441" s="12" t="str">
        <x:f>IF(A441="","",IF(AND(ISNUMBER(F441),F441&gt;'Tableau de bord'!$F$5,G441="Oui",H441="Oui",I441="Oui",J441="Oui",K441="Oui"),1,0))</x:f>
      </x:c>
      <x:c r="Q441" s="9"/>
      <x:c r="R441" s="12" t="str">
        <x:f>IF(A441="","",IF(C441="","OTP manquant",IF(COUNTIFS($A$6:$A$505,A441,$C$6:$C$505,C441)&gt;1,"Doublon OTP","")))</x:f>
      </x:c>
    </x:row>
    <x:row r="442" ht="23" customHeight="1">
      <x:c r="A442" s="9"/>
      <x:c r="B442" s="9"/>
      <x:c r="C442" s="9"/>
      <x:c r="D442" s="9"/>
      <x:c r="E442" s="9"/>
      <x:c r="F442" s="11"/>
      <x:c r="G442" s="9"/>
      <x:c r="H442" s="9"/>
      <x:c r="I442" s="9"/>
      <x:c r="J442" s="9"/>
      <x:c r="K442" s="9"/>
      <x:c r="L442" s="9"/>
      <x:c r="M442" s="9"/>
      <x:c r="N442" s="12" t="str">
        <x:f>IF(A442="","",IF(ISNUMBER(F442),F442-'Tableau de bord'!$F$5,""))</x:f>
      </x:c>
      <x:c r="O442" s="12" t="str">
        <x:f>IF(A442="","",IF(ISNUMBER(F442),IF(N442&lt;0,"Expiré",IF(N442&lt;='Paramètres'!$E$6,"À renouveler","À jour")),"À compléter"))</x:f>
      </x:c>
      <x:c r="P442" s="12" t="str">
        <x:f>IF(A442="","",IF(AND(ISNUMBER(F442),F442&gt;'Tableau de bord'!$F$5,G442="Oui",H442="Oui",I442="Oui",J442="Oui",K442="Oui"),1,0))</x:f>
      </x:c>
      <x:c r="Q442" s="9"/>
      <x:c r="R442" s="12" t="str">
        <x:f>IF(A442="","",IF(C442="","OTP manquant",IF(COUNTIFS($A$6:$A$505,A442,$C$6:$C$505,C442)&gt;1,"Doublon OTP","")))</x:f>
      </x:c>
    </x:row>
    <x:row r="443" ht="23" customHeight="1">
      <x:c r="A443" s="9"/>
      <x:c r="B443" s="9"/>
      <x:c r="C443" s="9"/>
      <x:c r="D443" s="9"/>
      <x:c r="E443" s="9"/>
      <x:c r="F443" s="11"/>
      <x:c r="G443" s="9"/>
      <x:c r="H443" s="9"/>
      <x:c r="I443" s="9"/>
      <x:c r="J443" s="9"/>
      <x:c r="K443" s="9"/>
      <x:c r="L443" s="9"/>
      <x:c r="M443" s="9"/>
      <x:c r="N443" s="12" t="str">
        <x:f>IF(A443="","",IF(ISNUMBER(F443),F443-'Tableau de bord'!$F$5,""))</x:f>
      </x:c>
      <x:c r="O443" s="12" t="str">
        <x:f>IF(A443="","",IF(ISNUMBER(F443),IF(N443&lt;0,"Expiré",IF(N443&lt;='Paramètres'!$E$6,"À renouveler","À jour")),"À compléter"))</x:f>
      </x:c>
      <x:c r="P443" s="12" t="str">
        <x:f>IF(A443="","",IF(AND(ISNUMBER(F443),F443&gt;'Tableau de bord'!$F$5,G443="Oui",H443="Oui",I443="Oui",J443="Oui",K443="Oui"),1,0))</x:f>
      </x:c>
      <x:c r="Q443" s="9"/>
      <x:c r="R443" s="12" t="str">
        <x:f>IF(A443="","",IF(C443="","OTP manquant",IF(COUNTIFS($A$6:$A$505,A443,$C$6:$C$505,C443)&gt;1,"Doublon OTP","")))</x:f>
      </x:c>
    </x:row>
    <x:row r="444" ht="23" customHeight="1">
      <x:c r="A444" s="9"/>
      <x:c r="B444" s="9"/>
      <x:c r="C444" s="9"/>
      <x:c r="D444" s="9"/>
      <x:c r="E444" s="9"/>
      <x:c r="F444" s="11"/>
      <x:c r="G444" s="9"/>
      <x:c r="H444" s="9"/>
      <x:c r="I444" s="9"/>
      <x:c r="J444" s="9"/>
      <x:c r="K444" s="9"/>
      <x:c r="L444" s="9"/>
      <x:c r="M444" s="9"/>
      <x:c r="N444" s="12" t="str">
        <x:f>IF(A444="","",IF(ISNUMBER(F444),F444-'Tableau de bord'!$F$5,""))</x:f>
      </x:c>
      <x:c r="O444" s="12" t="str">
        <x:f>IF(A444="","",IF(ISNUMBER(F444),IF(N444&lt;0,"Expiré",IF(N444&lt;='Paramètres'!$E$6,"À renouveler","À jour")),"À compléter"))</x:f>
      </x:c>
      <x:c r="P444" s="12" t="str">
        <x:f>IF(A444="","",IF(AND(ISNUMBER(F444),F444&gt;'Tableau de bord'!$F$5,G444="Oui",H444="Oui",I444="Oui",J444="Oui",K444="Oui"),1,0))</x:f>
      </x:c>
      <x:c r="Q444" s="9"/>
      <x:c r="R444" s="12" t="str">
        <x:f>IF(A444="","",IF(C444="","OTP manquant",IF(COUNTIFS($A$6:$A$505,A444,$C$6:$C$505,C444)&gt;1,"Doublon OTP","")))</x:f>
      </x:c>
    </x:row>
    <x:row r="445" ht="23" customHeight="1">
      <x:c r="A445" s="9"/>
      <x:c r="B445" s="9"/>
      <x:c r="C445" s="9"/>
      <x:c r="D445" s="9"/>
      <x:c r="E445" s="9"/>
      <x:c r="F445" s="11"/>
      <x:c r="G445" s="9"/>
      <x:c r="H445" s="9"/>
      <x:c r="I445" s="9"/>
      <x:c r="J445" s="9"/>
      <x:c r="K445" s="9"/>
      <x:c r="L445" s="9"/>
      <x:c r="M445" s="9"/>
      <x:c r="N445" s="12" t="str">
        <x:f>IF(A445="","",IF(ISNUMBER(F445),F445-'Tableau de bord'!$F$5,""))</x:f>
      </x:c>
      <x:c r="O445" s="12" t="str">
        <x:f>IF(A445="","",IF(ISNUMBER(F445),IF(N445&lt;0,"Expiré",IF(N445&lt;='Paramètres'!$E$6,"À renouveler","À jour")),"À compléter"))</x:f>
      </x:c>
      <x:c r="P445" s="12" t="str">
        <x:f>IF(A445="","",IF(AND(ISNUMBER(F445),F445&gt;'Tableau de bord'!$F$5,G445="Oui",H445="Oui",I445="Oui",J445="Oui",K445="Oui"),1,0))</x:f>
      </x:c>
      <x:c r="Q445" s="9"/>
      <x:c r="R445" s="12" t="str">
        <x:f>IF(A445="","",IF(C445="","OTP manquant",IF(COUNTIFS($A$6:$A$505,A445,$C$6:$C$505,C445)&gt;1,"Doublon OTP","")))</x:f>
      </x:c>
    </x:row>
    <x:row r="446" ht="23" customHeight="1">
      <x:c r="A446" s="9"/>
      <x:c r="B446" s="9"/>
      <x:c r="C446" s="9"/>
      <x:c r="D446" s="9"/>
      <x:c r="E446" s="9"/>
      <x:c r="F446" s="11"/>
      <x:c r="G446" s="9"/>
      <x:c r="H446" s="9"/>
      <x:c r="I446" s="9"/>
      <x:c r="J446" s="9"/>
      <x:c r="K446" s="9"/>
      <x:c r="L446" s="9"/>
      <x:c r="M446" s="9"/>
      <x:c r="N446" s="12" t="str">
        <x:f>IF(A446="","",IF(ISNUMBER(F446),F446-'Tableau de bord'!$F$5,""))</x:f>
      </x:c>
      <x:c r="O446" s="12" t="str">
        <x:f>IF(A446="","",IF(ISNUMBER(F446),IF(N446&lt;0,"Expiré",IF(N446&lt;='Paramètres'!$E$6,"À renouveler","À jour")),"À compléter"))</x:f>
      </x:c>
      <x:c r="P446" s="12" t="str">
        <x:f>IF(A446="","",IF(AND(ISNUMBER(F446),F446&gt;'Tableau de bord'!$F$5,G446="Oui",H446="Oui",I446="Oui",J446="Oui",K446="Oui"),1,0))</x:f>
      </x:c>
      <x:c r="Q446" s="9"/>
      <x:c r="R446" s="12" t="str">
        <x:f>IF(A446="","",IF(C446="","OTP manquant",IF(COUNTIFS($A$6:$A$505,A446,$C$6:$C$505,C446)&gt;1,"Doublon OTP","")))</x:f>
      </x:c>
    </x:row>
    <x:row r="447" ht="23" customHeight="1">
      <x:c r="A447" s="9"/>
      <x:c r="B447" s="9"/>
      <x:c r="C447" s="9"/>
      <x:c r="D447" s="9"/>
      <x:c r="E447" s="9"/>
      <x:c r="F447" s="11"/>
      <x:c r="G447" s="9"/>
      <x:c r="H447" s="9"/>
      <x:c r="I447" s="9"/>
      <x:c r="J447" s="9"/>
      <x:c r="K447" s="9"/>
      <x:c r="L447" s="9"/>
      <x:c r="M447" s="9"/>
      <x:c r="N447" s="12" t="str">
        <x:f>IF(A447="","",IF(ISNUMBER(F447),F447-'Tableau de bord'!$F$5,""))</x:f>
      </x:c>
      <x:c r="O447" s="12" t="str">
        <x:f>IF(A447="","",IF(ISNUMBER(F447),IF(N447&lt;0,"Expiré",IF(N447&lt;='Paramètres'!$E$6,"À renouveler","À jour")),"À compléter"))</x:f>
      </x:c>
      <x:c r="P447" s="12" t="str">
        <x:f>IF(A447="","",IF(AND(ISNUMBER(F447),F447&gt;'Tableau de bord'!$F$5,G447="Oui",H447="Oui",I447="Oui",J447="Oui",K447="Oui"),1,0))</x:f>
      </x:c>
      <x:c r="Q447" s="9"/>
      <x:c r="R447" s="12" t="str">
        <x:f>IF(A447="","",IF(C447="","OTP manquant",IF(COUNTIFS($A$6:$A$505,A447,$C$6:$C$505,C447)&gt;1,"Doublon OTP","")))</x:f>
      </x:c>
    </x:row>
    <x:row r="448" ht="23" customHeight="1">
      <x:c r="A448" s="9"/>
      <x:c r="B448" s="9"/>
      <x:c r="C448" s="9"/>
      <x:c r="D448" s="9"/>
      <x:c r="E448" s="9"/>
      <x:c r="F448" s="11"/>
      <x:c r="G448" s="9"/>
      <x:c r="H448" s="9"/>
      <x:c r="I448" s="9"/>
      <x:c r="J448" s="9"/>
      <x:c r="K448" s="9"/>
      <x:c r="L448" s="9"/>
      <x:c r="M448" s="9"/>
      <x:c r="N448" s="12" t="str">
        <x:f>IF(A448="","",IF(ISNUMBER(F448),F448-'Tableau de bord'!$F$5,""))</x:f>
      </x:c>
      <x:c r="O448" s="12" t="str">
        <x:f>IF(A448="","",IF(ISNUMBER(F448),IF(N448&lt;0,"Expiré",IF(N448&lt;='Paramètres'!$E$6,"À renouveler","À jour")),"À compléter"))</x:f>
      </x:c>
      <x:c r="P448" s="12" t="str">
        <x:f>IF(A448="","",IF(AND(ISNUMBER(F448),F448&gt;'Tableau de bord'!$F$5,G448="Oui",H448="Oui",I448="Oui",J448="Oui",K448="Oui"),1,0))</x:f>
      </x:c>
      <x:c r="Q448" s="9"/>
      <x:c r="R448" s="12" t="str">
        <x:f>IF(A448="","",IF(C448="","OTP manquant",IF(COUNTIFS($A$6:$A$505,A448,$C$6:$C$505,C448)&gt;1,"Doublon OTP","")))</x:f>
      </x:c>
    </x:row>
    <x:row r="449" ht="23" customHeight="1">
      <x:c r="A449" s="9"/>
      <x:c r="B449" s="9"/>
      <x:c r="C449" s="9"/>
      <x:c r="D449" s="9"/>
      <x:c r="E449" s="9"/>
      <x:c r="F449" s="11"/>
      <x:c r="G449" s="9"/>
      <x:c r="H449" s="9"/>
      <x:c r="I449" s="9"/>
      <x:c r="J449" s="9"/>
      <x:c r="K449" s="9"/>
      <x:c r="L449" s="9"/>
      <x:c r="M449" s="9"/>
      <x:c r="N449" s="12" t="str">
        <x:f>IF(A449="","",IF(ISNUMBER(F449),F449-'Tableau de bord'!$F$5,""))</x:f>
      </x:c>
      <x:c r="O449" s="12" t="str">
        <x:f>IF(A449="","",IF(ISNUMBER(F449),IF(N449&lt;0,"Expiré",IF(N449&lt;='Paramètres'!$E$6,"À renouveler","À jour")),"À compléter"))</x:f>
      </x:c>
      <x:c r="P449" s="12" t="str">
        <x:f>IF(A449="","",IF(AND(ISNUMBER(F449),F449&gt;'Tableau de bord'!$F$5,G449="Oui",H449="Oui",I449="Oui",J449="Oui",K449="Oui"),1,0))</x:f>
      </x:c>
      <x:c r="Q449" s="9"/>
      <x:c r="R449" s="12" t="str">
        <x:f>IF(A449="","",IF(C449="","OTP manquant",IF(COUNTIFS($A$6:$A$505,A449,$C$6:$C$505,C449)&gt;1,"Doublon OTP","")))</x:f>
      </x:c>
    </x:row>
    <x:row r="450" ht="23" customHeight="1">
      <x:c r="A450" s="9"/>
      <x:c r="B450" s="9"/>
      <x:c r="C450" s="9"/>
      <x:c r="D450" s="9"/>
      <x:c r="E450" s="9"/>
      <x:c r="F450" s="11"/>
      <x:c r="G450" s="9"/>
      <x:c r="H450" s="9"/>
      <x:c r="I450" s="9"/>
      <x:c r="J450" s="9"/>
      <x:c r="K450" s="9"/>
      <x:c r="L450" s="9"/>
      <x:c r="M450" s="9"/>
      <x:c r="N450" s="12" t="str">
        <x:f>IF(A450="","",IF(ISNUMBER(F450),F450-'Tableau de bord'!$F$5,""))</x:f>
      </x:c>
      <x:c r="O450" s="12" t="str">
        <x:f>IF(A450="","",IF(ISNUMBER(F450),IF(N450&lt;0,"Expiré",IF(N450&lt;='Paramètres'!$E$6,"À renouveler","À jour")),"À compléter"))</x:f>
      </x:c>
      <x:c r="P450" s="12" t="str">
        <x:f>IF(A450="","",IF(AND(ISNUMBER(F450),F450&gt;'Tableau de bord'!$F$5,G450="Oui",H450="Oui",I450="Oui",J450="Oui",K450="Oui"),1,0))</x:f>
      </x:c>
      <x:c r="Q450" s="9"/>
      <x:c r="R450" s="12" t="str">
        <x:f>IF(A450="","",IF(C450="","OTP manquant",IF(COUNTIFS($A$6:$A$505,A450,$C$6:$C$505,C450)&gt;1,"Doublon OTP","")))</x:f>
      </x:c>
    </x:row>
    <x:row r="451" ht="23" customHeight="1">
      <x:c r="A451" s="9"/>
      <x:c r="B451" s="9"/>
      <x:c r="C451" s="9"/>
      <x:c r="D451" s="9"/>
      <x:c r="E451" s="9"/>
      <x:c r="F451" s="11"/>
      <x:c r="G451" s="9"/>
      <x:c r="H451" s="9"/>
      <x:c r="I451" s="9"/>
      <x:c r="J451" s="9"/>
      <x:c r="K451" s="9"/>
      <x:c r="L451" s="9"/>
      <x:c r="M451" s="9"/>
      <x:c r="N451" s="12" t="str">
        <x:f>IF(A451="","",IF(ISNUMBER(F451),F451-'Tableau de bord'!$F$5,""))</x:f>
      </x:c>
      <x:c r="O451" s="12" t="str">
        <x:f>IF(A451="","",IF(ISNUMBER(F451),IF(N451&lt;0,"Expiré",IF(N451&lt;='Paramètres'!$E$6,"À renouveler","À jour")),"À compléter"))</x:f>
      </x:c>
      <x:c r="P451" s="12" t="str">
        <x:f>IF(A451="","",IF(AND(ISNUMBER(F451),F451&gt;'Tableau de bord'!$F$5,G451="Oui",H451="Oui",I451="Oui",J451="Oui",K451="Oui"),1,0))</x:f>
      </x:c>
      <x:c r="Q451" s="9"/>
      <x:c r="R451" s="12" t="str">
        <x:f>IF(A451="","",IF(C451="","OTP manquant",IF(COUNTIFS($A$6:$A$505,A451,$C$6:$C$505,C451)&gt;1,"Doublon OTP","")))</x:f>
      </x:c>
    </x:row>
    <x:row r="452" ht="23" customHeight="1">
      <x:c r="A452" s="9"/>
      <x:c r="B452" s="9"/>
      <x:c r="C452" s="9"/>
      <x:c r="D452" s="9"/>
      <x:c r="E452" s="9"/>
      <x:c r="F452" s="11"/>
      <x:c r="G452" s="9"/>
      <x:c r="H452" s="9"/>
      <x:c r="I452" s="9"/>
      <x:c r="J452" s="9"/>
      <x:c r="K452" s="9"/>
      <x:c r="L452" s="9"/>
      <x:c r="M452" s="9"/>
      <x:c r="N452" s="12" t="str">
        <x:f>IF(A452="","",IF(ISNUMBER(F452),F452-'Tableau de bord'!$F$5,""))</x:f>
      </x:c>
      <x:c r="O452" s="12" t="str">
        <x:f>IF(A452="","",IF(ISNUMBER(F452),IF(N452&lt;0,"Expiré",IF(N452&lt;='Paramètres'!$E$6,"À renouveler","À jour")),"À compléter"))</x:f>
      </x:c>
      <x:c r="P452" s="12" t="str">
        <x:f>IF(A452="","",IF(AND(ISNUMBER(F452),F452&gt;'Tableau de bord'!$F$5,G452="Oui",H452="Oui",I452="Oui",J452="Oui",K452="Oui"),1,0))</x:f>
      </x:c>
      <x:c r="Q452" s="9"/>
      <x:c r="R452" s="12" t="str">
        <x:f>IF(A452="","",IF(C452="","OTP manquant",IF(COUNTIFS($A$6:$A$505,A452,$C$6:$C$505,C452)&gt;1,"Doublon OTP","")))</x:f>
      </x:c>
    </x:row>
    <x:row r="453" ht="23" customHeight="1">
      <x:c r="A453" s="9"/>
      <x:c r="B453" s="9"/>
      <x:c r="C453" s="9"/>
      <x:c r="D453" s="9"/>
      <x:c r="E453" s="9"/>
      <x:c r="F453" s="11"/>
      <x:c r="G453" s="9"/>
      <x:c r="H453" s="9"/>
      <x:c r="I453" s="9"/>
      <x:c r="J453" s="9"/>
      <x:c r="K453" s="9"/>
      <x:c r="L453" s="9"/>
      <x:c r="M453" s="9"/>
      <x:c r="N453" s="12" t="str">
        <x:f>IF(A453="","",IF(ISNUMBER(F453),F453-'Tableau de bord'!$F$5,""))</x:f>
      </x:c>
      <x:c r="O453" s="12" t="str">
        <x:f>IF(A453="","",IF(ISNUMBER(F453),IF(N453&lt;0,"Expiré",IF(N453&lt;='Paramètres'!$E$6,"À renouveler","À jour")),"À compléter"))</x:f>
      </x:c>
      <x:c r="P453" s="12" t="str">
        <x:f>IF(A453="","",IF(AND(ISNUMBER(F453),F453&gt;'Tableau de bord'!$F$5,G453="Oui",H453="Oui",I453="Oui",J453="Oui",K453="Oui"),1,0))</x:f>
      </x:c>
      <x:c r="Q453" s="9"/>
      <x:c r="R453" s="12" t="str">
        <x:f>IF(A453="","",IF(C453="","OTP manquant",IF(COUNTIFS($A$6:$A$505,A453,$C$6:$C$505,C453)&gt;1,"Doublon OTP","")))</x:f>
      </x:c>
    </x:row>
    <x:row r="454" ht="23" customHeight="1">
      <x:c r="A454" s="9"/>
      <x:c r="B454" s="9"/>
      <x:c r="C454" s="9"/>
      <x:c r="D454" s="9"/>
      <x:c r="E454" s="9"/>
      <x:c r="F454" s="11"/>
      <x:c r="G454" s="9"/>
      <x:c r="H454" s="9"/>
      <x:c r="I454" s="9"/>
      <x:c r="J454" s="9"/>
      <x:c r="K454" s="9"/>
      <x:c r="L454" s="9"/>
      <x:c r="M454" s="9"/>
      <x:c r="N454" s="12" t="str">
        <x:f>IF(A454="","",IF(ISNUMBER(F454),F454-'Tableau de bord'!$F$5,""))</x:f>
      </x:c>
      <x:c r="O454" s="12" t="str">
        <x:f>IF(A454="","",IF(ISNUMBER(F454),IF(N454&lt;0,"Expiré",IF(N454&lt;='Paramètres'!$E$6,"À renouveler","À jour")),"À compléter"))</x:f>
      </x:c>
      <x:c r="P454" s="12" t="str">
        <x:f>IF(A454="","",IF(AND(ISNUMBER(F454),F454&gt;'Tableau de bord'!$F$5,G454="Oui",H454="Oui",I454="Oui",J454="Oui",K454="Oui"),1,0))</x:f>
      </x:c>
      <x:c r="Q454" s="9"/>
      <x:c r="R454" s="12" t="str">
        <x:f>IF(A454="","",IF(C454="","OTP manquant",IF(COUNTIFS($A$6:$A$505,A454,$C$6:$C$505,C454)&gt;1,"Doublon OTP","")))</x:f>
      </x:c>
    </x:row>
    <x:row r="455" ht="23" customHeight="1">
      <x:c r="A455" s="9"/>
      <x:c r="B455" s="9"/>
      <x:c r="C455" s="9"/>
      <x:c r="D455" s="9"/>
      <x:c r="E455" s="9"/>
      <x:c r="F455" s="11"/>
      <x:c r="G455" s="9"/>
      <x:c r="H455" s="9"/>
      <x:c r="I455" s="9"/>
      <x:c r="J455" s="9"/>
      <x:c r="K455" s="9"/>
      <x:c r="L455" s="9"/>
      <x:c r="M455" s="9"/>
      <x:c r="N455" s="12" t="str">
        <x:f>IF(A455="","",IF(ISNUMBER(F455),F455-'Tableau de bord'!$F$5,""))</x:f>
      </x:c>
      <x:c r="O455" s="12" t="str">
        <x:f>IF(A455="","",IF(ISNUMBER(F455),IF(N455&lt;0,"Expiré",IF(N455&lt;='Paramètres'!$E$6,"À renouveler","À jour")),"À compléter"))</x:f>
      </x:c>
      <x:c r="P455" s="12" t="str">
        <x:f>IF(A455="","",IF(AND(ISNUMBER(F455),F455&gt;'Tableau de bord'!$F$5,G455="Oui",H455="Oui",I455="Oui",J455="Oui",K455="Oui"),1,0))</x:f>
      </x:c>
      <x:c r="Q455" s="9"/>
      <x:c r="R455" s="12" t="str">
        <x:f>IF(A455="","",IF(C455="","OTP manquant",IF(COUNTIFS($A$6:$A$505,A455,$C$6:$C$505,C455)&gt;1,"Doublon OTP","")))</x:f>
      </x:c>
    </x:row>
    <x:row r="456" ht="23" customHeight="1">
      <x:c r="A456" s="9"/>
      <x:c r="B456" s="9"/>
      <x:c r="C456" s="9"/>
      <x:c r="D456" s="9"/>
      <x:c r="E456" s="9"/>
      <x:c r="F456" s="11"/>
      <x:c r="G456" s="9"/>
      <x:c r="H456" s="9"/>
      <x:c r="I456" s="9"/>
      <x:c r="J456" s="9"/>
      <x:c r="K456" s="9"/>
      <x:c r="L456" s="9"/>
      <x:c r="M456" s="9"/>
      <x:c r="N456" s="12" t="str">
        <x:f>IF(A456="","",IF(ISNUMBER(F456),F456-'Tableau de bord'!$F$5,""))</x:f>
      </x:c>
      <x:c r="O456" s="12" t="str">
        <x:f>IF(A456="","",IF(ISNUMBER(F456),IF(N456&lt;0,"Expiré",IF(N456&lt;='Paramètres'!$E$6,"À renouveler","À jour")),"À compléter"))</x:f>
      </x:c>
      <x:c r="P456" s="12" t="str">
        <x:f>IF(A456="","",IF(AND(ISNUMBER(F456),F456&gt;'Tableau de bord'!$F$5,G456="Oui",H456="Oui",I456="Oui",J456="Oui",K456="Oui"),1,0))</x:f>
      </x:c>
      <x:c r="Q456" s="9"/>
      <x:c r="R456" s="12" t="str">
        <x:f>IF(A456="","",IF(C456="","OTP manquant",IF(COUNTIFS($A$6:$A$505,A456,$C$6:$C$505,C456)&gt;1,"Doublon OTP","")))</x:f>
      </x:c>
    </x:row>
    <x:row r="457" ht="23" customHeight="1">
      <x:c r="A457" s="9"/>
      <x:c r="B457" s="9"/>
      <x:c r="C457" s="9"/>
      <x:c r="D457" s="9"/>
      <x:c r="E457" s="9"/>
      <x:c r="F457" s="11"/>
      <x:c r="G457" s="9"/>
      <x:c r="H457" s="9"/>
      <x:c r="I457" s="9"/>
      <x:c r="J457" s="9"/>
      <x:c r="K457" s="9"/>
      <x:c r="L457" s="9"/>
      <x:c r="M457" s="9"/>
      <x:c r="N457" s="12" t="str">
        <x:f>IF(A457="","",IF(ISNUMBER(F457),F457-'Tableau de bord'!$F$5,""))</x:f>
      </x:c>
      <x:c r="O457" s="12" t="str">
        <x:f>IF(A457="","",IF(ISNUMBER(F457),IF(N457&lt;0,"Expiré",IF(N457&lt;='Paramètres'!$E$6,"À renouveler","À jour")),"À compléter"))</x:f>
      </x:c>
      <x:c r="P457" s="12" t="str">
        <x:f>IF(A457="","",IF(AND(ISNUMBER(F457),F457&gt;'Tableau de bord'!$F$5,G457="Oui",H457="Oui",I457="Oui",J457="Oui",K457="Oui"),1,0))</x:f>
      </x:c>
      <x:c r="Q457" s="9"/>
      <x:c r="R457" s="12" t="str">
        <x:f>IF(A457="","",IF(C457="","OTP manquant",IF(COUNTIFS($A$6:$A$505,A457,$C$6:$C$505,C457)&gt;1,"Doublon OTP","")))</x:f>
      </x:c>
    </x:row>
    <x:row r="458" ht="23" customHeight="1">
      <x:c r="A458" s="9"/>
      <x:c r="B458" s="9"/>
      <x:c r="C458" s="9"/>
      <x:c r="D458" s="9"/>
      <x:c r="E458" s="9"/>
      <x:c r="F458" s="11"/>
      <x:c r="G458" s="9"/>
      <x:c r="H458" s="9"/>
      <x:c r="I458" s="9"/>
      <x:c r="J458" s="9"/>
      <x:c r="K458" s="9"/>
      <x:c r="L458" s="9"/>
      <x:c r="M458" s="9"/>
      <x:c r="N458" s="12" t="str">
        <x:f>IF(A458="","",IF(ISNUMBER(F458),F458-'Tableau de bord'!$F$5,""))</x:f>
      </x:c>
      <x:c r="O458" s="12" t="str">
        <x:f>IF(A458="","",IF(ISNUMBER(F458),IF(N458&lt;0,"Expiré",IF(N458&lt;='Paramètres'!$E$6,"À renouveler","À jour")),"À compléter"))</x:f>
      </x:c>
      <x:c r="P458" s="12" t="str">
        <x:f>IF(A458="","",IF(AND(ISNUMBER(F458),F458&gt;'Tableau de bord'!$F$5,G458="Oui",H458="Oui",I458="Oui",J458="Oui",K458="Oui"),1,0))</x:f>
      </x:c>
      <x:c r="Q458" s="9"/>
      <x:c r="R458" s="12" t="str">
        <x:f>IF(A458="","",IF(C458="","OTP manquant",IF(COUNTIFS($A$6:$A$505,A458,$C$6:$C$505,C458)&gt;1,"Doublon OTP","")))</x:f>
      </x:c>
    </x:row>
    <x:row r="459" ht="23" customHeight="1">
      <x:c r="A459" s="9"/>
      <x:c r="B459" s="9"/>
      <x:c r="C459" s="9"/>
      <x:c r="D459" s="9"/>
      <x:c r="E459" s="9"/>
      <x:c r="F459" s="11"/>
      <x:c r="G459" s="9"/>
      <x:c r="H459" s="9"/>
      <x:c r="I459" s="9"/>
      <x:c r="J459" s="9"/>
      <x:c r="K459" s="9"/>
      <x:c r="L459" s="9"/>
      <x:c r="M459" s="9"/>
      <x:c r="N459" s="12" t="str">
        <x:f>IF(A459="","",IF(ISNUMBER(F459),F459-'Tableau de bord'!$F$5,""))</x:f>
      </x:c>
      <x:c r="O459" s="12" t="str">
        <x:f>IF(A459="","",IF(ISNUMBER(F459),IF(N459&lt;0,"Expiré",IF(N459&lt;='Paramètres'!$E$6,"À renouveler","À jour")),"À compléter"))</x:f>
      </x:c>
      <x:c r="P459" s="12" t="str">
        <x:f>IF(A459="","",IF(AND(ISNUMBER(F459),F459&gt;'Tableau de bord'!$F$5,G459="Oui",H459="Oui",I459="Oui",J459="Oui",K459="Oui"),1,0))</x:f>
      </x:c>
      <x:c r="Q459" s="9"/>
      <x:c r="R459" s="12" t="str">
        <x:f>IF(A459="","",IF(C459="","OTP manquant",IF(COUNTIFS($A$6:$A$505,A459,$C$6:$C$505,C459)&gt;1,"Doublon OTP","")))</x:f>
      </x:c>
    </x:row>
    <x:row r="460" ht="23" customHeight="1">
      <x:c r="A460" s="9"/>
      <x:c r="B460" s="9"/>
      <x:c r="C460" s="9"/>
      <x:c r="D460" s="9"/>
      <x:c r="E460" s="9"/>
      <x:c r="F460" s="11"/>
      <x:c r="G460" s="9"/>
      <x:c r="H460" s="9"/>
      <x:c r="I460" s="9"/>
      <x:c r="J460" s="9"/>
      <x:c r="K460" s="9"/>
      <x:c r="L460" s="9"/>
      <x:c r="M460" s="9"/>
      <x:c r="N460" s="12" t="str">
        <x:f>IF(A460="","",IF(ISNUMBER(F460),F460-'Tableau de bord'!$F$5,""))</x:f>
      </x:c>
      <x:c r="O460" s="12" t="str">
        <x:f>IF(A460="","",IF(ISNUMBER(F460),IF(N460&lt;0,"Expiré",IF(N460&lt;='Paramètres'!$E$6,"À renouveler","À jour")),"À compléter"))</x:f>
      </x:c>
      <x:c r="P460" s="12" t="str">
        <x:f>IF(A460="","",IF(AND(ISNUMBER(F460),F460&gt;'Tableau de bord'!$F$5,G460="Oui",H460="Oui",I460="Oui",J460="Oui",K460="Oui"),1,0))</x:f>
      </x:c>
      <x:c r="Q460" s="9"/>
      <x:c r="R460" s="12" t="str">
        <x:f>IF(A460="","",IF(C460="","OTP manquant",IF(COUNTIFS($A$6:$A$505,A460,$C$6:$C$505,C460)&gt;1,"Doublon OTP","")))</x:f>
      </x:c>
    </x:row>
    <x:row r="461" ht="23" customHeight="1">
      <x:c r="A461" s="9"/>
      <x:c r="B461" s="9"/>
      <x:c r="C461" s="9"/>
      <x:c r="D461" s="9"/>
      <x:c r="E461" s="9"/>
      <x:c r="F461" s="11"/>
      <x:c r="G461" s="9"/>
      <x:c r="H461" s="9"/>
      <x:c r="I461" s="9"/>
      <x:c r="J461" s="9"/>
      <x:c r="K461" s="9"/>
      <x:c r="L461" s="9"/>
      <x:c r="M461" s="9"/>
      <x:c r="N461" s="12" t="str">
        <x:f>IF(A461="","",IF(ISNUMBER(F461),F461-'Tableau de bord'!$F$5,""))</x:f>
      </x:c>
      <x:c r="O461" s="12" t="str">
        <x:f>IF(A461="","",IF(ISNUMBER(F461),IF(N461&lt;0,"Expiré",IF(N461&lt;='Paramètres'!$E$6,"À renouveler","À jour")),"À compléter"))</x:f>
      </x:c>
      <x:c r="P461" s="12" t="str">
        <x:f>IF(A461="","",IF(AND(ISNUMBER(F461),F461&gt;'Tableau de bord'!$F$5,G461="Oui",H461="Oui",I461="Oui",J461="Oui",K461="Oui"),1,0))</x:f>
      </x:c>
      <x:c r="Q461" s="9"/>
      <x:c r="R461" s="12" t="str">
        <x:f>IF(A461="","",IF(C461="","OTP manquant",IF(COUNTIFS($A$6:$A$505,A461,$C$6:$C$505,C461)&gt;1,"Doublon OTP","")))</x:f>
      </x:c>
    </x:row>
    <x:row r="462" ht="23" customHeight="1">
      <x:c r="A462" s="9"/>
      <x:c r="B462" s="9"/>
      <x:c r="C462" s="9"/>
      <x:c r="D462" s="9"/>
      <x:c r="E462" s="9"/>
      <x:c r="F462" s="11"/>
      <x:c r="G462" s="9"/>
      <x:c r="H462" s="9"/>
      <x:c r="I462" s="9"/>
      <x:c r="J462" s="9"/>
      <x:c r="K462" s="9"/>
      <x:c r="L462" s="9"/>
      <x:c r="M462" s="9"/>
      <x:c r="N462" s="12" t="str">
        <x:f>IF(A462="","",IF(ISNUMBER(F462),F462-'Tableau de bord'!$F$5,""))</x:f>
      </x:c>
      <x:c r="O462" s="12" t="str">
        <x:f>IF(A462="","",IF(ISNUMBER(F462),IF(N462&lt;0,"Expiré",IF(N462&lt;='Paramètres'!$E$6,"À renouveler","À jour")),"À compléter"))</x:f>
      </x:c>
      <x:c r="P462" s="12" t="str">
        <x:f>IF(A462="","",IF(AND(ISNUMBER(F462),F462&gt;'Tableau de bord'!$F$5,G462="Oui",H462="Oui",I462="Oui",J462="Oui",K462="Oui"),1,0))</x:f>
      </x:c>
      <x:c r="Q462" s="9"/>
      <x:c r="R462" s="12" t="str">
        <x:f>IF(A462="","",IF(C462="","OTP manquant",IF(COUNTIFS($A$6:$A$505,A462,$C$6:$C$505,C462)&gt;1,"Doublon OTP","")))</x:f>
      </x:c>
    </x:row>
    <x:row r="463" ht="23" customHeight="1">
      <x:c r="A463" s="9"/>
      <x:c r="B463" s="9"/>
      <x:c r="C463" s="9"/>
      <x:c r="D463" s="9"/>
      <x:c r="E463" s="9"/>
      <x:c r="F463" s="11"/>
      <x:c r="G463" s="9"/>
      <x:c r="H463" s="9"/>
      <x:c r="I463" s="9"/>
      <x:c r="J463" s="9"/>
      <x:c r="K463" s="9"/>
      <x:c r="L463" s="9"/>
      <x:c r="M463" s="9"/>
      <x:c r="N463" s="12" t="str">
        <x:f>IF(A463="","",IF(ISNUMBER(F463),F463-'Tableau de bord'!$F$5,""))</x:f>
      </x:c>
      <x:c r="O463" s="12" t="str">
        <x:f>IF(A463="","",IF(ISNUMBER(F463),IF(N463&lt;0,"Expiré",IF(N463&lt;='Paramètres'!$E$6,"À renouveler","À jour")),"À compléter"))</x:f>
      </x:c>
      <x:c r="P463" s="12" t="str">
        <x:f>IF(A463="","",IF(AND(ISNUMBER(F463),F463&gt;'Tableau de bord'!$F$5,G463="Oui",H463="Oui",I463="Oui",J463="Oui",K463="Oui"),1,0))</x:f>
      </x:c>
      <x:c r="Q463" s="9"/>
      <x:c r="R463" s="12" t="str">
        <x:f>IF(A463="","",IF(C463="","OTP manquant",IF(COUNTIFS($A$6:$A$505,A463,$C$6:$C$505,C463)&gt;1,"Doublon OTP","")))</x:f>
      </x:c>
    </x:row>
    <x:row r="464" ht="23" customHeight="1">
      <x:c r="A464" s="9"/>
      <x:c r="B464" s="9"/>
      <x:c r="C464" s="9"/>
      <x:c r="D464" s="9"/>
      <x:c r="E464" s="9"/>
      <x:c r="F464" s="11"/>
      <x:c r="G464" s="9"/>
      <x:c r="H464" s="9"/>
      <x:c r="I464" s="9"/>
      <x:c r="J464" s="9"/>
      <x:c r="K464" s="9"/>
      <x:c r="L464" s="9"/>
      <x:c r="M464" s="9"/>
      <x:c r="N464" s="12" t="str">
        <x:f>IF(A464="","",IF(ISNUMBER(F464),F464-'Tableau de bord'!$F$5,""))</x:f>
      </x:c>
      <x:c r="O464" s="12" t="str">
        <x:f>IF(A464="","",IF(ISNUMBER(F464),IF(N464&lt;0,"Expiré",IF(N464&lt;='Paramètres'!$E$6,"À renouveler","À jour")),"À compléter"))</x:f>
      </x:c>
      <x:c r="P464" s="12" t="str">
        <x:f>IF(A464="","",IF(AND(ISNUMBER(F464),F464&gt;'Tableau de bord'!$F$5,G464="Oui",H464="Oui",I464="Oui",J464="Oui",K464="Oui"),1,0))</x:f>
      </x:c>
      <x:c r="Q464" s="9"/>
      <x:c r="R464" s="12" t="str">
        <x:f>IF(A464="","",IF(C464="","OTP manquant",IF(COUNTIFS($A$6:$A$505,A464,$C$6:$C$505,C464)&gt;1,"Doublon OTP","")))</x:f>
      </x:c>
    </x:row>
    <x:row r="465" ht="23" customHeight="1">
      <x:c r="A465" s="9"/>
      <x:c r="B465" s="9"/>
      <x:c r="C465" s="9"/>
      <x:c r="D465" s="9"/>
      <x:c r="E465" s="9"/>
      <x:c r="F465" s="11"/>
      <x:c r="G465" s="9"/>
      <x:c r="H465" s="9"/>
      <x:c r="I465" s="9"/>
      <x:c r="J465" s="9"/>
      <x:c r="K465" s="9"/>
      <x:c r="L465" s="9"/>
      <x:c r="M465" s="9"/>
      <x:c r="N465" s="12" t="str">
        <x:f>IF(A465="","",IF(ISNUMBER(F465),F465-'Tableau de bord'!$F$5,""))</x:f>
      </x:c>
      <x:c r="O465" s="12" t="str">
        <x:f>IF(A465="","",IF(ISNUMBER(F465),IF(N465&lt;0,"Expiré",IF(N465&lt;='Paramètres'!$E$6,"À renouveler","À jour")),"À compléter"))</x:f>
      </x:c>
      <x:c r="P465" s="12" t="str">
        <x:f>IF(A465="","",IF(AND(ISNUMBER(F465),F465&gt;'Tableau de bord'!$F$5,G465="Oui",H465="Oui",I465="Oui",J465="Oui",K465="Oui"),1,0))</x:f>
      </x:c>
      <x:c r="Q465" s="9"/>
      <x:c r="R465" s="12" t="str">
        <x:f>IF(A465="","",IF(C465="","OTP manquant",IF(COUNTIFS($A$6:$A$505,A465,$C$6:$C$505,C465)&gt;1,"Doublon OTP","")))</x:f>
      </x:c>
    </x:row>
    <x:row r="466" ht="23" customHeight="1">
      <x:c r="A466" s="9"/>
      <x:c r="B466" s="9"/>
      <x:c r="C466" s="9"/>
      <x:c r="D466" s="9"/>
      <x:c r="E466" s="9"/>
      <x:c r="F466" s="11"/>
      <x:c r="G466" s="9"/>
      <x:c r="H466" s="9"/>
      <x:c r="I466" s="9"/>
      <x:c r="J466" s="9"/>
      <x:c r="K466" s="9"/>
      <x:c r="L466" s="9"/>
      <x:c r="M466" s="9"/>
      <x:c r="N466" s="12" t="str">
        <x:f>IF(A466="","",IF(ISNUMBER(F466),F466-'Tableau de bord'!$F$5,""))</x:f>
      </x:c>
      <x:c r="O466" s="12" t="str">
        <x:f>IF(A466="","",IF(ISNUMBER(F466),IF(N466&lt;0,"Expiré",IF(N466&lt;='Paramètres'!$E$6,"À renouveler","À jour")),"À compléter"))</x:f>
      </x:c>
      <x:c r="P466" s="12" t="str">
        <x:f>IF(A466="","",IF(AND(ISNUMBER(F466),F466&gt;'Tableau de bord'!$F$5,G466="Oui",H466="Oui",I466="Oui",J466="Oui",K466="Oui"),1,0))</x:f>
      </x:c>
      <x:c r="Q466" s="9"/>
      <x:c r="R466" s="12" t="str">
        <x:f>IF(A466="","",IF(C466="","OTP manquant",IF(COUNTIFS($A$6:$A$505,A466,$C$6:$C$505,C466)&gt;1,"Doublon OTP","")))</x:f>
      </x:c>
    </x:row>
    <x:row r="467" ht="23" customHeight="1">
      <x:c r="A467" s="9"/>
      <x:c r="B467" s="9"/>
      <x:c r="C467" s="9"/>
      <x:c r="D467" s="9"/>
      <x:c r="E467" s="9"/>
      <x:c r="F467" s="11"/>
      <x:c r="G467" s="9"/>
      <x:c r="H467" s="9"/>
      <x:c r="I467" s="9"/>
      <x:c r="J467" s="9"/>
      <x:c r="K467" s="9"/>
      <x:c r="L467" s="9"/>
      <x:c r="M467" s="9"/>
      <x:c r="N467" s="12" t="str">
        <x:f>IF(A467="","",IF(ISNUMBER(F467),F467-'Tableau de bord'!$F$5,""))</x:f>
      </x:c>
      <x:c r="O467" s="12" t="str">
        <x:f>IF(A467="","",IF(ISNUMBER(F467),IF(N467&lt;0,"Expiré",IF(N467&lt;='Paramètres'!$E$6,"À renouveler","À jour")),"À compléter"))</x:f>
      </x:c>
      <x:c r="P467" s="12" t="str">
        <x:f>IF(A467="","",IF(AND(ISNUMBER(F467),F467&gt;'Tableau de bord'!$F$5,G467="Oui",H467="Oui",I467="Oui",J467="Oui",K467="Oui"),1,0))</x:f>
      </x:c>
      <x:c r="Q467" s="9"/>
      <x:c r="R467" s="12" t="str">
        <x:f>IF(A467="","",IF(C467="","OTP manquant",IF(COUNTIFS($A$6:$A$505,A467,$C$6:$C$505,C467)&gt;1,"Doublon OTP","")))</x:f>
      </x:c>
    </x:row>
    <x:row r="468" ht="23" customHeight="1">
      <x:c r="A468" s="9"/>
      <x:c r="B468" s="9"/>
      <x:c r="C468" s="9"/>
      <x:c r="D468" s="9"/>
      <x:c r="E468" s="9"/>
      <x:c r="F468" s="11"/>
      <x:c r="G468" s="9"/>
      <x:c r="H468" s="9"/>
      <x:c r="I468" s="9"/>
      <x:c r="J468" s="9"/>
      <x:c r="K468" s="9"/>
      <x:c r="L468" s="9"/>
      <x:c r="M468" s="9"/>
      <x:c r="N468" s="12" t="str">
        <x:f>IF(A468="","",IF(ISNUMBER(F468),F468-'Tableau de bord'!$F$5,""))</x:f>
      </x:c>
      <x:c r="O468" s="12" t="str">
        <x:f>IF(A468="","",IF(ISNUMBER(F468),IF(N468&lt;0,"Expiré",IF(N468&lt;='Paramètres'!$E$6,"À renouveler","À jour")),"À compléter"))</x:f>
      </x:c>
      <x:c r="P468" s="12" t="str">
        <x:f>IF(A468="","",IF(AND(ISNUMBER(F468),F468&gt;'Tableau de bord'!$F$5,G468="Oui",H468="Oui",I468="Oui",J468="Oui",K468="Oui"),1,0))</x:f>
      </x:c>
      <x:c r="Q468" s="9"/>
      <x:c r="R468" s="12" t="str">
        <x:f>IF(A468="","",IF(C468="","OTP manquant",IF(COUNTIFS($A$6:$A$505,A468,$C$6:$C$505,C468)&gt;1,"Doublon OTP","")))</x:f>
      </x:c>
    </x:row>
    <x:row r="469" ht="23" customHeight="1">
      <x:c r="A469" s="9"/>
      <x:c r="B469" s="9"/>
      <x:c r="C469" s="9"/>
      <x:c r="D469" s="9"/>
      <x:c r="E469" s="9"/>
      <x:c r="F469" s="11"/>
      <x:c r="G469" s="9"/>
      <x:c r="H469" s="9"/>
      <x:c r="I469" s="9"/>
      <x:c r="J469" s="9"/>
      <x:c r="K469" s="9"/>
      <x:c r="L469" s="9"/>
      <x:c r="M469" s="9"/>
      <x:c r="N469" s="12" t="str">
        <x:f>IF(A469="","",IF(ISNUMBER(F469),F469-'Tableau de bord'!$F$5,""))</x:f>
      </x:c>
      <x:c r="O469" s="12" t="str">
        <x:f>IF(A469="","",IF(ISNUMBER(F469),IF(N469&lt;0,"Expiré",IF(N469&lt;='Paramètres'!$E$6,"À renouveler","À jour")),"À compléter"))</x:f>
      </x:c>
      <x:c r="P469" s="12" t="str">
        <x:f>IF(A469="","",IF(AND(ISNUMBER(F469),F469&gt;'Tableau de bord'!$F$5,G469="Oui",H469="Oui",I469="Oui",J469="Oui",K469="Oui"),1,0))</x:f>
      </x:c>
      <x:c r="Q469" s="9"/>
      <x:c r="R469" s="12" t="str">
        <x:f>IF(A469="","",IF(C469="","OTP manquant",IF(COUNTIFS($A$6:$A$505,A469,$C$6:$C$505,C469)&gt;1,"Doublon OTP","")))</x:f>
      </x:c>
    </x:row>
    <x:row r="470" ht="23" customHeight="1">
      <x:c r="A470" s="9"/>
      <x:c r="B470" s="9"/>
      <x:c r="C470" s="9"/>
      <x:c r="D470" s="9"/>
      <x:c r="E470" s="9"/>
      <x:c r="F470" s="11"/>
      <x:c r="G470" s="9"/>
      <x:c r="H470" s="9"/>
      <x:c r="I470" s="9"/>
      <x:c r="J470" s="9"/>
      <x:c r="K470" s="9"/>
      <x:c r="L470" s="9"/>
      <x:c r="M470" s="9"/>
      <x:c r="N470" s="12" t="str">
        <x:f>IF(A470="","",IF(ISNUMBER(F470),F470-'Tableau de bord'!$F$5,""))</x:f>
      </x:c>
      <x:c r="O470" s="12" t="str">
        <x:f>IF(A470="","",IF(ISNUMBER(F470),IF(N470&lt;0,"Expiré",IF(N470&lt;='Paramètres'!$E$6,"À renouveler","À jour")),"À compléter"))</x:f>
      </x:c>
      <x:c r="P470" s="12" t="str">
        <x:f>IF(A470="","",IF(AND(ISNUMBER(F470),F470&gt;'Tableau de bord'!$F$5,G470="Oui",H470="Oui",I470="Oui",J470="Oui",K470="Oui"),1,0))</x:f>
      </x:c>
      <x:c r="Q470" s="9"/>
      <x:c r="R470" s="12" t="str">
        <x:f>IF(A470="","",IF(C470="","OTP manquant",IF(COUNTIFS($A$6:$A$505,A470,$C$6:$C$505,C470)&gt;1,"Doublon OTP","")))</x:f>
      </x:c>
    </x:row>
    <x:row r="471" ht="23" customHeight="1">
      <x:c r="A471" s="9"/>
      <x:c r="B471" s="9"/>
      <x:c r="C471" s="9"/>
      <x:c r="D471" s="9"/>
      <x:c r="E471" s="9"/>
      <x:c r="F471" s="11"/>
      <x:c r="G471" s="9"/>
      <x:c r="H471" s="9"/>
      <x:c r="I471" s="9"/>
      <x:c r="J471" s="9"/>
      <x:c r="K471" s="9"/>
      <x:c r="L471" s="9"/>
      <x:c r="M471" s="9"/>
      <x:c r="N471" s="12" t="str">
        <x:f>IF(A471="","",IF(ISNUMBER(F471),F471-'Tableau de bord'!$F$5,""))</x:f>
      </x:c>
      <x:c r="O471" s="12" t="str">
        <x:f>IF(A471="","",IF(ISNUMBER(F471),IF(N471&lt;0,"Expiré",IF(N471&lt;='Paramètres'!$E$6,"À renouveler","À jour")),"À compléter"))</x:f>
      </x:c>
      <x:c r="P471" s="12" t="str">
        <x:f>IF(A471="","",IF(AND(ISNUMBER(F471),F471&gt;'Tableau de bord'!$F$5,G471="Oui",H471="Oui",I471="Oui",J471="Oui",K471="Oui"),1,0))</x:f>
      </x:c>
      <x:c r="Q471" s="9"/>
      <x:c r="R471" s="12" t="str">
        <x:f>IF(A471="","",IF(C471="","OTP manquant",IF(COUNTIFS($A$6:$A$505,A471,$C$6:$C$505,C471)&gt;1,"Doublon OTP","")))</x:f>
      </x:c>
    </x:row>
    <x:row r="472" ht="23" customHeight="1">
      <x:c r="A472" s="9"/>
      <x:c r="B472" s="9"/>
      <x:c r="C472" s="9"/>
      <x:c r="D472" s="9"/>
      <x:c r="E472" s="9"/>
      <x:c r="F472" s="11"/>
      <x:c r="G472" s="9"/>
      <x:c r="H472" s="9"/>
      <x:c r="I472" s="9"/>
      <x:c r="J472" s="9"/>
      <x:c r="K472" s="9"/>
      <x:c r="L472" s="9"/>
      <x:c r="M472" s="9"/>
      <x:c r="N472" s="12" t="str">
        <x:f>IF(A472="","",IF(ISNUMBER(F472),F472-'Tableau de bord'!$F$5,""))</x:f>
      </x:c>
      <x:c r="O472" s="12" t="str">
        <x:f>IF(A472="","",IF(ISNUMBER(F472),IF(N472&lt;0,"Expiré",IF(N472&lt;='Paramètres'!$E$6,"À renouveler","À jour")),"À compléter"))</x:f>
      </x:c>
      <x:c r="P472" s="12" t="str">
        <x:f>IF(A472="","",IF(AND(ISNUMBER(F472),F472&gt;'Tableau de bord'!$F$5,G472="Oui",H472="Oui",I472="Oui",J472="Oui",K472="Oui"),1,0))</x:f>
      </x:c>
      <x:c r="Q472" s="9"/>
      <x:c r="R472" s="12" t="str">
        <x:f>IF(A472="","",IF(C472="","OTP manquant",IF(COUNTIFS($A$6:$A$505,A472,$C$6:$C$505,C472)&gt;1,"Doublon OTP","")))</x:f>
      </x:c>
    </x:row>
    <x:row r="473" ht="23" customHeight="1">
      <x:c r="A473" s="9"/>
      <x:c r="B473" s="9"/>
      <x:c r="C473" s="9"/>
      <x:c r="D473" s="9"/>
      <x:c r="E473" s="9"/>
      <x:c r="F473" s="11"/>
      <x:c r="G473" s="9"/>
      <x:c r="H473" s="9"/>
      <x:c r="I473" s="9"/>
      <x:c r="J473" s="9"/>
      <x:c r="K473" s="9"/>
      <x:c r="L473" s="9"/>
      <x:c r="M473" s="9"/>
      <x:c r="N473" s="12" t="str">
        <x:f>IF(A473="","",IF(ISNUMBER(F473),F473-'Tableau de bord'!$F$5,""))</x:f>
      </x:c>
      <x:c r="O473" s="12" t="str">
        <x:f>IF(A473="","",IF(ISNUMBER(F473),IF(N473&lt;0,"Expiré",IF(N473&lt;='Paramètres'!$E$6,"À renouveler","À jour")),"À compléter"))</x:f>
      </x:c>
      <x:c r="P473" s="12" t="str">
        <x:f>IF(A473="","",IF(AND(ISNUMBER(F473),F473&gt;'Tableau de bord'!$F$5,G473="Oui",H473="Oui",I473="Oui",J473="Oui",K473="Oui"),1,0))</x:f>
      </x:c>
      <x:c r="Q473" s="9"/>
      <x:c r="R473" s="12" t="str">
        <x:f>IF(A473="","",IF(C473="","OTP manquant",IF(COUNTIFS($A$6:$A$505,A473,$C$6:$C$505,C473)&gt;1,"Doublon OTP","")))</x:f>
      </x:c>
    </x:row>
    <x:row r="474" ht="23" customHeight="1">
      <x:c r="A474" s="9"/>
      <x:c r="B474" s="9"/>
      <x:c r="C474" s="9"/>
      <x:c r="D474" s="9"/>
      <x:c r="E474" s="9"/>
      <x:c r="F474" s="11"/>
      <x:c r="G474" s="9"/>
      <x:c r="H474" s="9"/>
      <x:c r="I474" s="9"/>
      <x:c r="J474" s="9"/>
      <x:c r="K474" s="9"/>
      <x:c r="L474" s="9"/>
      <x:c r="M474" s="9"/>
      <x:c r="N474" s="12" t="str">
        <x:f>IF(A474="","",IF(ISNUMBER(F474),F474-'Tableau de bord'!$F$5,""))</x:f>
      </x:c>
      <x:c r="O474" s="12" t="str">
        <x:f>IF(A474="","",IF(ISNUMBER(F474),IF(N474&lt;0,"Expiré",IF(N474&lt;='Paramètres'!$E$6,"À renouveler","À jour")),"À compléter"))</x:f>
      </x:c>
      <x:c r="P474" s="12" t="str">
        <x:f>IF(A474="","",IF(AND(ISNUMBER(F474),F474&gt;'Tableau de bord'!$F$5,G474="Oui",H474="Oui",I474="Oui",J474="Oui",K474="Oui"),1,0))</x:f>
      </x:c>
      <x:c r="Q474" s="9"/>
      <x:c r="R474" s="12" t="str">
        <x:f>IF(A474="","",IF(C474="","OTP manquant",IF(COUNTIFS($A$6:$A$505,A474,$C$6:$C$505,C474)&gt;1,"Doublon OTP","")))</x:f>
      </x:c>
    </x:row>
    <x:row r="475" ht="23" customHeight="1">
      <x:c r="A475" s="9"/>
      <x:c r="B475" s="9"/>
      <x:c r="C475" s="9"/>
      <x:c r="D475" s="9"/>
      <x:c r="E475" s="9"/>
      <x:c r="F475" s="11"/>
      <x:c r="G475" s="9"/>
      <x:c r="H475" s="9"/>
      <x:c r="I475" s="9"/>
      <x:c r="J475" s="9"/>
      <x:c r="K475" s="9"/>
      <x:c r="L475" s="9"/>
      <x:c r="M475" s="9"/>
      <x:c r="N475" s="12" t="str">
        <x:f>IF(A475="","",IF(ISNUMBER(F475),F475-'Tableau de bord'!$F$5,""))</x:f>
      </x:c>
      <x:c r="O475" s="12" t="str">
        <x:f>IF(A475="","",IF(ISNUMBER(F475),IF(N475&lt;0,"Expiré",IF(N475&lt;='Paramètres'!$E$6,"À renouveler","À jour")),"À compléter"))</x:f>
      </x:c>
      <x:c r="P475" s="12" t="str">
        <x:f>IF(A475="","",IF(AND(ISNUMBER(F475),F475&gt;'Tableau de bord'!$F$5,G475="Oui",H475="Oui",I475="Oui",J475="Oui",K475="Oui"),1,0))</x:f>
      </x:c>
      <x:c r="Q475" s="9"/>
      <x:c r="R475" s="12" t="str">
        <x:f>IF(A475="","",IF(C475="","OTP manquant",IF(COUNTIFS($A$6:$A$505,A475,$C$6:$C$505,C475)&gt;1,"Doublon OTP","")))</x:f>
      </x:c>
    </x:row>
    <x:row r="476" ht="23" customHeight="1">
      <x:c r="A476" s="9"/>
      <x:c r="B476" s="9"/>
      <x:c r="C476" s="9"/>
      <x:c r="D476" s="9"/>
      <x:c r="E476" s="9"/>
      <x:c r="F476" s="11"/>
      <x:c r="G476" s="9"/>
      <x:c r="H476" s="9"/>
      <x:c r="I476" s="9"/>
      <x:c r="J476" s="9"/>
      <x:c r="K476" s="9"/>
      <x:c r="L476" s="9"/>
      <x:c r="M476" s="9"/>
      <x:c r="N476" s="12" t="str">
        <x:f>IF(A476="","",IF(ISNUMBER(F476),F476-'Tableau de bord'!$F$5,""))</x:f>
      </x:c>
      <x:c r="O476" s="12" t="str">
        <x:f>IF(A476="","",IF(ISNUMBER(F476),IF(N476&lt;0,"Expiré",IF(N476&lt;='Paramètres'!$E$6,"À renouveler","À jour")),"À compléter"))</x:f>
      </x:c>
      <x:c r="P476" s="12" t="str">
        <x:f>IF(A476="","",IF(AND(ISNUMBER(F476),F476&gt;'Tableau de bord'!$F$5,G476="Oui",H476="Oui",I476="Oui",J476="Oui",K476="Oui"),1,0))</x:f>
      </x:c>
      <x:c r="Q476" s="9"/>
      <x:c r="R476" s="12" t="str">
        <x:f>IF(A476="","",IF(C476="","OTP manquant",IF(COUNTIFS($A$6:$A$505,A476,$C$6:$C$505,C476)&gt;1,"Doublon OTP","")))</x:f>
      </x:c>
    </x:row>
    <x:row r="477" ht="23" customHeight="1">
      <x:c r="A477" s="9"/>
      <x:c r="B477" s="9"/>
      <x:c r="C477" s="9"/>
      <x:c r="D477" s="9"/>
      <x:c r="E477" s="9"/>
      <x:c r="F477" s="11"/>
      <x:c r="G477" s="9"/>
      <x:c r="H477" s="9"/>
      <x:c r="I477" s="9"/>
      <x:c r="J477" s="9"/>
      <x:c r="K477" s="9"/>
      <x:c r="L477" s="9"/>
      <x:c r="M477" s="9"/>
      <x:c r="N477" s="12" t="str">
        <x:f>IF(A477="","",IF(ISNUMBER(F477),F477-'Tableau de bord'!$F$5,""))</x:f>
      </x:c>
      <x:c r="O477" s="12" t="str">
        <x:f>IF(A477="","",IF(ISNUMBER(F477),IF(N477&lt;0,"Expiré",IF(N477&lt;='Paramètres'!$E$6,"À renouveler","À jour")),"À compléter"))</x:f>
      </x:c>
      <x:c r="P477" s="12" t="str">
        <x:f>IF(A477="","",IF(AND(ISNUMBER(F477),F477&gt;'Tableau de bord'!$F$5,G477="Oui",H477="Oui",I477="Oui",J477="Oui",K477="Oui"),1,0))</x:f>
      </x:c>
      <x:c r="Q477" s="9"/>
      <x:c r="R477" s="12" t="str">
        <x:f>IF(A477="","",IF(C477="","OTP manquant",IF(COUNTIFS($A$6:$A$505,A477,$C$6:$C$505,C477)&gt;1,"Doublon OTP","")))</x:f>
      </x:c>
    </x:row>
    <x:row r="478" ht="23" customHeight="1">
      <x:c r="A478" s="9"/>
      <x:c r="B478" s="9"/>
      <x:c r="C478" s="9"/>
      <x:c r="D478" s="9"/>
      <x:c r="E478" s="9"/>
      <x:c r="F478" s="11"/>
      <x:c r="G478" s="9"/>
      <x:c r="H478" s="9"/>
      <x:c r="I478" s="9"/>
      <x:c r="J478" s="9"/>
      <x:c r="K478" s="9"/>
      <x:c r="L478" s="9"/>
      <x:c r="M478" s="9"/>
      <x:c r="N478" s="12" t="str">
        <x:f>IF(A478="","",IF(ISNUMBER(F478),F478-'Tableau de bord'!$F$5,""))</x:f>
      </x:c>
      <x:c r="O478" s="12" t="str">
        <x:f>IF(A478="","",IF(ISNUMBER(F478),IF(N478&lt;0,"Expiré",IF(N478&lt;='Paramètres'!$E$6,"À renouveler","À jour")),"À compléter"))</x:f>
      </x:c>
      <x:c r="P478" s="12" t="str">
        <x:f>IF(A478="","",IF(AND(ISNUMBER(F478),F478&gt;'Tableau de bord'!$F$5,G478="Oui",H478="Oui",I478="Oui",J478="Oui",K478="Oui"),1,0))</x:f>
      </x:c>
      <x:c r="Q478" s="9"/>
      <x:c r="R478" s="12" t="str">
        <x:f>IF(A478="","",IF(C478="","OTP manquant",IF(COUNTIFS($A$6:$A$505,A478,$C$6:$C$505,C478)&gt;1,"Doublon OTP","")))</x:f>
      </x:c>
    </x:row>
    <x:row r="479" ht="23" customHeight="1">
      <x:c r="A479" s="9"/>
      <x:c r="B479" s="9"/>
      <x:c r="C479" s="9"/>
      <x:c r="D479" s="9"/>
      <x:c r="E479" s="9"/>
      <x:c r="F479" s="11"/>
      <x:c r="G479" s="9"/>
      <x:c r="H479" s="9"/>
      <x:c r="I479" s="9"/>
      <x:c r="J479" s="9"/>
      <x:c r="K479" s="9"/>
      <x:c r="L479" s="9"/>
      <x:c r="M479" s="9"/>
      <x:c r="N479" s="12" t="str">
        <x:f>IF(A479="","",IF(ISNUMBER(F479),F479-'Tableau de bord'!$F$5,""))</x:f>
      </x:c>
      <x:c r="O479" s="12" t="str">
        <x:f>IF(A479="","",IF(ISNUMBER(F479),IF(N479&lt;0,"Expiré",IF(N479&lt;='Paramètres'!$E$6,"À renouveler","À jour")),"À compléter"))</x:f>
      </x:c>
      <x:c r="P479" s="12" t="str">
        <x:f>IF(A479="","",IF(AND(ISNUMBER(F479),F479&gt;'Tableau de bord'!$F$5,G479="Oui",H479="Oui",I479="Oui",J479="Oui",K479="Oui"),1,0))</x:f>
      </x:c>
      <x:c r="Q479" s="9"/>
      <x:c r="R479" s="12" t="str">
        <x:f>IF(A479="","",IF(C479="","OTP manquant",IF(COUNTIFS($A$6:$A$505,A479,$C$6:$C$505,C479)&gt;1,"Doublon OTP","")))</x:f>
      </x:c>
    </x:row>
    <x:row r="480" ht="23" customHeight="1">
      <x:c r="A480" s="9"/>
      <x:c r="B480" s="9"/>
      <x:c r="C480" s="9"/>
      <x:c r="D480" s="9"/>
      <x:c r="E480" s="9"/>
      <x:c r="F480" s="11"/>
      <x:c r="G480" s="9"/>
      <x:c r="H480" s="9"/>
      <x:c r="I480" s="9"/>
      <x:c r="J480" s="9"/>
      <x:c r="K480" s="9"/>
      <x:c r="L480" s="9"/>
      <x:c r="M480" s="9"/>
      <x:c r="N480" s="12" t="str">
        <x:f>IF(A480="","",IF(ISNUMBER(F480),F480-'Tableau de bord'!$F$5,""))</x:f>
      </x:c>
      <x:c r="O480" s="12" t="str">
        <x:f>IF(A480="","",IF(ISNUMBER(F480),IF(N480&lt;0,"Expiré",IF(N480&lt;='Paramètres'!$E$6,"À renouveler","À jour")),"À compléter"))</x:f>
      </x:c>
      <x:c r="P480" s="12" t="str">
        <x:f>IF(A480="","",IF(AND(ISNUMBER(F480),F480&gt;'Tableau de bord'!$F$5,G480="Oui",H480="Oui",I480="Oui",J480="Oui",K480="Oui"),1,0))</x:f>
      </x:c>
      <x:c r="Q480" s="9"/>
      <x:c r="R480" s="12" t="str">
        <x:f>IF(A480="","",IF(C480="","OTP manquant",IF(COUNTIFS($A$6:$A$505,A480,$C$6:$C$505,C480)&gt;1,"Doublon OTP","")))</x:f>
      </x:c>
    </x:row>
    <x:row r="481" ht="23" customHeight="1">
      <x:c r="A481" s="9"/>
      <x:c r="B481" s="9"/>
      <x:c r="C481" s="9"/>
      <x:c r="D481" s="9"/>
      <x:c r="E481" s="9"/>
      <x:c r="F481" s="11"/>
      <x:c r="G481" s="9"/>
      <x:c r="H481" s="9"/>
      <x:c r="I481" s="9"/>
      <x:c r="J481" s="9"/>
      <x:c r="K481" s="9"/>
      <x:c r="L481" s="9"/>
      <x:c r="M481" s="9"/>
      <x:c r="N481" s="12" t="str">
        <x:f>IF(A481="","",IF(ISNUMBER(F481),F481-'Tableau de bord'!$F$5,""))</x:f>
      </x:c>
      <x:c r="O481" s="12" t="str">
        <x:f>IF(A481="","",IF(ISNUMBER(F481),IF(N481&lt;0,"Expiré",IF(N481&lt;='Paramètres'!$E$6,"À renouveler","À jour")),"À compléter"))</x:f>
      </x:c>
      <x:c r="P481" s="12" t="str">
        <x:f>IF(A481="","",IF(AND(ISNUMBER(F481),F481&gt;'Tableau de bord'!$F$5,G481="Oui",H481="Oui",I481="Oui",J481="Oui",K481="Oui"),1,0))</x:f>
      </x:c>
      <x:c r="Q481" s="9"/>
      <x:c r="R481" s="12" t="str">
        <x:f>IF(A481="","",IF(C481="","OTP manquant",IF(COUNTIFS($A$6:$A$505,A481,$C$6:$C$505,C481)&gt;1,"Doublon OTP","")))</x:f>
      </x:c>
    </x:row>
    <x:row r="482" ht="23" customHeight="1">
      <x:c r="A482" s="9"/>
      <x:c r="B482" s="9"/>
      <x:c r="C482" s="9"/>
      <x:c r="D482" s="9"/>
      <x:c r="E482" s="9"/>
      <x:c r="F482" s="11"/>
      <x:c r="G482" s="9"/>
      <x:c r="H482" s="9"/>
      <x:c r="I482" s="9"/>
      <x:c r="J482" s="9"/>
      <x:c r="K482" s="9"/>
      <x:c r="L482" s="9"/>
      <x:c r="M482" s="9"/>
      <x:c r="N482" s="12" t="str">
        <x:f>IF(A482="","",IF(ISNUMBER(F482),F482-'Tableau de bord'!$F$5,""))</x:f>
      </x:c>
      <x:c r="O482" s="12" t="str">
        <x:f>IF(A482="","",IF(ISNUMBER(F482),IF(N482&lt;0,"Expiré",IF(N482&lt;='Paramètres'!$E$6,"À renouveler","À jour")),"À compléter"))</x:f>
      </x:c>
      <x:c r="P482" s="12" t="str">
        <x:f>IF(A482="","",IF(AND(ISNUMBER(F482),F482&gt;'Tableau de bord'!$F$5,G482="Oui",H482="Oui",I482="Oui",J482="Oui",K482="Oui"),1,0))</x:f>
      </x:c>
      <x:c r="Q482" s="9"/>
      <x:c r="R482" s="12" t="str">
        <x:f>IF(A482="","",IF(C482="","OTP manquant",IF(COUNTIFS($A$6:$A$505,A482,$C$6:$C$505,C482)&gt;1,"Doublon OTP","")))</x:f>
      </x:c>
    </x:row>
    <x:row r="483" ht="23" customHeight="1">
      <x:c r="A483" s="9"/>
      <x:c r="B483" s="9"/>
      <x:c r="C483" s="9"/>
      <x:c r="D483" s="9"/>
      <x:c r="E483" s="9"/>
      <x:c r="F483" s="11"/>
      <x:c r="G483" s="9"/>
      <x:c r="H483" s="9"/>
      <x:c r="I483" s="9"/>
      <x:c r="J483" s="9"/>
      <x:c r="K483" s="9"/>
      <x:c r="L483" s="9"/>
      <x:c r="M483" s="9"/>
      <x:c r="N483" s="12" t="str">
        <x:f>IF(A483="","",IF(ISNUMBER(F483),F483-'Tableau de bord'!$F$5,""))</x:f>
      </x:c>
      <x:c r="O483" s="12" t="str">
        <x:f>IF(A483="","",IF(ISNUMBER(F483),IF(N483&lt;0,"Expiré",IF(N483&lt;='Paramètres'!$E$6,"À renouveler","À jour")),"À compléter"))</x:f>
      </x:c>
      <x:c r="P483" s="12" t="str">
        <x:f>IF(A483="","",IF(AND(ISNUMBER(F483),F483&gt;'Tableau de bord'!$F$5,G483="Oui",H483="Oui",I483="Oui",J483="Oui",K483="Oui"),1,0))</x:f>
      </x:c>
      <x:c r="Q483" s="9"/>
      <x:c r="R483" s="12" t="str">
        <x:f>IF(A483="","",IF(C483="","OTP manquant",IF(COUNTIFS($A$6:$A$505,A483,$C$6:$C$505,C483)&gt;1,"Doublon OTP","")))</x:f>
      </x:c>
    </x:row>
    <x:row r="484" ht="23" customHeight="1">
      <x:c r="A484" s="9"/>
      <x:c r="B484" s="9"/>
      <x:c r="C484" s="9"/>
      <x:c r="D484" s="9"/>
      <x:c r="E484" s="9"/>
      <x:c r="F484" s="11"/>
      <x:c r="G484" s="9"/>
      <x:c r="H484" s="9"/>
      <x:c r="I484" s="9"/>
      <x:c r="J484" s="9"/>
      <x:c r="K484" s="9"/>
      <x:c r="L484" s="9"/>
      <x:c r="M484" s="9"/>
      <x:c r="N484" s="12" t="str">
        <x:f>IF(A484="","",IF(ISNUMBER(F484),F484-'Tableau de bord'!$F$5,""))</x:f>
      </x:c>
      <x:c r="O484" s="12" t="str">
        <x:f>IF(A484="","",IF(ISNUMBER(F484),IF(N484&lt;0,"Expiré",IF(N484&lt;='Paramètres'!$E$6,"À renouveler","À jour")),"À compléter"))</x:f>
      </x:c>
      <x:c r="P484" s="12" t="str">
        <x:f>IF(A484="","",IF(AND(ISNUMBER(F484),F484&gt;'Tableau de bord'!$F$5,G484="Oui",H484="Oui",I484="Oui",J484="Oui",K484="Oui"),1,0))</x:f>
      </x:c>
      <x:c r="Q484" s="9"/>
      <x:c r="R484" s="12" t="str">
        <x:f>IF(A484="","",IF(C484="","OTP manquant",IF(COUNTIFS($A$6:$A$505,A484,$C$6:$C$505,C484)&gt;1,"Doublon OTP","")))</x:f>
      </x:c>
    </x:row>
    <x:row r="485" ht="23" customHeight="1">
      <x:c r="A485" s="9"/>
      <x:c r="B485" s="9"/>
      <x:c r="C485" s="9"/>
      <x:c r="D485" s="9"/>
      <x:c r="E485" s="9"/>
      <x:c r="F485" s="11"/>
      <x:c r="G485" s="9"/>
      <x:c r="H485" s="9"/>
      <x:c r="I485" s="9"/>
      <x:c r="J485" s="9"/>
      <x:c r="K485" s="9"/>
      <x:c r="L485" s="9"/>
      <x:c r="M485" s="9"/>
      <x:c r="N485" s="12" t="str">
        <x:f>IF(A485="","",IF(ISNUMBER(F485),F485-'Tableau de bord'!$F$5,""))</x:f>
      </x:c>
      <x:c r="O485" s="12" t="str">
        <x:f>IF(A485="","",IF(ISNUMBER(F485),IF(N485&lt;0,"Expiré",IF(N485&lt;='Paramètres'!$E$6,"À renouveler","À jour")),"À compléter"))</x:f>
      </x:c>
      <x:c r="P485" s="12" t="str">
        <x:f>IF(A485="","",IF(AND(ISNUMBER(F485),F485&gt;'Tableau de bord'!$F$5,G485="Oui",H485="Oui",I485="Oui",J485="Oui",K485="Oui"),1,0))</x:f>
      </x:c>
      <x:c r="Q485" s="9"/>
      <x:c r="R485" s="12" t="str">
        <x:f>IF(A485="","",IF(C485="","OTP manquant",IF(COUNTIFS($A$6:$A$505,A485,$C$6:$C$505,C485)&gt;1,"Doublon OTP","")))</x:f>
      </x:c>
    </x:row>
    <x:row r="486" ht="23" customHeight="1">
      <x:c r="A486" s="9"/>
      <x:c r="B486" s="9"/>
      <x:c r="C486" s="9"/>
      <x:c r="D486" s="9"/>
      <x:c r="E486" s="9"/>
      <x:c r="F486" s="11"/>
      <x:c r="G486" s="9"/>
      <x:c r="H486" s="9"/>
      <x:c r="I486" s="9"/>
      <x:c r="J486" s="9"/>
      <x:c r="K486" s="9"/>
      <x:c r="L486" s="9"/>
      <x:c r="M486" s="9"/>
      <x:c r="N486" s="12" t="str">
        <x:f>IF(A486="","",IF(ISNUMBER(F486),F486-'Tableau de bord'!$F$5,""))</x:f>
      </x:c>
      <x:c r="O486" s="12" t="str">
        <x:f>IF(A486="","",IF(ISNUMBER(F486),IF(N486&lt;0,"Expiré",IF(N486&lt;='Paramètres'!$E$6,"À renouveler","À jour")),"À compléter"))</x:f>
      </x:c>
      <x:c r="P486" s="12" t="str">
        <x:f>IF(A486="","",IF(AND(ISNUMBER(F486),F486&gt;'Tableau de bord'!$F$5,G486="Oui",H486="Oui",I486="Oui",J486="Oui",K486="Oui"),1,0))</x:f>
      </x:c>
      <x:c r="Q486" s="9"/>
      <x:c r="R486" s="12" t="str">
        <x:f>IF(A486="","",IF(C486="","OTP manquant",IF(COUNTIFS($A$6:$A$505,A486,$C$6:$C$505,C486)&gt;1,"Doublon OTP","")))</x:f>
      </x:c>
    </x:row>
    <x:row r="487" ht="23" customHeight="1">
      <x:c r="A487" s="9"/>
      <x:c r="B487" s="9"/>
      <x:c r="C487" s="9"/>
      <x:c r="D487" s="9"/>
      <x:c r="E487" s="9"/>
      <x:c r="F487" s="11"/>
      <x:c r="G487" s="9"/>
      <x:c r="H487" s="9"/>
      <x:c r="I487" s="9"/>
      <x:c r="J487" s="9"/>
      <x:c r="K487" s="9"/>
      <x:c r="L487" s="9"/>
      <x:c r="M487" s="9"/>
      <x:c r="N487" s="12" t="str">
        <x:f>IF(A487="","",IF(ISNUMBER(F487),F487-'Tableau de bord'!$F$5,""))</x:f>
      </x:c>
      <x:c r="O487" s="12" t="str">
        <x:f>IF(A487="","",IF(ISNUMBER(F487),IF(N487&lt;0,"Expiré",IF(N487&lt;='Paramètres'!$E$6,"À renouveler","À jour")),"À compléter"))</x:f>
      </x:c>
      <x:c r="P487" s="12" t="str">
        <x:f>IF(A487="","",IF(AND(ISNUMBER(F487),F487&gt;'Tableau de bord'!$F$5,G487="Oui",H487="Oui",I487="Oui",J487="Oui",K487="Oui"),1,0))</x:f>
      </x:c>
      <x:c r="Q487" s="9"/>
      <x:c r="R487" s="12" t="str">
        <x:f>IF(A487="","",IF(C487="","OTP manquant",IF(COUNTIFS($A$6:$A$505,A487,$C$6:$C$505,C487)&gt;1,"Doublon OTP","")))</x:f>
      </x:c>
    </x:row>
    <x:row r="488" ht="23" customHeight="1">
      <x:c r="A488" s="9"/>
      <x:c r="B488" s="9"/>
      <x:c r="C488" s="9"/>
      <x:c r="D488" s="9"/>
      <x:c r="E488" s="9"/>
      <x:c r="F488" s="11"/>
      <x:c r="G488" s="9"/>
      <x:c r="H488" s="9"/>
      <x:c r="I488" s="9"/>
      <x:c r="J488" s="9"/>
      <x:c r="K488" s="9"/>
      <x:c r="L488" s="9"/>
      <x:c r="M488" s="9"/>
      <x:c r="N488" s="12" t="str">
        <x:f>IF(A488="","",IF(ISNUMBER(F488),F488-'Tableau de bord'!$F$5,""))</x:f>
      </x:c>
      <x:c r="O488" s="12" t="str">
        <x:f>IF(A488="","",IF(ISNUMBER(F488),IF(N488&lt;0,"Expiré",IF(N488&lt;='Paramètres'!$E$6,"À renouveler","À jour")),"À compléter"))</x:f>
      </x:c>
      <x:c r="P488" s="12" t="str">
        <x:f>IF(A488="","",IF(AND(ISNUMBER(F488),F488&gt;'Tableau de bord'!$F$5,G488="Oui",H488="Oui",I488="Oui",J488="Oui",K488="Oui"),1,0))</x:f>
      </x:c>
      <x:c r="Q488" s="9"/>
      <x:c r="R488" s="12" t="str">
        <x:f>IF(A488="","",IF(C488="","OTP manquant",IF(COUNTIFS($A$6:$A$505,A488,$C$6:$C$505,C488)&gt;1,"Doublon OTP","")))</x:f>
      </x:c>
    </x:row>
    <x:row r="489" ht="23" customHeight="1">
      <x:c r="A489" s="9"/>
      <x:c r="B489" s="9"/>
      <x:c r="C489" s="9"/>
      <x:c r="D489" s="9"/>
      <x:c r="E489" s="9"/>
      <x:c r="F489" s="11"/>
      <x:c r="G489" s="9"/>
      <x:c r="H489" s="9"/>
      <x:c r="I489" s="9"/>
      <x:c r="J489" s="9"/>
      <x:c r="K489" s="9"/>
      <x:c r="L489" s="9"/>
      <x:c r="M489" s="9"/>
      <x:c r="N489" s="12" t="str">
        <x:f>IF(A489="","",IF(ISNUMBER(F489),F489-'Tableau de bord'!$F$5,""))</x:f>
      </x:c>
      <x:c r="O489" s="12" t="str">
        <x:f>IF(A489="","",IF(ISNUMBER(F489),IF(N489&lt;0,"Expiré",IF(N489&lt;='Paramètres'!$E$6,"À renouveler","À jour")),"À compléter"))</x:f>
      </x:c>
      <x:c r="P489" s="12" t="str">
        <x:f>IF(A489="","",IF(AND(ISNUMBER(F489),F489&gt;'Tableau de bord'!$F$5,G489="Oui",H489="Oui",I489="Oui",J489="Oui",K489="Oui"),1,0))</x:f>
      </x:c>
      <x:c r="Q489" s="9"/>
      <x:c r="R489" s="12" t="str">
        <x:f>IF(A489="","",IF(C489="","OTP manquant",IF(COUNTIFS($A$6:$A$505,A489,$C$6:$C$505,C489)&gt;1,"Doublon OTP","")))</x:f>
      </x:c>
    </x:row>
    <x:row r="490" ht="23" customHeight="1">
      <x:c r="A490" s="9"/>
      <x:c r="B490" s="9"/>
      <x:c r="C490" s="9"/>
      <x:c r="D490" s="9"/>
      <x:c r="E490" s="9"/>
      <x:c r="F490" s="11"/>
      <x:c r="G490" s="9"/>
      <x:c r="H490" s="9"/>
      <x:c r="I490" s="9"/>
      <x:c r="J490" s="9"/>
      <x:c r="K490" s="9"/>
      <x:c r="L490" s="9"/>
      <x:c r="M490" s="9"/>
      <x:c r="N490" s="12" t="str">
        <x:f>IF(A490="","",IF(ISNUMBER(F490),F490-'Tableau de bord'!$F$5,""))</x:f>
      </x:c>
      <x:c r="O490" s="12" t="str">
        <x:f>IF(A490="","",IF(ISNUMBER(F490),IF(N490&lt;0,"Expiré",IF(N490&lt;='Paramètres'!$E$6,"À renouveler","À jour")),"À compléter"))</x:f>
      </x:c>
      <x:c r="P490" s="12" t="str">
        <x:f>IF(A490="","",IF(AND(ISNUMBER(F490),F490&gt;'Tableau de bord'!$F$5,G490="Oui",H490="Oui",I490="Oui",J490="Oui",K490="Oui"),1,0))</x:f>
      </x:c>
      <x:c r="Q490" s="9"/>
      <x:c r="R490" s="12" t="str">
        <x:f>IF(A490="","",IF(C490="","OTP manquant",IF(COUNTIFS($A$6:$A$505,A490,$C$6:$C$505,C490)&gt;1,"Doublon OTP","")))</x:f>
      </x:c>
    </x:row>
    <x:row r="491" ht="23" customHeight="1">
      <x:c r="A491" s="9"/>
      <x:c r="B491" s="9"/>
      <x:c r="C491" s="9"/>
      <x:c r="D491" s="9"/>
      <x:c r="E491" s="9"/>
      <x:c r="F491" s="11"/>
      <x:c r="G491" s="9"/>
      <x:c r="H491" s="9"/>
      <x:c r="I491" s="9"/>
      <x:c r="J491" s="9"/>
      <x:c r="K491" s="9"/>
      <x:c r="L491" s="9"/>
      <x:c r="M491" s="9"/>
      <x:c r="N491" s="12" t="str">
        <x:f>IF(A491="","",IF(ISNUMBER(F491),F491-'Tableau de bord'!$F$5,""))</x:f>
      </x:c>
      <x:c r="O491" s="12" t="str">
        <x:f>IF(A491="","",IF(ISNUMBER(F491),IF(N491&lt;0,"Expiré",IF(N491&lt;='Paramètres'!$E$6,"À renouveler","À jour")),"À compléter"))</x:f>
      </x:c>
      <x:c r="P491" s="12" t="str">
        <x:f>IF(A491="","",IF(AND(ISNUMBER(F491),F491&gt;'Tableau de bord'!$F$5,G491="Oui",H491="Oui",I491="Oui",J491="Oui",K491="Oui"),1,0))</x:f>
      </x:c>
      <x:c r="Q491" s="9"/>
      <x:c r="R491" s="12" t="str">
        <x:f>IF(A491="","",IF(C491="","OTP manquant",IF(COUNTIFS($A$6:$A$505,A491,$C$6:$C$505,C491)&gt;1,"Doublon OTP","")))</x:f>
      </x:c>
    </x:row>
    <x:row r="492" ht="23" customHeight="1">
      <x:c r="A492" s="9"/>
      <x:c r="B492" s="9"/>
      <x:c r="C492" s="9"/>
      <x:c r="D492" s="9"/>
      <x:c r="E492" s="9"/>
      <x:c r="F492" s="11"/>
      <x:c r="G492" s="9"/>
      <x:c r="H492" s="9"/>
      <x:c r="I492" s="9"/>
      <x:c r="J492" s="9"/>
      <x:c r="K492" s="9"/>
      <x:c r="L492" s="9"/>
      <x:c r="M492" s="9"/>
      <x:c r="N492" s="12" t="str">
        <x:f>IF(A492="","",IF(ISNUMBER(F492),F492-'Tableau de bord'!$F$5,""))</x:f>
      </x:c>
      <x:c r="O492" s="12" t="str">
        <x:f>IF(A492="","",IF(ISNUMBER(F492),IF(N492&lt;0,"Expiré",IF(N492&lt;='Paramètres'!$E$6,"À renouveler","À jour")),"À compléter"))</x:f>
      </x:c>
      <x:c r="P492" s="12" t="str">
        <x:f>IF(A492="","",IF(AND(ISNUMBER(F492),F492&gt;'Tableau de bord'!$F$5,G492="Oui",H492="Oui",I492="Oui",J492="Oui",K492="Oui"),1,0))</x:f>
      </x:c>
      <x:c r="Q492" s="9"/>
      <x:c r="R492" s="12" t="str">
        <x:f>IF(A492="","",IF(C492="","OTP manquant",IF(COUNTIFS($A$6:$A$505,A492,$C$6:$C$505,C492)&gt;1,"Doublon OTP","")))</x:f>
      </x:c>
    </x:row>
    <x:row r="493" ht="23" customHeight="1">
      <x:c r="A493" s="9"/>
      <x:c r="B493" s="9"/>
      <x:c r="C493" s="9"/>
      <x:c r="D493" s="9"/>
      <x:c r="E493" s="9"/>
      <x:c r="F493" s="11"/>
      <x:c r="G493" s="9"/>
      <x:c r="H493" s="9"/>
      <x:c r="I493" s="9"/>
      <x:c r="J493" s="9"/>
      <x:c r="K493" s="9"/>
      <x:c r="L493" s="9"/>
      <x:c r="M493" s="9"/>
      <x:c r="N493" s="12" t="str">
        <x:f>IF(A493="","",IF(ISNUMBER(F493),F493-'Tableau de bord'!$F$5,""))</x:f>
      </x:c>
      <x:c r="O493" s="12" t="str">
        <x:f>IF(A493="","",IF(ISNUMBER(F493),IF(N493&lt;0,"Expiré",IF(N493&lt;='Paramètres'!$E$6,"À renouveler","À jour")),"À compléter"))</x:f>
      </x:c>
      <x:c r="P493" s="12" t="str">
        <x:f>IF(A493="","",IF(AND(ISNUMBER(F493),F493&gt;'Tableau de bord'!$F$5,G493="Oui",H493="Oui",I493="Oui",J493="Oui",K493="Oui"),1,0))</x:f>
      </x:c>
      <x:c r="Q493" s="9"/>
      <x:c r="R493" s="12" t="str">
        <x:f>IF(A493="","",IF(C493="","OTP manquant",IF(COUNTIFS($A$6:$A$505,A493,$C$6:$C$505,C493)&gt;1,"Doublon OTP","")))</x:f>
      </x:c>
    </x:row>
    <x:row r="494" ht="23" customHeight="1">
      <x:c r="A494" s="9"/>
      <x:c r="B494" s="9"/>
      <x:c r="C494" s="9"/>
      <x:c r="D494" s="9"/>
      <x:c r="E494" s="9"/>
      <x:c r="F494" s="11"/>
      <x:c r="G494" s="9"/>
      <x:c r="H494" s="9"/>
      <x:c r="I494" s="9"/>
      <x:c r="J494" s="9"/>
      <x:c r="K494" s="9"/>
      <x:c r="L494" s="9"/>
      <x:c r="M494" s="9"/>
      <x:c r="N494" s="12" t="str">
        <x:f>IF(A494="","",IF(ISNUMBER(F494),F494-'Tableau de bord'!$F$5,""))</x:f>
      </x:c>
      <x:c r="O494" s="12" t="str">
        <x:f>IF(A494="","",IF(ISNUMBER(F494),IF(N494&lt;0,"Expiré",IF(N494&lt;='Paramètres'!$E$6,"À renouveler","À jour")),"À compléter"))</x:f>
      </x:c>
      <x:c r="P494" s="12" t="str">
        <x:f>IF(A494="","",IF(AND(ISNUMBER(F494),F494&gt;'Tableau de bord'!$F$5,G494="Oui",H494="Oui",I494="Oui",J494="Oui",K494="Oui"),1,0))</x:f>
      </x:c>
      <x:c r="Q494" s="9"/>
      <x:c r="R494" s="12" t="str">
        <x:f>IF(A494="","",IF(C494="","OTP manquant",IF(COUNTIFS($A$6:$A$505,A494,$C$6:$C$505,C494)&gt;1,"Doublon OTP","")))</x:f>
      </x:c>
    </x:row>
    <x:row r="495" ht="23" customHeight="1">
      <x:c r="A495" s="9"/>
      <x:c r="B495" s="9"/>
      <x:c r="C495" s="9"/>
      <x:c r="D495" s="9"/>
      <x:c r="E495" s="9"/>
      <x:c r="F495" s="11"/>
      <x:c r="G495" s="9"/>
      <x:c r="H495" s="9"/>
      <x:c r="I495" s="9"/>
      <x:c r="J495" s="9"/>
      <x:c r="K495" s="9"/>
      <x:c r="L495" s="9"/>
      <x:c r="M495" s="9"/>
      <x:c r="N495" s="12" t="str">
        <x:f>IF(A495="","",IF(ISNUMBER(F495),F495-'Tableau de bord'!$F$5,""))</x:f>
      </x:c>
      <x:c r="O495" s="12" t="str">
        <x:f>IF(A495="","",IF(ISNUMBER(F495),IF(N495&lt;0,"Expiré",IF(N495&lt;='Paramètres'!$E$6,"À renouveler","À jour")),"À compléter"))</x:f>
      </x:c>
      <x:c r="P495" s="12" t="str">
        <x:f>IF(A495="","",IF(AND(ISNUMBER(F495),F495&gt;'Tableau de bord'!$F$5,G495="Oui",H495="Oui",I495="Oui",J495="Oui",K495="Oui"),1,0))</x:f>
      </x:c>
      <x:c r="Q495" s="9"/>
      <x:c r="R495" s="12" t="str">
        <x:f>IF(A495="","",IF(C495="","OTP manquant",IF(COUNTIFS($A$6:$A$505,A495,$C$6:$C$505,C495)&gt;1,"Doublon OTP","")))</x:f>
      </x:c>
    </x:row>
    <x:row r="496" ht="23" customHeight="1">
      <x:c r="A496" s="9"/>
      <x:c r="B496" s="9"/>
      <x:c r="C496" s="9"/>
      <x:c r="D496" s="9"/>
      <x:c r="E496" s="9"/>
      <x:c r="F496" s="11"/>
      <x:c r="G496" s="9"/>
      <x:c r="H496" s="9"/>
      <x:c r="I496" s="9"/>
      <x:c r="J496" s="9"/>
      <x:c r="K496" s="9"/>
      <x:c r="L496" s="9"/>
      <x:c r="M496" s="9"/>
      <x:c r="N496" s="12" t="str">
        <x:f>IF(A496="","",IF(ISNUMBER(F496),F496-'Tableau de bord'!$F$5,""))</x:f>
      </x:c>
      <x:c r="O496" s="12" t="str">
        <x:f>IF(A496="","",IF(ISNUMBER(F496),IF(N496&lt;0,"Expiré",IF(N496&lt;='Paramètres'!$E$6,"À renouveler","À jour")),"À compléter"))</x:f>
      </x:c>
      <x:c r="P496" s="12" t="str">
        <x:f>IF(A496="","",IF(AND(ISNUMBER(F496),F496&gt;'Tableau de bord'!$F$5,G496="Oui",H496="Oui",I496="Oui",J496="Oui",K496="Oui"),1,0))</x:f>
      </x:c>
      <x:c r="Q496" s="9"/>
      <x:c r="R496" s="12" t="str">
        <x:f>IF(A496="","",IF(C496="","OTP manquant",IF(COUNTIFS($A$6:$A$505,A496,$C$6:$C$505,C496)&gt;1,"Doublon OTP","")))</x:f>
      </x:c>
    </x:row>
    <x:row r="497" ht="23" customHeight="1">
      <x:c r="A497" s="9"/>
      <x:c r="B497" s="9"/>
      <x:c r="C497" s="9"/>
      <x:c r="D497" s="9"/>
      <x:c r="E497" s="9"/>
      <x:c r="F497" s="11"/>
      <x:c r="G497" s="9"/>
      <x:c r="H497" s="9"/>
      <x:c r="I497" s="9"/>
      <x:c r="J497" s="9"/>
      <x:c r="K497" s="9"/>
      <x:c r="L497" s="9"/>
      <x:c r="M497" s="9"/>
      <x:c r="N497" s="12" t="str">
        <x:f>IF(A497="","",IF(ISNUMBER(F497),F497-'Tableau de bord'!$F$5,""))</x:f>
      </x:c>
      <x:c r="O497" s="12" t="str">
        <x:f>IF(A497="","",IF(ISNUMBER(F497),IF(N497&lt;0,"Expiré",IF(N497&lt;='Paramètres'!$E$6,"À renouveler","À jour")),"À compléter"))</x:f>
      </x:c>
      <x:c r="P497" s="12" t="str">
        <x:f>IF(A497="","",IF(AND(ISNUMBER(F497),F497&gt;'Tableau de bord'!$F$5,G497="Oui",H497="Oui",I497="Oui",J497="Oui",K497="Oui"),1,0))</x:f>
      </x:c>
      <x:c r="Q497" s="9"/>
      <x:c r="R497" s="12" t="str">
        <x:f>IF(A497="","",IF(C497="","OTP manquant",IF(COUNTIFS($A$6:$A$505,A497,$C$6:$C$505,C497)&gt;1,"Doublon OTP","")))</x:f>
      </x:c>
    </x:row>
    <x:row r="498" ht="23" customHeight="1">
      <x:c r="A498" s="9"/>
      <x:c r="B498" s="9"/>
      <x:c r="C498" s="9"/>
      <x:c r="D498" s="9"/>
      <x:c r="E498" s="9"/>
      <x:c r="F498" s="11"/>
      <x:c r="G498" s="9"/>
      <x:c r="H498" s="9"/>
      <x:c r="I498" s="9"/>
      <x:c r="J498" s="9"/>
      <x:c r="K498" s="9"/>
      <x:c r="L498" s="9"/>
      <x:c r="M498" s="9"/>
      <x:c r="N498" s="12" t="str">
        <x:f>IF(A498="","",IF(ISNUMBER(F498),F498-'Tableau de bord'!$F$5,""))</x:f>
      </x:c>
      <x:c r="O498" s="12" t="str">
        <x:f>IF(A498="","",IF(ISNUMBER(F498),IF(N498&lt;0,"Expiré",IF(N498&lt;='Paramètres'!$E$6,"À renouveler","À jour")),"À compléter"))</x:f>
      </x:c>
      <x:c r="P498" s="12" t="str">
        <x:f>IF(A498="","",IF(AND(ISNUMBER(F498),F498&gt;'Tableau de bord'!$F$5,G498="Oui",H498="Oui",I498="Oui",J498="Oui",K498="Oui"),1,0))</x:f>
      </x:c>
      <x:c r="Q498" s="9"/>
      <x:c r="R498" s="12" t="str">
        <x:f>IF(A498="","",IF(C498="","OTP manquant",IF(COUNTIFS($A$6:$A$505,A498,$C$6:$C$505,C498)&gt;1,"Doublon OTP","")))</x:f>
      </x:c>
    </x:row>
    <x:row r="499" ht="23" customHeight="1">
      <x:c r="A499" s="9"/>
      <x:c r="B499" s="9"/>
      <x:c r="C499" s="9"/>
      <x:c r="D499" s="9"/>
      <x:c r="E499" s="9"/>
      <x:c r="F499" s="11"/>
      <x:c r="G499" s="9"/>
      <x:c r="H499" s="9"/>
      <x:c r="I499" s="9"/>
      <x:c r="J499" s="9"/>
      <x:c r="K499" s="9"/>
      <x:c r="L499" s="9"/>
      <x:c r="M499" s="9"/>
      <x:c r="N499" s="12" t="str">
        <x:f>IF(A499="","",IF(ISNUMBER(F499),F499-'Tableau de bord'!$F$5,""))</x:f>
      </x:c>
      <x:c r="O499" s="12" t="str">
        <x:f>IF(A499="","",IF(ISNUMBER(F499),IF(N499&lt;0,"Expiré",IF(N499&lt;='Paramètres'!$E$6,"À renouveler","À jour")),"À compléter"))</x:f>
      </x:c>
      <x:c r="P499" s="12" t="str">
        <x:f>IF(A499="","",IF(AND(ISNUMBER(F499),F499&gt;'Tableau de bord'!$F$5,G499="Oui",H499="Oui",I499="Oui",J499="Oui",K499="Oui"),1,0))</x:f>
      </x:c>
      <x:c r="Q499" s="9"/>
      <x:c r="R499" s="12" t="str">
        <x:f>IF(A499="","",IF(C499="","OTP manquant",IF(COUNTIFS($A$6:$A$505,A499,$C$6:$C$505,C499)&gt;1,"Doublon OTP","")))</x:f>
      </x:c>
    </x:row>
    <x:row r="500" ht="23" customHeight="1">
      <x:c r="A500" s="9"/>
      <x:c r="B500" s="9"/>
      <x:c r="C500" s="9"/>
      <x:c r="D500" s="9"/>
      <x:c r="E500" s="9"/>
      <x:c r="F500" s="11"/>
      <x:c r="G500" s="9"/>
      <x:c r="H500" s="9"/>
      <x:c r="I500" s="9"/>
      <x:c r="J500" s="9"/>
      <x:c r="K500" s="9"/>
      <x:c r="L500" s="9"/>
      <x:c r="M500" s="9"/>
      <x:c r="N500" s="12" t="str">
        <x:f>IF(A500="","",IF(ISNUMBER(F500),F500-'Tableau de bord'!$F$5,""))</x:f>
      </x:c>
      <x:c r="O500" s="12" t="str">
        <x:f>IF(A500="","",IF(ISNUMBER(F500),IF(N500&lt;0,"Expiré",IF(N500&lt;='Paramètres'!$E$6,"À renouveler","À jour")),"À compléter"))</x:f>
      </x:c>
      <x:c r="P500" s="12" t="str">
        <x:f>IF(A500="","",IF(AND(ISNUMBER(F500),F500&gt;'Tableau de bord'!$F$5,G500="Oui",H500="Oui",I500="Oui",J500="Oui",K500="Oui"),1,0))</x:f>
      </x:c>
      <x:c r="Q500" s="9"/>
      <x:c r="R500" s="12" t="str">
        <x:f>IF(A500="","",IF(C500="","OTP manquant",IF(COUNTIFS($A$6:$A$505,A500,$C$6:$C$505,C500)&gt;1,"Doublon OTP","")))</x:f>
      </x:c>
    </x:row>
    <x:row r="501" ht="23" customHeight="1">
      <x:c r="A501" s="9"/>
      <x:c r="B501" s="9"/>
      <x:c r="C501" s="9"/>
      <x:c r="D501" s="9"/>
      <x:c r="E501" s="9"/>
      <x:c r="F501" s="11"/>
      <x:c r="G501" s="9"/>
      <x:c r="H501" s="9"/>
      <x:c r="I501" s="9"/>
      <x:c r="J501" s="9"/>
      <x:c r="K501" s="9"/>
      <x:c r="L501" s="9"/>
      <x:c r="M501" s="9"/>
      <x:c r="N501" s="12" t="str">
        <x:f>IF(A501="","",IF(ISNUMBER(F501),F501-'Tableau de bord'!$F$5,""))</x:f>
      </x:c>
      <x:c r="O501" s="12" t="str">
        <x:f>IF(A501="","",IF(ISNUMBER(F501),IF(N501&lt;0,"Expiré",IF(N501&lt;='Paramètres'!$E$6,"À renouveler","À jour")),"À compléter"))</x:f>
      </x:c>
      <x:c r="P501" s="12" t="str">
        <x:f>IF(A501="","",IF(AND(ISNUMBER(F501),F501&gt;'Tableau de bord'!$F$5,G501="Oui",H501="Oui",I501="Oui",J501="Oui",K501="Oui"),1,0))</x:f>
      </x:c>
      <x:c r="Q501" s="9"/>
      <x:c r="R501" s="12" t="str">
        <x:f>IF(A501="","",IF(C501="","OTP manquant",IF(COUNTIFS($A$6:$A$505,A501,$C$6:$C$505,C501)&gt;1,"Doublon OTP","")))</x:f>
      </x:c>
    </x:row>
    <x:row r="502" ht="23" customHeight="1">
      <x:c r="A502" s="9"/>
      <x:c r="B502" s="9"/>
      <x:c r="C502" s="9"/>
      <x:c r="D502" s="9"/>
      <x:c r="E502" s="9"/>
      <x:c r="F502" s="11"/>
      <x:c r="G502" s="9"/>
      <x:c r="H502" s="9"/>
      <x:c r="I502" s="9"/>
      <x:c r="J502" s="9"/>
      <x:c r="K502" s="9"/>
      <x:c r="L502" s="9"/>
      <x:c r="M502" s="9"/>
      <x:c r="N502" s="12" t="str">
        <x:f>IF(A502="","",IF(ISNUMBER(F502),F502-'Tableau de bord'!$F$5,""))</x:f>
      </x:c>
      <x:c r="O502" s="12" t="str">
        <x:f>IF(A502="","",IF(ISNUMBER(F502),IF(N502&lt;0,"Expiré",IF(N502&lt;='Paramètres'!$E$6,"À renouveler","À jour")),"À compléter"))</x:f>
      </x:c>
      <x:c r="P502" s="12" t="str">
        <x:f>IF(A502="","",IF(AND(ISNUMBER(F502),F502&gt;'Tableau de bord'!$F$5,G502="Oui",H502="Oui",I502="Oui",J502="Oui",K502="Oui"),1,0))</x:f>
      </x:c>
      <x:c r="Q502" s="9"/>
      <x:c r="R502" s="12" t="str">
        <x:f>IF(A502="","",IF(C502="","OTP manquant",IF(COUNTIFS($A$6:$A$505,A502,$C$6:$C$505,C502)&gt;1,"Doublon OTP","")))</x:f>
      </x:c>
    </x:row>
    <x:row r="503" ht="23" customHeight="1">
      <x:c r="A503" s="9"/>
      <x:c r="B503" s="9"/>
      <x:c r="C503" s="9"/>
      <x:c r="D503" s="9"/>
      <x:c r="E503" s="9"/>
      <x:c r="F503" s="11"/>
      <x:c r="G503" s="9"/>
      <x:c r="H503" s="9"/>
      <x:c r="I503" s="9"/>
      <x:c r="J503" s="9"/>
      <x:c r="K503" s="9"/>
      <x:c r="L503" s="9"/>
      <x:c r="M503" s="9"/>
      <x:c r="N503" s="12" t="str">
        <x:f>IF(A503="","",IF(ISNUMBER(F503),F503-'Tableau de bord'!$F$5,""))</x:f>
      </x:c>
      <x:c r="O503" s="12" t="str">
        <x:f>IF(A503="","",IF(ISNUMBER(F503),IF(N503&lt;0,"Expiré",IF(N503&lt;='Paramètres'!$E$6,"À renouveler","À jour")),"À compléter"))</x:f>
      </x:c>
      <x:c r="P503" s="12" t="str">
        <x:f>IF(A503="","",IF(AND(ISNUMBER(F503),F503&gt;'Tableau de bord'!$F$5,G503="Oui",H503="Oui",I503="Oui",J503="Oui",K503="Oui"),1,0))</x:f>
      </x:c>
      <x:c r="Q503" s="9"/>
      <x:c r="R503" s="12" t="str">
        <x:f>IF(A503="","",IF(C503="","OTP manquant",IF(COUNTIFS($A$6:$A$505,A503,$C$6:$C$505,C503)&gt;1,"Doublon OTP","")))</x:f>
      </x:c>
    </x:row>
    <x:row r="504" ht="23" customHeight="1">
      <x:c r="A504" s="9"/>
      <x:c r="B504" s="9"/>
      <x:c r="C504" s="9"/>
      <x:c r="D504" s="9"/>
      <x:c r="E504" s="9"/>
      <x:c r="F504" s="11"/>
      <x:c r="G504" s="9"/>
      <x:c r="H504" s="9"/>
      <x:c r="I504" s="9"/>
      <x:c r="J504" s="9"/>
      <x:c r="K504" s="9"/>
      <x:c r="L504" s="9"/>
      <x:c r="M504" s="9"/>
      <x:c r="N504" s="12" t="str">
        <x:f>IF(A504="","",IF(ISNUMBER(F504),F504-'Tableau de bord'!$F$5,""))</x:f>
      </x:c>
      <x:c r="O504" s="12" t="str">
        <x:f>IF(A504="","",IF(ISNUMBER(F504),IF(N504&lt;0,"Expiré",IF(N504&lt;='Paramètres'!$E$6,"À renouveler","À jour")),"À compléter"))</x:f>
      </x:c>
      <x:c r="P504" s="12" t="str">
        <x:f>IF(A504="","",IF(AND(ISNUMBER(F504),F504&gt;'Tableau de bord'!$F$5,G504="Oui",H504="Oui",I504="Oui",J504="Oui",K504="Oui"),1,0))</x:f>
      </x:c>
      <x:c r="Q504" s="9"/>
      <x:c r="R504" s="12" t="str">
        <x:f>IF(A504="","",IF(C504="","OTP manquant",IF(COUNTIFS($A$6:$A$505,A504,$C$6:$C$505,C504)&gt;1,"Doublon OTP","")))</x:f>
      </x:c>
    </x:row>
    <x:row r="505" ht="23" customHeight="1">
      <x:c r="A505" s="9"/>
      <x:c r="B505" s="9"/>
      <x:c r="C505" s="9"/>
      <x:c r="D505" s="9"/>
      <x:c r="E505" s="9"/>
      <x:c r="F505" s="11"/>
      <x:c r="G505" s="9"/>
      <x:c r="H505" s="9"/>
      <x:c r="I505" s="9"/>
      <x:c r="J505" s="9"/>
      <x:c r="K505" s="9"/>
      <x:c r="L505" s="9"/>
      <x:c r="M505" s="9"/>
      <x:c r="N505" s="12" t="str">
        <x:f>IF(A505="","",IF(ISNUMBER(F505),F505-'Tableau de bord'!$F$5,""))</x:f>
      </x:c>
      <x:c r="O505" s="12" t="str">
        <x:f>IF(A505="","",IF(ISNUMBER(F505),IF(N505&lt;0,"Expiré",IF(N505&lt;='Paramètres'!$E$6,"À renouveler","À jour")),"À compléter"))</x:f>
      </x:c>
      <x:c r="P505" s="12" t="str">
        <x:f>IF(A505="","",IF(AND(ISNUMBER(F505),F505&gt;'Tableau de bord'!$F$5,G505="Oui",H505="Oui",I505="Oui",J505="Oui",K505="Oui"),1,0))</x:f>
      </x:c>
      <x:c r="Q505" s="9"/>
      <x:c r="R505" s="12" t="str">
        <x:f>IF(A505="","",IF(C505="","OTP manquant",IF(COUNTIFS($A$6:$A$505,A505,$C$6:$C$505,C505)&gt;1,"Doublon OTP","")))</x:f>
      </x:c>
    </x:row>
  </x:sheetData>
  <x:conditionalFormatting sqref="O6:O505">
    <x:cfRule type="containsText" dxfId="18" priority="1" operator="containsText" text="Retard"/>
    <x:cfRule type="containsText" dxfId="19" priority="2" operator="containsText" text="Expiré"/>
    <x:cfRule type="containsText" dxfId="20" priority="3" operator="containsText" text="À compléter"/>
    <x:cfRule type="containsText" dxfId="21" priority="4" operator="containsText" text="Incohérent"/>
    <x:cfRule type="containsText" dxfId="22" priority="5" operator="containsText" text="Doublon"/>
    <x:cfRule type="containsText" dxfId="23" priority="6" operator="containsText" text="À renouveler"/>
  </x:conditionalFormatting>
  <x:conditionalFormatting sqref="R6:R505">
    <x:cfRule type="containsText" dxfId="24" priority="7" operator="containsText" text="Retard"/>
    <x:cfRule type="containsText" dxfId="25" priority="8" operator="containsText" text="Expiré"/>
    <x:cfRule type="containsText" dxfId="26" priority="9" operator="containsText" text="À compléter"/>
    <x:cfRule type="containsText" dxfId="27" priority="10" operator="containsText" text="Incohérent"/>
    <x:cfRule type="containsText" dxfId="28" priority="11" operator="containsText" text="Doublon"/>
    <x:cfRule type="containsText" dxfId="29" priority="12" operator="containsText" text="À renouveler"/>
  </x:conditionalFormatting>
  <x:dataValidations count="7">
    <x:dataValidation type="list" sqref="G6:G505">
      <x:formula1>"Oui,Non,NC"</x:formula1>
    </x:dataValidation>
    <x:dataValidation type="list" sqref="H6:H505">
      <x:formula1>"Oui,Non,NC"</x:formula1>
    </x:dataValidation>
    <x:dataValidation type="list" sqref="I6:I505">
      <x:formula1>"Oui,Non,NC"</x:formula1>
    </x:dataValidation>
    <x:dataValidation type="list" sqref="J6:J505">
      <x:formula1>"Oui,Non,NC"</x:formula1>
    </x:dataValidation>
    <x:dataValidation type="list" sqref="K6:K505">
      <x:formula1>"Oui,Non,NC"</x:formula1>
    </x:dataValidation>
    <x:dataValidation type="list" sqref="L6:L505">
      <x:formula1>"Oui,Non,NC"</x:formula1>
    </x:dataValidation>
    <x:dataValidation type="list" sqref="A6:A505">
      <x:formula1>'Paramètres'!$A$6:$A$25</x:formula1>
    </x:dataValidation>
  </x:dataValidations>
  <x:pageMargins left="0.7" right="0.7" top="0.75" bottom="0.75" header="0.3" footer="0.3"/>
  <x:tableParts count="1">
    <x:tablePart xmlns:r="http://schemas.openxmlformats.org/officeDocument/2006/relationships" r:id="R819aeab4161a40fe"/>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17" hidden="0" customWidth="1"/>
    <x:col min="3" max="3" width="38" hidden="0" customWidth="1"/>
    <x:col min="4" max="4" width="28" hidden="0" customWidth="1"/>
    <x:col min="5" max="5" width="24" hidden="0" customWidth="1"/>
    <x:col min="6" max="6" width="18" hidden="0" customWidth="1"/>
    <x:col min="7" max="7" width="18" hidden="0" customWidth="1"/>
    <x:col min="8" max="8" width="60" hidden="0" customWidth="1"/>
    <x:col min="9" max="9" width="26" hidden="0" customWidth="1"/>
  </x:cols>
  <x:sheetData>
    <x:row r="1" ht="23" customHeight="1">
      <x:c r="A1" s="2"/>
      <x:c r="B1" s="2"/>
      <x:c r="C1" s="2"/>
      <x:c r="D1" s="2"/>
      <x:c r="E1" s="2"/>
      <x:c r="F1" s="2"/>
      <x:c r="G1" s="2"/>
      <x:c r="H1" s="2"/>
      <x:c r="I1" s="2"/>
    </x:row>
    <x:row r="2" ht="23" customHeight="1">
      <x:c r="A2" s="3" t="str">
        <x:v>Contrôles qualité</x:v>
      </x:c>
      <x:c r="B2" s="2"/>
      <x:c r="C2" s="2"/>
      <x:c r="D2" s="2"/>
      <x:c r="E2" s="2"/>
      <x:c r="F2" s="2"/>
      <x:c r="G2" s="2"/>
      <x:c r="H2" s="2"/>
      <x:c r="I2" s="2"/>
    </x:row>
    <x:row r="3" ht="23" customHeight="1">
      <x:c r="A3" s="4"/>
      <x:c r="B3" s="4"/>
      <x:c r="C3" s="4"/>
      <x:c r="D3" s="4"/>
      <x:c r="E3" s="4"/>
      <x:c r="F3" s="4"/>
      <x:c r="G3" s="4"/>
      <x:c r="H3" s="4"/>
      <x:c r="I3" s="4"/>
    </x:row>
    <x:row r="4" ht="23" customHeight="1">
      <x:c r="A4" s="2" t="str">
        <x:v>Source : Lille_TDB QSE.xlsm. Saisie jaune, calculs gris. 500 lignes extensibles. Filtrer Ville.</x:v>
      </x:c>
      <x:c r="B4" s="2"/>
      <x:c r="C4" s="2"/>
      <x:c r="D4" s="2"/>
      <x:c r="E4" s="2"/>
      <x:c r="F4" s="2"/>
      <x:c r="G4" s="2"/>
      <x:c r="H4" s="2"/>
      <x:c r="I4" s="2"/>
    </x:row>
    <x:row r="5" ht="38" customHeight="1">
      <x:c r="A5" s="8" t="str">
        <x:v>Ville</x:v>
      </x:c>
      <x:c r="B5" s="8" t="str">
        <x:v>ID contrôle</x:v>
      </x:c>
      <x:c r="C5" s="8" t="str">
        <x:v>Site</x:v>
      </x:c>
      <x:c r="D5" s="8" t="str">
        <x:v>Type</x:v>
      </x:c>
      <x:c r="E5" s="8" t="str">
        <x:v>Contrôleur</x:v>
      </x:c>
      <x:c r="F5" s="8" t="str">
        <x:v>Date réalisée</x:v>
      </x:c>
      <x:c r="G5" s="8" t="str">
        <x:v>Note (%)</x:v>
      </x:c>
      <x:c r="H5" s="8" t="str">
        <x:v>Source</x:v>
      </x:c>
      <x:c r="I5" s="8" t="str">
        <x:v>Contrôle saisie</x:v>
      </x:c>
    </x:row>
    <x:row r="6" ht="23" customHeight="1">
      <x:c r="A6" s="9" t="str">
        <x:v>Lille</x:v>
      </x:c>
      <x:c r="B6" s="9" t="str">
        <x:v>CQ-3</x:v>
      </x:c>
      <x:c r="C6" s="9" t="str">
        <x:v>AXA - ARMONIA</x:v>
      </x:c>
      <x:c r="D6" s="9" t="str">
        <x:v>Contrôle interne</x:v>
      </x:c>
      <x:c r="E6" s="9" t="str">
        <x:v>ELISABETH</x:v>
      </x:c>
      <x:c r="F6" s="11" t="n">
        <x:v>46231</x:v>
      </x:c>
      <x:c r="G6" s="10" t="n">
        <x:v>0.9451999999999999</x:v>
      </x:c>
      <x:c r="H6" s="9" t="str">
        <x:v>Indice qualité et nb contrôle!A3:F3</x:v>
      </x:c>
      <x:c r="I6" s="12" t="str">
        <x:f>IF(A6="","",IF(OR(B6="",C6="",F6="",NOT(ISNUMBER(G6))),"À compléter",IF(OR(G6&lt;0,G6&gt;1),"Incohérent",IF(COUNTIFS($A$6:$A$505,A6,$B$6:$B$505,B6)&gt;1,"Doublon ID",""))))</x:f>
      </x:c>
    </x:row>
    <x:row r="7" ht="23" customHeight="1">
      <x:c r="A7" s="9" t="str">
        <x:v>Lille</x:v>
      </x:c>
      <x:c r="B7" s="9" t="str">
        <x:v>CQ-4</x:v>
      </x:c>
      <x:c r="C7" s="9" t="str">
        <x:v>AXA - ARMONIA</x:v>
      </x:c>
      <x:c r="D7" s="9" t="str">
        <x:v>Contrôle interne</x:v>
      </x:c>
      <x:c r="E7" s="9" t="str">
        <x:v>ELISABETH</x:v>
      </x:c>
      <x:c r="F7" s="11" t="n">
        <x:v>46230</x:v>
      </x:c>
      <x:c r="G7" s="10" t="n">
        <x:v>0.9889</x:v>
      </x:c>
      <x:c r="H7" s="9" t="str">
        <x:v>Indice qualité et nb contrôle!A4:F4</x:v>
      </x:c>
      <x:c r="I7" s="12" t="str">
        <x:f>IF(A7="","",IF(OR(B7="",C7="",F7="",NOT(ISNUMBER(G7))),"À compléter",IF(OR(G7&lt;0,G7&gt;1),"Incohérent",IF(COUNTIFS($A$6:$A$505,A7,$B$6:$B$505,B7)&gt;1,"Doublon ID",""))))</x:f>
      </x:c>
    </x:row>
    <x:row r="8" ht="23" customHeight="1">
      <x:c r="A8" s="9" t="str">
        <x:v>Lille</x:v>
      </x:c>
      <x:c r="B8" s="9" t="str">
        <x:v>CQ-5</x:v>
      </x:c>
      <x:c r="C8" s="9" t="str">
        <x:v>AXA - ARMONIA</x:v>
      </x:c>
      <x:c r="D8" s="9" t="str">
        <x:v>Contrôle interne</x:v>
      </x:c>
      <x:c r="E8" s="9" t="str">
        <x:v>ELISABETH</x:v>
      </x:c>
      <x:c r="F8" s="11" t="n">
        <x:v>46232</x:v>
      </x:c>
      <x:c r="G8" s="10" t="n">
        <x:v>0.9623999999999999</x:v>
      </x:c>
      <x:c r="H8" s="9" t="str">
        <x:v>Indice qualité et nb contrôle!A5:F5</x:v>
      </x:c>
      <x:c r="I8" s="12" t="str">
        <x:f>IF(A8="","",IF(OR(B8="",C8="",F8="",NOT(ISNUMBER(G8))),"À compléter",IF(OR(G8&lt;0,G8&gt;1),"Incohérent",IF(COUNTIFS($A$6:$A$505,A8,$B$6:$B$505,B8)&gt;1,"Doublon ID",""))))</x:f>
      </x:c>
    </x:row>
    <x:row r="9" ht="23" customHeight="1">
      <x:c r="A9" s="9" t="str">
        <x:v>Lille</x:v>
      </x:c>
      <x:c r="B9" s="9" t="str">
        <x:v>CQ-6</x:v>
      </x:c>
      <x:c r="C9" s="9" t="str">
        <x:v>AXA - ARMONIA</x:v>
      </x:c>
      <x:c r="D9" s="9" t="str">
        <x:v>Contrôle interne</x:v>
      </x:c>
      <x:c r="E9" s="9" t="str">
        <x:v>ELISABETH</x:v>
      </x:c>
      <x:c r="F9" s="11" t="n">
        <x:v>46204</x:v>
      </x:c>
      <x:c r="G9" s="10" t="n">
        <x:v>0.9804</x:v>
      </x:c>
      <x:c r="H9" s="9" t="str">
        <x:v>Indice qualité et nb contrôle!A6:F6</x:v>
      </x:c>
      <x:c r="I9" s="12" t="str">
        <x:f>IF(A9="","",IF(OR(B9="",C9="",F9="",NOT(ISNUMBER(G9))),"À compléter",IF(OR(G9&lt;0,G9&gt;1),"Incohérent",IF(COUNTIFS($A$6:$A$505,A9,$B$6:$B$505,B9)&gt;1,"Doublon ID",""))))</x:f>
      </x:c>
    </x:row>
    <x:row r="10" ht="23" customHeight="1">
      <x:c r="A10" s="9" t="str">
        <x:v>Lille</x:v>
      </x:c>
      <x:c r="B10" s="9" t="str">
        <x:v>CQ-7</x:v>
      </x:c>
      <x:c r="C10" s="9" t="str">
        <x:v>LFB LILLE</x:v>
      </x:c>
      <x:c r="D10" s="9" t="str">
        <x:v>Contrôle contradictoire</x:v>
      </x:c>
      <x:c r="E10" s="9" t="str">
        <x:v>COLOMBIER</x:v>
      </x:c>
      <x:c r="F10" s="11" t="n">
        <x:v>46204</x:v>
      </x:c>
      <x:c r="G10" s="10" t="n">
        <x:v>1</x:v>
      </x:c>
      <x:c r="H10" s="9" t="str">
        <x:v>Indice qualité et nb contrôle!A7:F7</x:v>
      </x:c>
      <x:c r="I10" s="12" t="str">
        <x:f>IF(A10="","",IF(OR(B10="",C10="",F10="",NOT(ISNUMBER(G10))),"À compléter",IF(OR(G10&lt;0,G10&gt;1),"Incohérent",IF(COUNTIFS($A$6:$A$505,A10,$B$6:$B$505,B10)&gt;1,"Doublon ID",""))))</x:f>
      </x:c>
    </x:row>
    <x:row r="11" ht="23" customHeight="1">
      <x:c r="A11" s="9" t="str">
        <x:v>Lille</x:v>
      </x:c>
      <x:c r="B11" s="9" t="str">
        <x:v>CQ-8</x:v>
      </x:c>
      <x:c r="C11" s="9" t="str">
        <x:v>LFB LILLE</x:v>
      </x:c>
      <x:c r="D11" s="9" t="str">
        <x:v>Contrôle contradictoire</x:v>
      </x:c>
      <x:c r="E11" s="9" t="str">
        <x:v>COLOMBIER</x:v>
      </x:c>
      <x:c r="F11" s="11" t="n">
        <x:v>46204</x:v>
      </x:c>
      <x:c r="G11" s="10" t="n">
        <x:v>1</x:v>
      </x:c>
      <x:c r="H11" s="9" t="str">
        <x:v>Indice qualité et nb contrôle!A8:F8</x:v>
      </x:c>
      <x:c r="I11" s="12" t="str">
        <x:f>IF(A11="","",IF(OR(B11="",C11="",F11="",NOT(ISNUMBER(G11))),"À compléter",IF(OR(G11&lt;0,G11&gt;1),"Incohérent",IF(COUNTIFS($A$6:$A$505,A11,$B$6:$B$505,B11)&gt;1,"Doublon ID",""))))</x:f>
      </x:c>
    </x:row>
    <x:row r="12" ht="23" customHeight="1">
      <x:c r="A12" s="9" t="str">
        <x:v>Lille</x:v>
      </x:c>
      <x:c r="B12" s="9" t="str">
        <x:v>CQ-9</x:v>
      </x:c>
      <x:c r="C12" s="9" t="str">
        <x:v>LFB ARRAS</x:v>
      </x:c>
      <x:c r="D12" s="9" t="str">
        <x:v>Contrôle contradictoire</x:v>
      </x:c>
      <x:c r="E12" s="9" t="str">
        <x:v>POPPE</x:v>
      </x:c>
      <x:c r="F12" s="11" t="n">
        <x:v>46204</x:v>
      </x:c>
      <x:c r="G12" s="10" t="n">
        <x:v>0.9842</x:v>
      </x:c>
      <x:c r="H12" s="9" t="str">
        <x:v>Indice qualité et nb contrôle!A9:F9</x:v>
      </x:c>
      <x:c r="I12" s="12" t="str">
        <x:f>IF(A12="","",IF(OR(B12="",C12="",F12="",NOT(ISNUMBER(G12))),"À compléter",IF(OR(G12&lt;0,G12&gt;1),"Incohérent",IF(COUNTIFS($A$6:$A$505,A12,$B$6:$B$505,B12)&gt;1,"Doublon ID",""))))</x:f>
      </x:c>
    </x:row>
    <x:row r="13" ht="23" customHeight="1">
      <x:c r="A13" s="9" t="str">
        <x:v>Lille</x:v>
      </x:c>
      <x:c r="B13" s="9" t="str">
        <x:v>CQ-10</x:v>
      </x:c>
      <x:c r="C13" s="9" t="str">
        <x:v>ID LOGISTICS</x:v>
      </x:c>
      <x:c r="D13" s="9" t="str">
        <x:v>Contrôle interne</x:v>
      </x:c>
      <x:c r="E13" s="9" t="str">
        <x:v>Raeckelboom</x:v>
      </x:c>
      <x:c r="F13" s="11" t="n">
        <x:v>46204</x:v>
      </x:c>
      <x:c r="G13" s="10" t="n">
        <x:v>0.9231</x:v>
      </x:c>
      <x:c r="H13" s="9" t="str">
        <x:v>Indice qualité et nb contrôle!A10:F10</x:v>
      </x:c>
      <x:c r="I13" s="12" t="str">
        <x:f>IF(A13="","",IF(OR(B13="",C13="",F13="",NOT(ISNUMBER(G13))),"À compléter",IF(OR(G13&lt;0,G13&gt;1),"Incohérent",IF(COUNTIFS($A$6:$A$505,A13,$B$6:$B$505,B13)&gt;1,"Doublon ID",""))))</x:f>
      </x:c>
    </x:row>
    <x:row r="14" ht="23" customHeight="1">
      <x:c r="A14" s="9" t="str">
        <x:v>Lille</x:v>
      </x:c>
      <x:c r="B14" s="9" t="str">
        <x:v>CQ-11</x:v>
      </x:c>
      <x:c r="C14" s="9" t="str">
        <x:v>SECURITAS</x:v>
      </x:c>
      <x:c r="D14" s="9" t="str">
        <x:v>Contrôle interne</x:v>
      </x:c>
      <x:c r="E14" s="9" t="str">
        <x:v>ELISABETH</x:v>
      </x:c>
      <x:c r="F14" s="11" t="n">
        <x:v>46205</x:v>
      </x:c>
      <x:c r="G14" s="10" t="n">
        <x:v>0.9778</x:v>
      </x:c>
      <x:c r="H14" s="9" t="str">
        <x:v>Indice qualité et nb contrôle!A11:F11</x:v>
      </x:c>
      <x:c r="I14" s="12" t="str">
        <x:f>IF(A14="","",IF(OR(B14="",C14="",F14="",NOT(ISNUMBER(G14))),"À compléter",IF(OR(G14&lt;0,G14&gt;1),"Incohérent",IF(COUNTIFS($A$6:$A$505,A14,$B$6:$B$505,B14)&gt;1,"Doublon ID",""))))</x:f>
      </x:c>
    </x:row>
    <x:row r="15" ht="23" customHeight="1">
      <x:c r="A15" s="9" t="str">
        <x:v>Lille</x:v>
      </x:c>
      <x:c r="B15" s="9" t="str">
        <x:v>CQ-12</x:v>
      </x:c>
      <x:c r="C15" s="9" t="str">
        <x:v>LFB ARRAS</x:v>
      </x:c>
      <x:c r="D15" s="9" t="str">
        <x:v>Contrôle contradictoire</x:v>
      </x:c>
      <x:c r="E15" s="9" t="str">
        <x:v>POPPE</x:v>
      </x:c>
      <x:c r="F15" s="11" t="n">
        <x:v>46205</x:v>
      </x:c>
      <x:c r="G15" s="10" t="n">
        <x:v>1</x:v>
      </x:c>
      <x:c r="H15" s="9" t="str">
        <x:v>Indice qualité et nb contrôle!A12:F12</x:v>
      </x:c>
      <x:c r="I15" s="12" t="str">
        <x:f>IF(A15="","",IF(OR(B15="",C15="",F15="",NOT(ISNUMBER(G15))),"À compléter",IF(OR(G15&lt;0,G15&gt;1),"Incohérent",IF(COUNTIFS($A$6:$A$505,A15,$B$6:$B$505,B15)&gt;1,"Doublon ID",""))))</x:f>
      </x:c>
    </x:row>
    <x:row r="16" ht="23" customHeight="1">
      <x:c r="A16" s="9" t="str">
        <x:v>Lille</x:v>
      </x:c>
      <x:c r="B16" s="9" t="str">
        <x:v>CQ-13</x:v>
      </x:c>
      <x:c r="C16" s="9" t="str">
        <x:v>ID LOGISTICS</x:v>
      </x:c>
      <x:c r="D16" s="9" t="str">
        <x:v>Contrôle interne</x:v>
      </x:c>
      <x:c r="E16" s="9" t="str">
        <x:v>Raeckelboom</x:v>
      </x:c>
      <x:c r="F16" s="11" t="n">
        <x:v>46210</x:v>
      </x:c>
      <x:c r="G16" s="10" t="n">
        <x:v>0.9</x:v>
      </x:c>
      <x:c r="H16" s="9" t="str">
        <x:v>Indice qualité et nb contrôle!A13:F13</x:v>
      </x:c>
      <x:c r="I16" s="12" t="str">
        <x:f>IF(A16="","",IF(OR(B16="",C16="",F16="",NOT(ISNUMBER(G16))),"À compléter",IF(OR(G16&lt;0,G16&gt;1),"Incohérent",IF(COUNTIFS($A$6:$A$505,A16,$B$6:$B$505,B16)&gt;1,"Doublon ID",""))))</x:f>
      </x:c>
    </x:row>
    <x:row r="17" ht="23" customHeight="1">
      <x:c r="A17" s="9" t="str">
        <x:v>Lille</x:v>
      </x:c>
      <x:c r="B17" s="9" t="str">
        <x:v>CQ-14</x:v>
      </x:c>
      <x:c r="C17" s="9" t="str">
        <x:v>EFS</x:v>
      </x:c>
      <x:c r="D17" s="9" t="str">
        <x:v>Contrôle externe</x:v>
      </x:c>
      <x:c r="E17" s="9" t="str">
        <x:v>METRO</x:v>
      </x:c>
      <x:c r="F17" s="11" t="n">
        <x:v>46212</x:v>
      </x:c>
      <x:c r="G17" s="10" t="n">
        <x:v>0.9601000000000001</x:v>
      </x:c>
      <x:c r="H17" s="9" t="str">
        <x:v>Indice qualité et nb contrôle!A14:F14</x:v>
      </x:c>
      <x:c r="I17" s="12" t="str">
        <x:f>IF(A17="","",IF(OR(B17="",C17="",F17="",NOT(ISNUMBER(G17))),"À compléter",IF(OR(G17&lt;0,G17&gt;1),"Incohérent",IF(COUNTIFS($A$6:$A$505,A17,$B$6:$B$505,B17)&gt;1,"Doublon ID",""))))</x:f>
      </x:c>
    </x:row>
    <x:row r="18" ht="23" customHeight="1">
      <x:c r="A18" s="9" t="str">
        <x:v>Lille</x:v>
      </x:c>
      <x:c r="B18" s="9" t="str">
        <x:v>CQ-15</x:v>
      </x:c>
      <x:c r="C18" s="9" t="str">
        <x:v>LFB ARRAS</x:v>
      </x:c>
      <x:c r="D18" s="9" t="str">
        <x:v>Contrôle contradictoire</x:v>
      </x:c>
      <x:c r="E18" s="9" t="str">
        <x:v>POPPE</x:v>
      </x:c>
      <x:c r="F18" s="11" t="n">
        <x:v>46212</x:v>
      </x:c>
      <x:c r="G18" s="10" t="n">
        <x:v>0.9605</x:v>
      </x:c>
      <x:c r="H18" s="9" t="str">
        <x:v>Indice qualité et nb contrôle!A15:F15</x:v>
      </x:c>
      <x:c r="I18" s="12" t="str">
        <x:f>IF(A18="","",IF(OR(B18="",C18="",F18="",NOT(ISNUMBER(G18))),"À compléter",IF(OR(G18&lt;0,G18&gt;1),"Incohérent",IF(COUNTIFS($A$6:$A$505,A18,$B$6:$B$505,B18)&gt;1,"Doublon ID",""))))</x:f>
      </x:c>
    </x:row>
    <x:row r="19" ht="23" customHeight="1">
      <x:c r="A19" s="9" t="str">
        <x:v>Lille</x:v>
      </x:c>
      <x:c r="B19" s="9" t="str">
        <x:v>CQ-16</x:v>
      </x:c>
      <x:c r="C19" s="9" t="str">
        <x:v>LFB LILLE</x:v>
      </x:c>
      <x:c r="D19" s="9" t="str">
        <x:v>Contrôle contradictoire</x:v>
      </x:c>
      <x:c r="E19" s="9" t="str">
        <x:v>COLOMBIER</x:v>
      </x:c>
      <x:c r="F19" s="11" t="n">
        <x:v>46206</x:v>
      </x:c>
      <x:c r="G19" s="10" t="n">
        <x:v>1</x:v>
      </x:c>
      <x:c r="H19" s="9" t="str">
        <x:v>Indice qualité et nb contrôle!A16:F16</x:v>
      </x:c>
      <x:c r="I19" s="12" t="str">
        <x:f>IF(A19="","",IF(OR(B19="",C19="",F19="",NOT(ISNUMBER(G19))),"À compléter",IF(OR(G19&lt;0,G19&gt;1),"Incohérent",IF(COUNTIFS($A$6:$A$505,A19,$B$6:$B$505,B19)&gt;1,"Doublon ID",""))))</x:f>
      </x:c>
    </x:row>
    <x:row r="20" ht="23" customHeight="1">
      <x:c r="A20" s="9" t="str">
        <x:v>Lille</x:v>
      </x:c>
      <x:c r="B20" s="9" t="str">
        <x:v>CQ-17</x:v>
      </x:c>
      <x:c r="C20" s="9" t="str">
        <x:v>LFB LILLE</x:v>
      </x:c>
      <x:c r="D20" s="9" t="str">
        <x:v>Contrôle contradictoire</x:v>
      </x:c>
      <x:c r="E20" s="9" t="str">
        <x:v>COLOMBIER</x:v>
      </x:c>
      <x:c r="F20" s="11" t="n">
        <x:v>46210</x:v>
      </x:c>
      <x:c r="G20" s="10" t="n">
        <x:v>1</x:v>
      </x:c>
      <x:c r="H20" s="9" t="str">
        <x:v>Indice qualité et nb contrôle!A17:F17</x:v>
      </x:c>
      <x:c r="I20" s="12" t="str">
        <x:f>IF(A20="","",IF(OR(B20="",C20="",F20="",NOT(ISNUMBER(G20))),"À compléter",IF(OR(G20&lt;0,G20&gt;1),"Incohérent",IF(COUNTIFS($A$6:$A$505,A20,$B$6:$B$505,B20)&gt;1,"Doublon ID",""))))</x:f>
      </x:c>
    </x:row>
    <x:row r="21" ht="23" customHeight="1">
      <x:c r="A21" s="9" t="str">
        <x:v>Lille</x:v>
      </x:c>
      <x:c r="B21" s="9" t="str">
        <x:v>CQ-18</x:v>
      </x:c>
      <x:c r="C21" s="9" t="str">
        <x:v>LFB LILLE</x:v>
      </x:c>
      <x:c r="D21" s="9" t="str">
        <x:v>Contrôle contradictoire</x:v>
      </x:c>
      <x:c r="E21" s="9" t="str">
        <x:v>COLOMBIER</x:v>
      </x:c>
      <x:c r="F21" s="11" t="n">
        <x:v>46211</x:v>
      </x:c>
      <x:c r="G21" s="10" t="n">
        <x:v>0.9376000000000001</x:v>
      </x:c>
      <x:c r="H21" s="9" t="str">
        <x:v>Indice qualité et nb contrôle!A18:F18</x:v>
      </x:c>
      <x:c r="I21" s="12" t="str">
        <x:f>IF(A21="","",IF(OR(B21="",C21="",F21="",NOT(ISNUMBER(G21))),"À compléter",IF(OR(G21&lt;0,G21&gt;1),"Incohérent",IF(COUNTIFS($A$6:$A$505,A21,$B$6:$B$505,B21)&gt;1,"Doublon ID",""))))</x:f>
      </x:c>
    </x:row>
    <x:row r="22" ht="23" customHeight="1">
      <x:c r="A22" s="9" t="str">
        <x:v>Lille</x:v>
      </x:c>
      <x:c r="B22" s="9" t="str">
        <x:v>CQ-19</x:v>
      </x:c>
      <x:c r="C22" s="9" t="str">
        <x:v>LFB LILLE</x:v>
      </x:c>
      <x:c r="D22" s="9" t="str">
        <x:v>Contrôle contradictoire</x:v>
      </x:c>
      <x:c r="E22" s="9" t="str">
        <x:v>COLOMBIER</x:v>
      </x:c>
      <x:c r="F22" s="11" t="n">
        <x:v>46211</x:v>
      </x:c>
      <x:c r="G22" s="10" t="n">
        <x:v>0.9987999999999999</x:v>
      </x:c>
      <x:c r="H22" s="9" t="str">
        <x:v>Indice qualité et nb contrôle!A19:F19</x:v>
      </x:c>
      <x:c r="I22" s="12" t="str">
        <x:f>IF(A22="","",IF(OR(B22="",C22="",F22="",NOT(ISNUMBER(G22))),"À compléter",IF(OR(G22&lt;0,G22&gt;1),"Incohérent",IF(COUNTIFS($A$6:$A$505,A22,$B$6:$B$505,B22)&gt;1,"Doublon ID",""))))</x:f>
      </x:c>
    </x:row>
    <x:row r="23" ht="23" customHeight="1">
      <x:c r="A23" s="9" t="str">
        <x:v>Lille</x:v>
      </x:c>
      <x:c r="B23" s="9" t="str">
        <x:v>CQ-20</x:v>
      </x:c>
      <x:c r="C23" s="9" t="str">
        <x:v>LFB LILLE</x:v>
      </x:c>
      <x:c r="D23" s="9" t="str">
        <x:v>Contrôle contradictoire</x:v>
      </x:c>
      <x:c r="E23" s="9" t="str">
        <x:v>COLOMBIER</x:v>
      </x:c>
      <x:c r="F23" s="11" t="n">
        <x:v>46211</x:v>
      </x:c>
      <x:c r="G23" s="10" t="n">
        <x:v>1</x:v>
      </x:c>
      <x:c r="H23" s="9" t="str">
        <x:v>Indice qualité et nb contrôle!A20:F20</x:v>
      </x:c>
      <x:c r="I23" s="12" t="str">
        <x:f>IF(A23="","",IF(OR(B23="",C23="",F23="",NOT(ISNUMBER(G23))),"À compléter",IF(OR(G23&lt;0,G23&gt;1),"Incohérent",IF(COUNTIFS($A$6:$A$505,A23,$B$6:$B$505,B23)&gt;1,"Doublon ID",""))))</x:f>
      </x:c>
    </x:row>
    <x:row r="24" ht="23" customHeight="1">
      <x:c r="A24" s="9" t="str">
        <x:v>Lille</x:v>
      </x:c>
      <x:c r="B24" s="9" t="str">
        <x:v>CQ-21</x:v>
      </x:c>
      <x:c r="C24" s="9" t="str">
        <x:v>LFB LILLE</x:v>
      </x:c>
      <x:c r="D24" s="9" t="str">
        <x:v>Contrôle contradictoire</x:v>
      </x:c>
      <x:c r="E24" s="9" t="str">
        <x:v>COLOMBIER</x:v>
      </x:c>
      <x:c r="F24" s="11" t="n">
        <x:v>46212</x:v>
      </x:c>
      <x:c r="G24" s="10" t="n">
        <x:v>0.9754999999999999</x:v>
      </x:c>
      <x:c r="H24" s="9" t="str">
        <x:v>Indice qualité et nb contrôle!A21:F21</x:v>
      </x:c>
      <x:c r="I24" s="12" t="str">
        <x:f>IF(A24="","",IF(OR(B24="",C24="",F24="",NOT(ISNUMBER(G24))),"À compléter",IF(OR(G24&lt;0,G24&gt;1),"Incohérent",IF(COUNTIFS($A$6:$A$505,A24,$B$6:$B$505,B24)&gt;1,"Doublon ID",""))))</x:f>
      </x:c>
    </x:row>
    <x:row r="25" ht="23" customHeight="1">
      <x:c r="A25" s="9" t="str">
        <x:v>Lille</x:v>
      </x:c>
      <x:c r="B25" s="9" t="str">
        <x:v>CQ-22</x:v>
      </x:c>
      <x:c r="C25" s="9" t="str">
        <x:v>ID LOGISTICS SANTES</x:v>
      </x:c>
      <x:c r="D25" s="9" t="str">
        <x:v>Contrôle interne</x:v>
      </x:c>
      <x:c r="E25" s="9" t="str">
        <x:v>ELISABETH</x:v>
      </x:c>
      <x:c r="F25" s="11" t="n">
        <x:v>46212</x:v>
      </x:c>
      <x:c r="G25" s="10" t="n">
        <x:v>0.9521</x:v>
      </x:c>
      <x:c r="H25" s="9" t="str">
        <x:v>Indice qualité et nb contrôle!A22:F22</x:v>
      </x:c>
      <x:c r="I25" s="12" t="str">
        <x:f>IF(A25="","",IF(OR(B25="",C25="",F25="",NOT(ISNUMBER(G25))),"À compléter",IF(OR(G25&lt;0,G25&gt;1),"Incohérent",IF(COUNTIFS($A$6:$A$505,A25,$B$6:$B$505,B25)&gt;1,"Doublon ID",""))))</x:f>
      </x:c>
    </x:row>
    <x:row r="26" ht="23" customHeight="1">
      <x:c r="A26" s="9" t="str">
        <x:v>Lille</x:v>
      </x:c>
      <x:c r="B26" s="9" t="str">
        <x:v>CQ-23</x:v>
      </x:c>
      <x:c r="C26" s="9" t="str">
        <x:v>EFS</x:v>
      </x:c>
      <x:c r="D26" s="9" t="str">
        <x:v>Contrôle contradictoire</x:v>
      </x:c>
      <x:c r="E26" s="9" t="str">
        <x:v>METRO</x:v>
      </x:c>
      <x:c r="F26" s="11" t="n">
        <x:v>46216</x:v>
      </x:c>
      <x:c r="G26" s="10" t="n">
        <x:v>0.9523999999999999</x:v>
      </x:c>
      <x:c r="H26" s="9" t="str">
        <x:v>Indice qualité et nb contrôle!A23:F23</x:v>
      </x:c>
      <x:c r="I26" s="12" t="str">
        <x:f>IF(A26="","",IF(OR(B26="",C26="",F26="",NOT(ISNUMBER(G26))),"À compléter",IF(OR(G26&lt;0,G26&gt;1),"Incohérent",IF(COUNTIFS($A$6:$A$505,A26,$B$6:$B$505,B26)&gt;1,"Doublon ID",""))))</x:f>
      </x:c>
    </x:row>
    <x:row r="27" ht="23" customHeight="1">
      <x:c r="A27" s="9" t="str">
        <x:v>Lille</x:v>
      </x:c>
      <x:c r="B27" s="9" t="str">
        <x:v>CQ-24</x:v>
      </x:c>
      <x:c r="C27" s="9" t="str">
        <x:v>ID LOGISTICS</x:v>
      </x:c>
      <x:c r="D27" s="9" t="str">
        <x:v>Contrôle interne</x:v>
      </x:c>
      <x:c r="E27" s="9" t="str">
        <x:v>Raeckelboom</x:v>
      </x:c>
      <x:c r="F27" s="11" t="n">
        <x:v>46218</x:v>
      </x:c>
      <x:c r="G27" s="10" t="n">
        <x:v>0.9717</x:v>
      </x:c>
      <x:c r="H27" s="9" t="str">
        <x:v>Indice qualité et nb contrôle!A24:F24</x:v>
      </x:c>
      <x:c r="I27" s="12" t="str">
        <x:f>IF(A27="","",IF(OR(B27="",C27="",F27="",NOT(ISNUMBER(G27))),"À compléter",IF(OR(G27&lt;0,G27&gt;1),"Incohérent",IF(COUNTIFS($A$6:$A$505,A27,$B$6:$B$505,B27)&gt;1,"Doublon ID",""))))</x:f>
      </x:c>
    </x:row>
    <x:row r="28" ht="23" customHeight="1">
      <x:c r="A28" s="9" t="str">
        <x:v>Lille</x:v>
      </x:c>
      <x:c r="B28" s="9" t="str">
        <x:v>CQ-25</x:v>
      </x:c>
      <x:c r="C28" s="9" t="str">
        <x:v>LES FURETS DU NORD</x:v>
      </x:c>
      <x:c r="D28" s="9" t="str">
        <x:v>Contrôle interne</x:v>
      </x:c>
      <x:c r="E28" s="9" t="str">
        <x:v>Raeckelboom</x:v>
      </x:c>
      <x:c r="F28" s="11" t="n">
        <x:v>46218</x:v>
      </x:c>
      <x:c r="G28" s="10" t="n">
        <x:v>0.9712999999999999</x:v>
      </x:c>
      <x:c r="H28" s="9" t="str">
        <x:v>Indice qualité et nb contrôle!A25:F25</x:v>
      </x:c>
      <x:c r="I28" s="12" t="str">
        <x:f>IF(A28="","",IF(OR(B28="",C28="",F28="",NOT(ISNUMBER(G28))),"À compléter",IF(OR(G28&lt;0,G28&gt;1),"Incohérent",IF(COUNTIFS($A$6:$A$505,A28,$B$6:$B$505,B28)&gt;1,"Doublon ID",""))))</x:f>
      </x:c>
    </x:row>
    <x:row r="29" ht="23" customHeight="1">
      <x:c r="A29" s="9" t="str">
        <x:v>Lille</x:v>
      </x:c>
      <x:c r="B29" s="9" t="str">
        <x:v>CQ-26</x:v>
      </x:c>
      <x:c r="C29" s="9" t="str">
        <x:v>LES FURETS DU NORD</x:v>
      </x:c>
      <x:c r="D29" s="9" t="str">
        <x:v>Contrôle interne</x:v>
      </x:c>
      <x:c r="E29" s="9" t="str">
        <x:v>Raeckelboom</x:v>
      </x:c>
      <x:c r="F29" s="11" t="n">
        <x:v>46218</x:v>
      </x:c>
      <x:c r="G29" s="10" t="n">
        <x:v>0.9863</x:v>
      </x:c>
      <x:c r="H29" s="9" t="str">
        <x:v>Indice qualité et nb contrôle!A26:F26</x:v>
      </x:c>
      <x:c r="I29" s="12" t="str">
        <x:f>IF(A29="","",IF(OR(B29="",C29="",F29="",NOT(ISNUMBER(G29))),"À compléter",IF(OR(G29&lt;0,G29&gt;1),"Incohérent",IF(COUNTIFS($A$6:$A$505,A29,$B$6:$B$505,B29)&gt;1,"Doublon ID",""))))</x:f>
      </x:c>
    </x:row>
    <x:row r="30" ht="23" customHeight="1">
      <x:c r="A30" s="9" t="str">
        <x:v>Lille</x:v>
      </x:c>
      <x:c r="B30" s="9" t="str">
        <x:v>CQ-27</x:v>
      </x:c>
      <x:c r="C30" s="9" t="str">
        <x:v>LFB ARRAS</x:v>
      </x:c>
      <x:c r="D30" s="9" t="str">
        <x:v>Auto-contrôle</x:v>
      </x:c>
      <x:c r="E30" s="9" t="str">
        <x:v>POPPE</x:v>
      </x:c>
      <x:c r="F30" s="11" t="n">
        <x:v>46219</x:v>
      </x:c>
      <x:c r="G30" s="10" t="n">
        <x:v>0.5</x:v>
      </x:c>
      <x:c r="H30" s="9" t="str">
        <x:v>Indice qualité et nb contrôle!A27:F27</x:v>
      </x:c>
      <x:c r="I30" s="12" t="str">
        <x:f>IF(A30="","",IF(OR(B30="",C30="",F30="",NOT(ISNUMBER(G30))),"À compléter",IF(OR(G30&lt;0,G30&gt;1),"Incohérent",IF(COUNTIFS($A$6:$A$505,A30,$B$6:$B$505,B30)&gt;1,"Doublon ID",""))))</x:f>
      </x:c>
    </x:row>
    <x:row r="31" ht="23" customHeight="1">
      <x:c r="A31" s="9" t="str">
        <x:v>Lille</x:v>
      </x:c>
      <x:c r="B31" s="9" t="str">
        <x:v>CQ-28</x:v>
      </x:c>
      <x:c r="C31" s="9" t="str">
        <x:v>LFB ARRAS</x:v>
      </x:c>
      <x:c r="D31" s="9" t="str">
        <x:v>Contrôle contradictoire</x:v>
      </x:c>
      <x:c r="E31" s="9" t="str">
        <x:v>POPPE</x:v>
      </x:c>
      <x:c r="F31" s="11" t="n">
        <x:v>46219</x:v>
      </x:c>
      <x:c r="G31" s="10" t="n">
        <x:v>0.96</x:v>
      </x:c>
      <x:c r="H31" s="9" t="str">
        <x:v>Indice qualité et nb contrôle!A28:F28</x:v>
      </x:c>
      <x:c r="I31" s="12" t="str">
        <x:f>IF(A31="","",IF(OR(B31="",C31="",F31="",NOT(ISNUMBER(G31))),"À compléter",IF(OR(G31&lt;0,G31&gt;1),"Incohérent",IF(COUNTIFS($A$6:$A$505,A31,$B$6:$B$505,B31)&gt;1,"Doublon ID",""))))</x:f>
      </x:c>
    </x:row>
    <x:row r="32" ht="23" customHeight="1">
      <x:c r="A32" s="9" t="str">
        <x:v>Lille</x:v>
      </x:c>
      <x:c r="B32" s="9" t="str">
        <x:v>CQ-29</x:v>
      </x:c>
      <x:c r="C32" s="9" t="str">
        <x:v>EFS</x:v>
      </x:c>
      <x:c r="D32" s="9" t="str">
        <x:v>Contrôle contradictoire</x:v>
      </x:c>
      <x:c r="E32" s="9" t="str">
        <x:v>METRO</x:v>
      </x:c>
      <x:c r="F32" s="11" t="n">
        <x:v>46220</x:v>
      </x:c>
      <x:c r="G32" s="10" t="n">
        <x:v>0.7863</x:v>
      </x:c>
      <x:c r="H32" s="9" t="str">
        <x:v>Indice qualité et nb contrôle!A29:F29</x:v>
      </x:c>
      <x:c r="I32" s="12" t="str">
        <x:f>IF(A32="","",IF(OR(B32="",C32="",F32="",NOT(ISNUMBER(G32))),"À compléter",IF(OR(G32&lt;0,G32&gt;1),"Incohérent",IF(COUNTIFS($A$6:$A$505,A32,$B$6:$B$505,B32)&gt;1,"Doublon ID",""))))</x:f>
      </x:c>
    </x:row>
    <x:row r="33" ht="23" customHeight="1">
      <x:c r="A33" s="9" t="str">
        <x:v>Lille</x:v>
      </x:c>
      <x:c r="B33" s="9" t="str">
        <x:v>CQ-30</x:v>
      </x:c>
      <x:c r="C33" s="9" t="str">
        <x:v>EFS</x:v>
      </x:c>
      <x:c r="D33" s="9" t="str">
        <x:v>Contrôle contradictoire</x:v>
      </x:c>
      <x:c r="E33" s="9" t="str">
        <x:v>METRO</x:v>
      </x:c>
      <x:c r="F33" s="11" t="n">
        <x:v>46224</x:v>
      </x:c>
      <x:c r="G33" s="10" t="n">
        <x:v>0.9405</x:v>
      </x:c>
      <x:c r="H33" s="9" t="str">
        <x:v>Indice qualité et nb contrôle!A30:F30</x:v>
      </x:c>
      <x:c r="I33" s="12" t="str">
        <x:f>IF(A33="","",IF(OR(B33="",C33="",F33="",NOT(ISNUMBER(G33))),"À compléter",IF(OR(G33&lt;0,G33&gt;1),"Incohérent",IF(COUNTIFS($A$6:$A$505,A33,$B$6:$B$505,B33)&gt;1,"Doublon ID",""))))</x:f>
      </x:c>
    </x:row>
    <x:row r="34" ht="23" customHeight="1">
      <x:c r="A34" s="9" t="str">
        <x:v>Lille</x:v>
      </x:c>
      <x:c r="B34" s="9" t="str">
        <x:v>CQ-31</x:v>
      </x:c>
      <x:c r="C34" s="9" t="str">
        <x:v>EFS</x:v>
      </x:c>
      <x:c r="D34" s="9" t="str">
        <x:v>Contrôle contradictoire</x:v>
      </x:c>
      <x:c r="E34" s="9" t="str">
        <x:v>METRO</x:v>
      </x:c>
      <x:c r="F34" s="11" t="n">
        <x:v>46224</x:v>
      </x:c>
      <x:c r="G34" s="10" t="n">
        <x:v>0.9531000000000001</x:v>
      </x:c>
      <x:c r="H34" s="9" t="str">
        <x:v>Indice qualité et nb contrôle!A31:F31</x:v>
      </x:c>
      <x:c r="I34" s="12" t="str">
        <x:f>IF(A34="","",IF(OR(B34="",C34="",F34="",NOT(ISNUMBER(G34))),"À compléter",IF(OR(G34&lt;0,G34&gt;1),"Incohérent",IF(COUNTIFS($A$6:$A$505,A34,$B$6:$B$505,B34)&gt;1,"Doublon ID",""))))</x:f>
      </x:c>
    </x:row>
    <x:row r="35" ht="23" customHeight="1">
      <x:c r="A35" s="9" t="str">
        <x:v>Lille</x:v>
      </x:c>
      <x:c r="B35" s="9" t="str">
        <x:v>CQ-32</x:v>
      </x:c>
      <x:c r="C35" s="9" t="str">
        <x:v>ID LOGISTICS SANTES</x:v>
      </x:c>
      <x:c r="D35" s="9" t="str">
        <x:v>Contrôle interne</x:v>
      </x:c>
      <x:c r="E35" s="9" t="str">
        <x:v>ELISABETH</x:v>
      </x:c>
      <x:c r="F35" s="11" t="n">
        <x:v>46216</x:v>
      </x:c>
      <x:c r="G35" s="10" t="n">
        <x:v>0.9146</x:v>
      </x:c>
      <x:c r="H35" s="9" t="str">
        <x:v>Indice qualité et nb contrôle!A32:F32</x:v>
      </x:c>
      <x:c r="I35" s="12" t="str">
        <x:f>IF(A35="","",IF(OR(B35="",C35="",F35="",NOT(ISNUMBER(G35))),"À compléter",IF(OR(G35&lt;0,G35&gt;1),"Incohérent",IF(COUNTIFS($A$6:$A$505,A35,$B$6:$B$505,B35)&gt;1,"Doublon ID",""))))</x:f>
      </x:c>
    </x:row>
    <x:row r="36" ht="23" customHeight="1">
      <x:c r="A36" s="9" t="str">
        <x:v>Lille</x:v>
      </x:c>
      <x:c r="B36" s="9" t="str">
        <x:v>CQ-33</x:v>
      </x:c>
      <x:c r="C36" s="9" t="str">
        <x:v>LFB ARRAS</x:v>
      </x:c>
      <x:c r="D36" s="9" t="str">
        <x:v>Auto-contrôle</x:v>
      </x:c>
      <x:c r="E36" s="9" t="str">
        <x:v>POPPE</x:v>
      </x:c>
      <x:c r="F36" s="11" t="n">
        <x:v>46224</x:v>
      </x:c>
      <x:c r="G36" s="10" t="n">
        <x:v>0.9906999999999999</x:v>
      </x:c>
      <x:c r="H36" s="9" t="str">
        <x:v>Indice qualité et nb contrôle!A33:F33</x:v>
      </x:c>
      <x:c r="I36" s="12" t="str">
        <x:f>IF(A36="","",IF(OR(B36="",C36="",F36="",NOT(ISNUMBER(G36))),"À compléter",IF(OR(G36&lt;0,G36&gt;1),"Incohérent",IF(COUNTIFS($A$6:$A$505,A36,$B$6:$B$505,B36)&gt;1,"Doublon ID",""))))</x:f>
      </x:c>
    </x:row>
    <x:row r="37" ht="23" customHeight="1">
      <x:c r="A37" s="9" t="str">
        <x:v>Lille</x:v>
      </x:c>
      <x:c r="B37" s="9" t="str">
        <x:v>CQ-34</x:v>
      </x:c>
      <x:c r="C37" s="9" t="str">
        <x:v>LFB ARRAS</x:v>
      </x:c>
      <x:c r="D37" s="9" t="str">
        <x:v>Auto-contrôle</x:v>
      </x:c>
      <x:c r="E37" s="9" t="str">
        <x:v>POPPE</x:v>
      </x:c>
      <x:c r="F37" s="11" t="n">
        <x:v>46224</x:v>
      </x:c>
      <x:c r="G37" s="10" t="n">
        <x:v>0.9605</x:v>
      </x:c>
      <x:c r="H37" s="9" t="str">
        <x:v>Indice qualité et nb contrôle!A34:F34</x:v>
      </x:c>
      <x:c r="I37" s="12" t="str">
        <x:f>IF(A37="","",IF(OR(B37="",C37="",F37="",NOT(ISNUMBER(G37))),"À compléter",IF(OR(G37&lt;0,G37&gt;1),"Incohérent",IF(COUNTIFS($A$6:$A$505,A37,$B$6:$B$505,B37)&gt;1,"Doublon ID",""))))</x:f>
      </x:c>
    </x:row>
    <x:row r="38" ht="23" customHeight="1">
      <x:c r="A38" s="9" t="str">
        <x:v>Lille</x:v>
      </x:c>
      <x:c r="B38" s="9" t="str">
        <x:v>CQ-35</x:v>
      </x:c>
      <x:c r="C38" s="9" t="str">
        <x:v>EFS</x:v>
      </x:c>
      <x:c r="D38" s="9" t="str">
        <x:v>Auto-contrôle</x:v>
      </x:c>
      <x:c r="E38" s="9" t="str">
        <x:v>METRO</x:v>
      </x:c>
      <x:c r="F38" s="11" t="n">
        <x:v>46225</x:v>
      </x:c>
      <x:c r="G38" s="10" t="n">
        <x:v>1</x:v>
      </x:c>
      <x:c r="H38" s="9" t="str">
        <x:v>Indice qualité et nb contrôle!A35:F35</x:v>
      </x:c>
      <x:c r="I38" s="12" t="str">
        <x:f>IF(A38="","",IF(OR(B38="",C38="",F38="",NOT(ISNUMBER(G38))),"À compléter",IF(OR(G38&lt;0,G38&gt;1),"Incohérent",IF(COUNTIFS($A$6:$A$505,A38,$B$6:$B$505,B38)&gt;1,"Doublon ID",""))))</x:f>
      </x:c>
    </x:row>
    <x:row r="39" ht="23" customHeight="1">
      <x:c r="A39" s="9" t="str">
        <x:v>Lille</x:v>
      </x:c>
      <x:c r="B39" s="9" t="str">
        <x:v>CQ-36</x:v>
      </x:c>
      <x:c r="C39" s="9" t="str">
        <x:v>EFS</x:v>
      </x:c>
      <x:c r="D39" s="9" t="str">
        <x:v>Auto-contrôle</x:v>
      </x:c>
      <x:c r="E39" s="9" t="str">
        <x:v>METRO</x:v>
      </x:c>
      <x:c r="F39" s="11" t="n">
        <x:v>46225</x:v>
      </x:c>
      <x:c r="G39" s="10" t="n">
        <x:v>1</x:v>
      </x:c>
      <x:c r="H39" s="9" t="str">
        <x:v>Indice qualité et nb contrôle!A36:F36</x:v>
      </x:c>
      <x:c r="I39" s="12" t="str">
        <x:f>IF(A39="","",IF(OR(B39="",C39="",F39="",NOT(ISNUMBER(G39))),"À compléter",IF(OR(G39&lt;0,G39&gt;1),"Incohérent",IF(COUNTIFS($A$6:$A$505,A39,$B$6:$B$505,B39)&gt;1,"Doublon ID",""))))</x:f>
      </x:c>
    </x:row>
    <x:row r="40" ht="23" customHeight="1">
      <x:c r="A40" s="9" t="str">
        <x:v>Lille</x:v>
      </x:c>
      <x:c r="B40" s="9" t="str">
        <x:v>CQ-37</x:v>
      </x:c>
      <x:c r="C40" s="9" t="str">
        <x:v>EFS</x:v>
      </x:c>
      <x:c r="D40" s="9" t="str">
        <x:v>Contrôle contradictoire</x:v>
      </x:c>
      <x:c r="E40" s="9" t="str">
        <x:v>METRO</x:v>
      </x:c>
      <x:c r="F40" s="11" t="n">
        <x:v>46226</x:v>
      </x:c>
      <x:c r="G40" s="10" t="n">
        <x:v>0.8611</x:v>
      </x:c>
      <x:c r="H40" s="9" t="str">
        <x:v>Indice qualité et nb contrôle!A37:F37</x:v>
      </x:c>
      <x:c r="I40" s="12" t="str">
        <x:f>IF(A40="","",IF(OR(B40="",C40="",F40="",NOT(ISNUMBER(G40))),"À compléter",IF(OR(G40&lt;0,G40&gt;1),"Incohérent",IF(COUNTIFS($A$6:$A$505,A40,$B$6:$B$505,B40)&gt;1,"Doublon ID",""))))</x:f>
      </x:c>
    </x:row>
    <x:row r="41" ht="23" customHeight="1">
      <x:c r="A41" s="9" t="str">
        <x:v>Lille</x:v>
      </x:c>
      <x:c r="B41" s="9" t="str">
        <x:v>CQ-38</x:v>
      </x:c>
      <x:c r="C41" s="9" t="str">
        <x:v>EFS</x:v>
      </x:c>
      <x:c r="D41" s="9" t="str">
        <x:v>Contrôle contradictoire</x:v>
      </x:c>
      <x:c r="E41" s="9" t="str">
        <x:v>METRO</x:v>
      </x:c>
      <x:c r="F41" s="11" t="n">
        <x:v>46226</x:v>
      </x:c>
      <x:c r="G41" s="10" t="n">
        <x:v>0.9778</x:v>
      </x:c>
      <x:c r="H41" s="9" t="str">
        <x:v>Indice qualité et nb contrôle!A38:F38</x:v>
      </x:c>
      <x:c r="I41" s="12" t="str">
        <x:f>IF(A41="","",IF(OR(B41="",C41="",F41="",NOT(ISNUMBER(G41))),"À compléter",IF(OR(G41&lt;0,G41&gt;1),"Incohérent",IF(COUNTIFS($A$6:$A$505,A41,$B$6:$B$505,B41)&gt;1,"Doublon ID",""))))</x:f>
      </x:c>
    </x:row>
    <x:row r="42" ht="23" customHeight="1">
      <x:c r="A42" s="9" t="str">
        <x:v>Lille</x:v>
      </x:c>
      <x:c r="B42" s="9" t="str">
        <x:v>CQ-39</x:v>
      </x:c>
      <x:c r="C42" s="9" t="str">
        <x:v>ID LOGISTICS</x:v>
      </x:c>
      <x:c r="D42" s="9" t="str">
        <x:v>Contrôle interne</x:v>
      </x:c>
      <x:c r="E42" s="9" t="str">
        <x:v>Raeckelboom</x:v>
      </x:c>
      <x:c r="F42" s="11" t="n">
        <x:v>46226</x:v>
      </x:c>
      <x:c r="G42" s="10" t="n">
        <x:v>0.9623</x:v>
      </x:c>
      <x:c r="H42" s="9" t="str">
        <x:v>Indice qualité et nb contrôle!A39:F39</x:v>
      </x:c>
      <x:c r="I42" s="12" t="str">
        <x:f>IF(A42="","",IF(OR(B42="",C42="",F42="",NOT(ISNUMBER(G42))),"À compléter",IF(OR(G42&lt;0,G42&gt;1),"Incohérent",IF(COUNTIFS($A$6:$A$505,A42,$B$6:$B$505,B42)&gt;1,"Doublon ID",""))))</x:f>
      </x:c>
    </x:row>
    <x:row r="43" ht="23" customHeight="1">
      <x:c r="A43" s="9" t="str">
        <x:v>Lille</x:v>
      </x:c>
      <x:c r="B43" s="9" t="str">
        <x:v>CQ-40</x:v>
      </x:c>
      <x:c r="C43" s="9" t="str">
        <x:v>MFA</x:v>
      </x:c>
      <x:c r="D43" s="9" t="str">
        <x:v>Contrôle contradictoire</x:v>
      </x:c>
      <x:c r="E43" s="9" t="str">
        <x:v>ELISABETH</x:v>
      </x:c>
      <x:c r="F43" s="11" t="n">
        <x:v>46227</x:v>
      </x:c>
      <x:c r="G43" s="10" t="n">
        <x:v>0.8974</x:v>
      </x:c>
      <x:c r="H43" s="9" t="str">
        <x:v>Indice qualité et nb contrôle!A40:F40</x:v>
      </x:c>
      <x:c r="I43" s="12" t="str">
        <x:f>IF(A43="","",IF(OR(B43="",C43="",F43="",NOT(ISNUMBER(G43))),"À compléter",IF(OR(G43&lt;0,G43&gt;1),"Incohérent",IF(COUNTIFS($A$6:$A$505,A43,$B$6:$B$505,B43)&gt;1,"Doublon ID",""))))</x:f>
      </x:c>
    </x:row>
    <x:row r="44" ht="23" customHeight="1">
      <x:c r="A44" s="9" t="str">
        <x:v>Lille</x:v>
      </x:c>
      <x:c r="B44" s="9" t="str">
        <x:v>CQ-41</x:v>
      </x:c>
      <x:c r="C44" s="9" t="str">
        <x:v>LFB ARRAS</x:v>
      </x:c>
      <x:c r="D44" s="9" t="str">
        <x:v>Auto-contrôle</x:v>
      </x:c>
      <x:c r="E44" s="9" t="str">
        <x:v>POPPE</x:v>
      </x:c>
      <x:c r="F44" s="11" t="n">
        <x:v>46224</x:v>
      </x:c>
      <x:c r="G44" s="10" t="n">
        <x:v>0.9692000000000001</x:v>
      </x:c>
      <x:c r="H44" s="9" t="str">
        <x:v>Indice qualité et nb contrôle!A41:F41</x:v>
      </x:c>
      <x:c r="I44" s="12" t="str">
        <x:f>IF(A44="","",IF(OR(B44="",C44="",F44="",NOT(ISNUMBER(G44))),"À compléter",IF(OR(G44&lt;0,G44&gt;1),"Incohérent",IF(COUNTIFS($A$6:$A$505,A44,$B$6:$B$505,B44)&gt;1,"Doublon ID",""))))</x:f>
      </x:c>
    </x:row>
    <x:row r="45" ht="23" customHeight="1">
      <x:c r="A45" s="9" t="str">
        <x:v>Lille</x:v>
      </x:c>
      <x:c r="B45" s="9" t="str">
        <x:v>CQ-42</x:v>
      </x:c>
      <x:c r="C45" s="9" t="str">
        <x:v>LFB ARRAS</x:v>
      </x:c>
      <x:c r="D45" s="9" t="str">
        <x:v>Contrôle contradictoire</x:v>
      </x:c>
      <x:c r="E45" s="9" t="str">
        <x:v>POPPE</x:v>
      </x:c>
      <x:c r="F45" s="11" t="n">
        <x:v>46227</x:v>
      </x:c>
      <x:c r="G45" s="10" t="n">
        <x:v>0.9643</x:v>
      </x:c>
      <x:c r="H45" s="9" t="str">
        <x:v>Indice qualité et nb contrôle!A42:F42</x:v>
      </x:c>
      <x:c r="I45" s="12" t="str">
        <x:f>IF(A45="","",IF(OR(B45="",C45="",F45="",NOT(ISNUMBER(G45))),"À compléter",IF(OR(G45&lt;0,G45&gt;1),"Incohérent",IF(COUNTIFS($A$6:$A$505,A45,$B$6:$B$505,B45)&gt;1,"Doublon ID",""))))</x:f>
      </x:c>
    </x:row>
    <x:row r="46" ht="23" customHeight="1">
      <x:c r="A46" s="9" t="str">
        <x:v>Lille</x:v>
      </x:c>
      <x:c r="B46" s="9" t="str">
        <x:v>CQ-43</x:v>
      </x:c>
      <x:c r="C46" s="9" t="str">
        <x:v>LFB ARRAS</x:v>
      </x:c>
      <x:c r="D46" s="9" t="str">
        <x:v>Contrôle contradictoire</x:v>
      </x:c>
      <x:c r="E46" s="9" t="str">
        <x:v>POPPE</x:v>
      </x:c>
      <x:c r="F46" s="11" t="n">
        <x:v>46231</x:v>
      </x:c>
      <x:c r="G46" s="10" t="n">
        <x:v>0.9879000000000001</x:v>
      </x:c>
      <x:c r="H46" s="9" t="str">
        <x:v>Indice qualité et nb contrôle!A43:F43</x:v>
      </x:c>
      <x:c r="I46" s="12" t="str">
        <x:f>IF(A46="","",IF(OR(B46="",C46="",F46="",NOT(ISNUMBER(G46))),"À compléter",IF(OR(G46&lt;0,G46&gt;1),"Incohérent",IF(COUNTIFS($A$6:$A$505,A46,$B$6:$B$505,B46)&gt;1,"Doublon ID",""))))</x:f>
      </x:c>
    </x:row>
    <x:row r="47" ht="23" customHeight="1">
      <x:c r="A47" s="9" t="str">
        <x:v>Lille</x:v>
      </x:c>
      <x:c r="B47" s="9" t="str">
        <x:v>CQ-44</x:v>
      </x:c>
      <x:c r="C47" s="9" t="str">
        <x:v>CREDIT MUTUEL - LILLE</x:v>
      </x:c>
      <x:c r="D47" s="9" t="str">
        <x:v>Contrôle interne</x:v>
      </x:c>
      <x:c r="E47" s="9" t="str">
        <x:v>Raeckelboom</x:v>
      </x:c>
      <x:c r="F47" s="11" t="n">
        <x:v>46232</x:v>
      </x:c>
      <x:c r="G47" s="10" t="n">
        <x:v>0.9808</x:v>
      </x:c>
      <x:c r="H47" s="9" t="str">
        <x:v>Indice qualité et nb contrôle!A44:F44</x:v>
      </x:c>
      <x:c r="I47" s="12" t="str">
        <x:f>IF(A47="","",IF(OR(B47="",C47="",F47="",NOT(ISNUMBER(G47))),"À compléter",IF(OR(G47&lt;0,G47&gt;1),"Incohérent",IF(COUNTIFS($A$6:$A$505,A47,$B$6:$B$505,B47)&gt;1,"Doublon ID",""))))</x:f>
      </x:c>
    </x:row>
    <x:row r="48" ht="23" customHeight="1">
      <x:c r="A48" s="9" t="str">
        <x:v>Lille</x:v>
      </x:c>
      <x:c r="B48" s="9" t="str">
        <x:v>CQ-45</x:v>
      </x:c>
      <x:c r="C48" s="9" t="str">
        <x:v>ARMATIS</x:v>
      </x:c>
      <x:c r="D48" s="9" t="str">
        <x:v>Contrôle contradictoire</x:v>
      </x:c>
      <x:c r="E48" s="9" t="str">
        <x:v>ELISABETH</x:v>
      </x:c>
      <x:c r="F48" s="11" t="n">
        <x:v>46232</x:v>
      </x:c>
      <x:c r="G48" s="10" t="n">
        <x:v>0.9765</x:v>
      </x:c>
      <x:c r="H48" s="9" t="str">
        <x:v>Indice qualité et nb contrôle!A45:F45</x:v>
      </x:c>
      <x:c r="I48" s="12" t="str">
        <x:f>IF(A48="","",IF(OR(B48="",C48="",F48="",NOT(ISNUMBER(G48))),"À compléter",IF(OR(G48&lt;0,G48&gt;1),"Incohérent",IF(COUNTIFS($A$6:$A$505,A48,$B$6:$B$505,B48)&gt;1,"Doublon ID",""))))</x:f>
      </x:c>
    </x:row>
    <x:row r="49" ht="23" customHeight="1">
      <x:c r="A49" s="9" t="str">
        <x:v>Lille</x:v>
      </x:c>
      <x:c r="B49" s="9" t="str">
        <x:v>CQ-46</x:v>
      </x:c>
      <x:c r="C49" s="9" t="str">
        <x:v>LFB ARRAS</x:v>
      </x:c>
      <x:c r="D49" s="9" t="str">
        <x:v>Auto-contrôle</x:v>
      </x:c>
      <x:c r="E49" s="9" t="str">
        <x:v>POPPE</x:v>
      </x:c>
      <x:c r="F49" s="11" t="n">
        <x:v>46233</x:v>
      </x:c>
      <x:c r="G49" s="10" t="n">
        <x:v>1</x:v>
      </x:c>
      <x:c r="H49" s="9" t="str">
        <x:v>Indice qualité et nb contrôle!A46:F46</x:v>
      </x:c>
      <x:c r="I49" s="12" t="str">
        <x:f>IF(A49="","",IF(OR(B49="",C49="",F49="",NOT(ISNUMBER(G49))),"À compléter",IF(OR(G49&lt;0,G49&gt;1),"Incohérent",IF(COUNTIFS($A$6:$A$505,A49,$B$6:$B$505,B49)&gt;1,"Doublon ID",""))))</x:f>
      </x:c>
    </x:row>
    <x:row r="50" ht="23" customHeight="1">
      <x:c r="A50" s="9" t="str">
        <x:v>Lille</x:v>
      </x:c>
      <x:c r="B50" s="9" t="str">
        <x:v>CQ-47</x:v>
      </x:c>
      <x:c r="C50" s="9" t="str">
        <x:v>ID LOGISTICS</x:v>
      </x:c>
      <x:c r="D50" s="9" t="str">
        <x:v>Contrôle contradictoire</x:v>
      </x:c>
      <x:c r="E50" s="9" t="str">
        <x:v>Raeckelboom</x:v>
      </x:c>
      <x:c r="F50" s="11" t="n">
        <x:v>46233</x:v>
      </x:c>
      <x:c r="G50" s="10" t="n">
        <x:v>0.9213</x:v>
      </x:c>
      <x:c r="H50" s="9" t="str">
        <x:v>Indice qualité et nb contrôle!A47:F47</x:v>
      </x:c>
      <x:c r="I50" s="12" t="str">
        <x:f>IF(A50="","",IF(OR(B50="",C50="",F50="",NOT(ISNUMBER(G50))),"À compléter",IF(OR(G50&lt;0,G50&gt;1),"Incohérent",IF(COUNTIFS($A$6:$A$505,A50,$B$6:$B$505,B50)&gt;1,"Doublon ID",""))))</x:f>
      </x:c>
    </x:row>
    <x:row r="51" ht="23" customHeight="1">
      <x:c r="A51" s="9" t="str">
        <x:v>Lille</x:v>
      </x:c>
      <x:c r="B51" s="9" t="str">
        <x:v>CQ-48</x:v>
      </x:c>
      <x:c r="C51" s="9" t="str">
        <x:v>LES FURETS DU NORD</x:v>
      </x:c>
      <x:c r="D51" s="9" t="str">
        <x:v>Contrôle contradictoire</x:v>
      </x:c>
      <x:c r="E51" s="9" t="str">
        <x:v>ELISABETH</x:v>
      </x:c>
      <x:c r="F51" s="11" t="n">
        <x:v>46234</x:v>
      </x:c>
      <x:c r="G51" s="10" t="n">
        <x:v>0.9388</x:v>
      </x:c>
      <x:c r="H51" s="9" t="str">
        <x:v>Indice qualité et nb contrôle!A48:F48</x:v>
      </x:c>
      <x:c r="I51" s="12" t="str">
        <x:f>IF(A51="","",IF(OR(B51="",C51="",F51="",NOT(ISNUMBER(G51))),"À compléter",IF(OR(G51&lt;0,G51&gt;1),"Incohérent",IF(COUNTIFS($A$6:$A$505,A51,$B$6:$B$505,B51)&gt;1,"Doublon ID",""))))</x:f>
      </x:c>
    </x:row>
    <x:row r="52" ht="23" customHeight="1">
      <x:c r="A52" s="9" t="str">
        <x:v>Lille</x:v>
      </x:c>
      <x:c r="B52" s="9" t="str">
        <x:v>CQ-49</x:v>
      </x:c>
      <x:c r="C52" s="9" t="str">
        <x:v>LFB ARRAS</x:v>
      </x:c>
      <x:c r="D52" s="9" t="str">
        <x:v>Auto-contrôle</x:v>
      </x:c>
      <x:c r="E52" s="9" t="str">
        <x:v>POPPE</x:v>
      </x:c>
      <x:c r="F52" s="11" t="n">
        <x:v>46234</x:v>
      </x:c>
      <x:c r="G52" s="10" t="n">
        <x:v>0.9667</x:v>
      </x:c>
      <x:c r="H52" s="9" t="str">
        <x:v>Indice qualité et nb contrôle!A49:F49</x:v>
      </x:c>
      <x:c r="I52" s="12" t="str">
        <x:f>IF(A52="","",IF(OR(B52="",C52="",F52="",NOT(ISNUMBER(G52))),"À compléter",IF(OR(G52&lt;0,G52&gt;1),"Incohérent",IF(COUNTIFS($A$6:$A$505,A52,$B$6:$B$505,B52)&gt;1,"Doublon ID",""))))</x:f>
      </x:c>
    </x:row>
    <x:row r="53" ht="23" customHeight="1">
      <x:c r="A53" s="9" t="str">
        <x:v>Lille</x:v>
      </x:c>
      <x:c r="B53" s="9" t="str">
        <x:v>CQ-50</x:v>
      </x:c>
      <x:c r="C53" s="9" t="str">
        <x:v>ID LOGISTICS SANTES</x:v>
      </x:c>
      <x:c r="D53" s="9" t="str">
        <x:v>Contrôle interne</x:v>
      </x:c>
      <x:c r="E53" s="9" t="str">
        <x:v>ELISABETH</x:v>
      </x:c>
      <x:c r="F53" s="11" t="n">
        <x:v>46234</x:v>
      </x:c>
      <x:c r="G53" s="10" t="n">
        <x:v>0.9396</x:v>
      </x:c>
      <x:c r="H53" s="9" t="str">
        <x:v>Indice qualité et nb contrôle!A50:F50</x:v>
      </x:c>
      <x:c r="I53" s="12" t="str">
        <x:f>IF(A53="","",IF(OR(B53="",C53="",F53="",NOT(ISNUMBER(G53))),"À compléter",IF(OR(G53&lt;0,G53&gt;1),"Incohérent",IF(COUNTIFS($A$6:$A$505,A53,$B$6:$B$505,B53)&gt;1,"Doublon ID",""))))</x:f>
      </x:c>
    </x:row>
    <x:row r="54" ht="23" customHeight="1">
      <x:c r="A54" s="9" t="str">
        <x:v>Lille</x:v>
      </x:c>
      <x:c r="B54" s="9" t="str">
        <x:v>CQ-51</x:v>
      </x:c>
      <x:c r="C54" s="9" t="str">
        <x:v>LFB ARRAS</x:v>
      </x:c>
      <x:c r="D54" s="9" t="str">
        <x:v>Auto-contrôle</x:v>
      </x:c>
      <x:c r="E54" s="9" t="str">
        <x:v>POPPE</x:v>
      </x:c>
      <x:c r="F54" s="11" t="n">
        <x:v>46234</x:v>
      </x:c>
      <x:c r="G54" s="10" t="n">
        <x:v>1</x:v>
      </x:c>
      <x:c r="H54" s="9" t="str">
        <x:v>Indice qualité et nb contrôle!A51:F51</x:v>
      </x:c>
      <x:c r="I54" s="12" t="str">
        <x:f>IF(A54="","",IF(OR(B54="",C54="",F54="",NOT(ISNUMBER(G54))),"À compléter",IF(OR(G54&lt;0,G54&gt;1),"Incohérent",IF(COUNTIFS($A$6:$A$505,A54,$B$6:$B$505,B54)&gt;1,"Doublon ID",""))))</x:f>
      </x:c>
    </x:row>
    <x:row r="55" ht="23" customHeight="1">
      <x:c r="A55" s="9"/>
      <x:c r="B55" s="9"/>
      <x:c r="C55" s="9"/>
      <x:c r="D55" s="9"/>
      <x:c r="E55" s="9"/>
      <x:c r="F55" s="11"/>
      <x:c r="G55" s="10"/>
      <x:c r="H55" s="9"/>
      <x:c r="I55" s="12" t="str">
        <x:f>IF(A55="","",IF(OR(B55="",C55="",F55="",NOT(ISNUMBER(G55))),"À compléter",IF(OR(G55&lt;0,G55&gt;1),"Incohérent",IF(COUNTIFS($A$6:$A$505,A55,$B$6:$B$505,B55)&gt;1,"Doublon ID",""))))</x:f>
      </x:c>
    </x:row>
    <x:row r="56" ht="23" customHeight="1">
      <x:c r="A56" s="9"/>
      <x:c r="B56" s="9"/>
      <x:c r="C56" s="9"/>
      <x:c r="D56" s="9"/>
      <x:c r="E56" s="9"/>
      <x:c r="F56" s="11"/>
      <x:c r="G56" s="10"/>
      <x:c r="H56" s="9"/>
      <x:c r="I56" s="12" t="str">
        <x:f>IF(A56="","",IF(OR(B56="",C56="",F56="",NOT(ISNUMBER(G56))),"À compléter",IF(OR(G56&lt;0,G56&gt;1),"Incohérent",IF(COUNTIFS($A$6:$A$505,A56,$B$6:$B$505,B56)&gt;1,"Doublon ID",""))))</x:f>
      </x:c>
    </x:row>
    <x:row r="57" ht="23" customHeight="1">
      <x:c r="A57" s="9"/>
      <x:c r="B57" s="9"/>
      <x:c r="C57" s="9"/>
      <x:c r="D57" s="9"/>
      <x:c r="E57" s="9"/>
      <x:c r="F57" s="11"/>
      <x:c r="G57" s="10"/>
      <x:c r="H57" s="9"/>
      <x:c r="I57" s="12" t="str">
        <x:f>IF(A57="","",IF(OR(B57="",C57="",F57="",NOT(ISNUMBER(G57))),"À compléter",IF(OR(G57&lt;0,G57&gt;1),"Incohérent",IF(COUNTIFS($A$6:$A$505,A57,$B$6:$B$505,B57)&gt;1,"Doublon ID",""))))</x:f>
      </x:c>
    </x:row>
    <x:row r="58" ht="23" customHeight="1">
      <x:c r="A58" s="9"/>
      <x:c r="B58" s="9"/>
      <x:c r="C58" s="9"/>
      <x:c r="D58" s="9"/>
      <x:c r="E58" s="9"/>
      <x:c r="F58" s="11"/>
      <x:c r="G58" s="10"/>
      <x:c r="H58" s="9"/>
      <x:c r="I58" s="12" t="str">
        <x:f>IF(A58="","",IF(OR(B58="",C58="",F58="",NOT(ISNUMBER(G58))),"À compléter",IF(OR(G58&lt;0,G58&gt;1),"Incohérent",IF(COUNTIFS($A$6:$A$505,A58,$B$6:$B$505,B58)&gt;1,"Doublon ID",""))))</x:f>
      </x:c>
    </x:row>
    <x:row r="59" ht="23" customHeight="1">
      <x:c r="A59" s="9"/>
      <x:c r="B59" s="9"/>
      <x:c r="C59" s="9"/>
      <x:c r="D59" s="9"/>
      <x:c r="E59" s="9"/>
      <x:c r="F59" s="11"/>
      <x:c r="G59" s="10"/>
      <x:c r="H59" s="9"/>
      <x:c r="I59" s="12" t="str">
        <x:f>IF(A59="","",IF(OR(B59="",C59="",F59="",NOT(ISNUMBER(G59))),"À compléter",IF(OR(G59&lt;0,G59&gt;1),"Incohérent",IF(COUNTIFS($A$6:$A$505,A59,$B$6:$B$505,B59)&gt;1,"Doublon ID",""))))</x:f>
      </x:c>
    </x:row>
    <x:row r="60" ht="23" customHeight="1">
      <x:c r="A60" s="9"/>
      <x:c r="B60" s="9"/>
      <x:c r="C60" s="9"/>
      <x:c r="D60" s="9"/>
      <x:c r="E60" s="9"/>
      <x:c r="F60" s="11"/>
      <x:c r="G60" s="10"/>
      <x:c r="H60" s="9"/>
      <x:c r="I60" s="12" t="str">
        <x:f>IF(A60="","",IF(OR(B60="",C60="",F60="",NOT(ISNUMBER(G60))),"À compléter",IF(OR(G60&lt;0,G60&gt;1),"Incohérent",IF(COUNTIFS($A$6:$A$505,A60,$B$6:$B$505,B60)&gt;1,"Doublon ID",""))))</x:f>
      </x:c>
    </x:row>
    <x:row r="61" ht="23" customHeight="1">
      <x:c r="A61" s="9"/>
      <x:c r="B61" s="9"/>
      <x:c r="C61" s="9"/>
      <x:c r="D61" s="9"/>
      <x:c r="E61" s="9"/>
      <x:c r="F61" s="11"/>
      <x:c r="G61" s="10"/>
      <x:c r="H61" s="9"/>
      <x:c r="I61" s="12" t="str">
        <x:f>IF(A61="","",IF(OR(B61="",C61="",F61="",NOT(ISNUMBER(G61))),"À compléter",IF(OR(G61&lt;0,G61&gt;1),"Incohérent",IF(COUNTIFS($A$6:$A$505,A61,$B$6:$B$505,B61)&gt;1,"Doublon ID",""))))</x:f>
      </x:c>
    </x:row>
    <x:row r="62" ht="23" customHeight="1">
      <x:c r="A62" s="9"/>
      <x:c r="B62" s="9"/>
      <x:c r="C62" s="9"/>
      <x:c r="D62" s="9"/>
      <x:c r="E62" s="9"/>
      <x:c r="F62" s="11"/>
      <x:c r="G62" s="10"/>
      <x:c r="H62" s="9"/>
      <x:c r="I62" s="12" t="str">
        <x:f>IF(A62="","",IF(OR(B62="",C62="",F62="",NOT(ISNUMBER(G62))),"À compléter",IF(OR(G62&lt;0,G62&gt;1),"Incohérent",IF(COUNTIFS($A$6:$A$505,A62,$B$6:$B$505,B62)&gt;1,"Doublon ID",""))))</x:f>
      </x:c>
    </x:row>
    <x:row r="63" ht="23" customHeight="1">
      <x:c r="A63" s="9"/>
      <x:c r="B63" s="9"/>
      <x:c r="C63" s="9"/>
      <x:c r="D63" s="9"/>
      <x:c r="E63" s="9"/>
      <x:c r="F63" s="11"/>
      <x:c r="G63" s="10"/>
      <x:c r="H63" s="9"/>
      <x:c r="I63" s="12" t="str">
        <x:f>IF(A63="","",IF(OR(B63="",C63="",F63="",NOT(ISNUMBER(G63))),"À compléter",IF(OR(G63&lt;0,G63&gt;1),"Incohérent",IF(COUNTIFS($A$6:$A$505,A63,$B$6:$B$505,B63)&gt;1,"Doublon ID",""))))</x:f>
      </x:c>
    </x:row>
    <x:row r="64" ht="23" customHeight="1">
      <x:c r="A64" s="9"/>
      <x:c r="B64" s="9"/>
      <x:c r="C64" s="9"/>
      <x:c r="D64" s="9"/>
      <x:c r="E64" s="9"/>
      <x:c r="F64" s="11"/>
      <x:c r="G64" s="10"/>
      <x:c r="H64" s="9"/>
      <x:c r="I64" s="12" t="str">
        <x:f>IF(A64="","",IF(OR(B64="",C64="",F64="",NOT(ISNUMBER(G64))),"À compléter",IF(OR(G64&lt;0,G64&gt;1),"Incohérent",IF(COUNTIFS($A$6:$A$505,A64,$B$6:$B$505,B64)&gt;1,"Doublon ID",""))))</x:f>
      </x:c>
    </x:row>
    <x:row r="65" ht="23" customHeight="1">
      <x:c r="A65" s="9"/>
      <x:c r="B65" s="9"/>
      <x:c r="C65" s="9"/>
      <x:c r="D65" s="9"/>
      <x:c r="E65" s="9"/>
      <x:c r="F65" s="11"/>
      <x:c r="G65" s="10"/>
      <x:c r="H65" s="9"/>
      <x:c r="I65" s="12" t="str">
        <x:f>IF(A65="","",IF(OR(B65="",C65="",F65="",NOT(ISNUMBER(G65))),"À compléter",IF(OR(G65&lt;0,G65&gt;1),"Incohérent",IF(COUNTIFS($A$6:$A$505,A65,$B$6:$B$505,B65)&gt;1,"Doublon ID",""))))</x:f>
      </x:c>
    </x:row>
    <x:row r="66" ht="23" customHeight="1">
      <x:c r="A66" s="9"/>
      <x:c r="B66" s="9"/>
      <x:c r="C66" s="9"/>
      <x:c r="D66" s="9"/>
      <x:c r="E66" s="9"/>
      <x:c r="F66" s="11"/>
      <x:c r="G66" s="10"/>
      <x:c r="H66" s="9"/>
      <x:c r="I66" s="12" t="str">
        <x:f>IF(A66="","",IF(OR(B66="",C66="",F66="",NOT(ISNUMBER(G66))),"À compléter",IF(OR(G66&lt;0,G66&gt;1),"Incohérent",IF(COUNTIFS($A$6:$A$505,A66,$B$6:$B$505,B66)&gt;1,"Doublon ID",""))))</x:f>
      </x:c>
    </x:row>
    <x:row r="67" ht="23" customHeight="1">
      <x:c r="A67" s="9"/>
      <x:c r="B67" s="9"/>
      <x:c r="C67" s="9"/>
      <x:c r="D67" s="9"/>
      <x:c r="E67" s="9"/>
      <x:c r="F67" s="11"/>
      <x:c r="G67" s="10"/>
      <x:c r="H67" s="9"/>
      <x:c r="I67" s="12" t="str">
        <x:f>IF(A67="","",IF(OR(B67="",C67="",F67="",NOT(ISNUMBER(G67))),"À compléter",IF(OR(G67&lt;0,G67&gt;1),"Incohérent",IF(COUNTIFS($A$6:$A$505,A67,$B$6:$B$505,B67)&gt;1,"Doublon ID",""))))</x:f>
      </x:c>
    </x:row>
    <x:row r="68" ht="23" customHeight="1">
      <x:c r="A68" s="9"/>
      <x:c r="B68" s="9"/>
      <x:c r="C68" s="9"/>
      <x:c r="D68" s="9"/>
      <x:c r="E68" s="9"/>
      <x:c r="F68" s="11"/>
      <x:c r="G68" s="10"/>
      <x:c r="H68" s="9"/>
      <x:c r="I68" s="12" t="str">
        <x:f>IF(A68="","",IF(OR(B68="",C68="",F68="",NOT(ISNUMBER(G68))),"À compléter",IF(OR(G68&lt;0,G68&gt;1),"Incohérent",IF(COUNTIFS($A$6:$A$505,A68,$B$6:$B$505,B68)&gt;1,"Doublon ID",""))))</x:f>
      </x:c>
    </x:row>
    <x:row r="69" ht="23" customHeight="1">
      <x:c r="A69" s="9"/>
      <x:c r="B69" s="9"/>
      <x:c r="C69" s="9"/>
      <x:c r="D69" s="9"/>
      <x:c r="E69" s="9"/>
      <x:c r="F69" s="11"/>
      <x:c r="G69" s="10"/>
      <x:c r="H69" s="9"/>
      <x:c r="I69" s="12" t="str">
        <x:f>IF(A69="","",IF(OR(B69="",C69="",F69="",NOT(ISNUMBER(G69))),"À compléter",IF(OR(G69&lt;0,G69&gt;1),"Incohérent",IF(COUNTIFS($A$6:$A$505,A69,$B$6:$B$505,B69)&gt;1,"Doublon ID",""))))</x:f>
      </x:c>
    </x:row>
    <x:row r="70" ht="23" customHeight="1">
      <x:c r="A70" s="9"/>
      <x:c r="B70" s="9"/>
      <x:c r="C70" s="9"/>
      <x:c r="D70" s="9"/>
      <x:c r="E70" s="9"/>
      <x:c r="F70" s="11"/>
      <x:c r="G70" s="10"/>
      <x:c r="H70" s="9"/>
      <x:c r="I70" s="12" t="str">
        <x:f>IF(A70="","",IF(OR(B70="",C70="",F70="",NOT(ISNUMBER(G70))),"À compléter",IF(OR(G70&lt;0,G70&gt;1),"Incohérent",IF(COUNTIFS($A$6:$A$505,A70,$B$6:$B$505,B70)&gt;1,"Doublon ID",""))))</x:f>
      </x:c>
    </x:row>
    <x:row r="71" ht="23" customHeight="1">
      <x:c r="A71" s="9"/>
      <x:c r="B71" s="9"/>
      <x:c r="C71" s="9"/>
      <x:c r="D71" s="9"/>
      <x:c r="E71" s="9"/>
      <x:c r="F71" s="11"/>
      <x:c r="G71" s="10"/>
      <x:c r="H71" s="9"/>
      <x:c r="I71" s="12" t="str">
        <x:f>IF(A71="","",IF(OR(B71="",C71="",F71="",NOT(ISNUMBER(G71))),"À compléter",IF(OR(G71&lt;0,G71&gt;1),"Incohérent",IF(COUNTIFS($A$6:$A$505,A71,$B$6:$B$505,B71)&gt;1,"Doublon ID",""))))</x:f>
      </x:c>
    </x:row>
    <x:row r="72" ht="23" customHeight="1">
      <x:c r="A72" s="9"/>
      <x:c r="B72" s="9"/>
      <x:c r="C72" s="9"/>
      <x:c r="D72" s="9"/>
      <x:c r="E72" s="9"/>
      <x:c r="F72" s="11"/>
      <x:c r="G72" s="10"/>
      <x:c r="H72" s="9"/>
      <x:c r="I72" s="12" t="str">
        <x:f>IF(A72="","",IF(OR(B72="",C72="",F72="",NOT(ISNUMBER(G72))),"À compléter",IF(OR(G72&lt;0,G72&gt;1),"Incohérent",IF(COUNTIFS($A$6:$A$505,A72,$B$6:$B$505,B72)&gt;1,"Doublon ID",""))))</x:f>
      </x:c>
    </x:row>
    <x:row r="73" ht="23" customHeight="1">
      <x:c r="A73" s="9"/>
      <x:c r="B73" s="9"/>
      <x:c r="C73" s="9"/>
      <x:c r="D73" s="9"/>
      <x:c r="E73" s="9"/>
      <x:c r="F73" s="11"/>
      <x:c r="G73" s="10"/>
      <x:c r="H73" s="9"/>
      <x:c r="I73" s="12" t="str">
        <x:f>IF(A73="","",IF(OR(B73="",C73="",F73="",NOT(ISNUMBER(G73))),"À compléter",IF(OR(G73&lt;0,G73&gt;1),"Incohérent",IF(COUNTIFS($A$6:$A$505,A73,$B$6:$B$505,B73)&gt;1,"Doublon ID",""))))</x:f>
      </x:c>
    </x:row>
    <x:row r="74" ht="23" customHeight="1">
      <x:c r="A74" s="9"/>
      <x:c r="B74" s="9"/>
      <x:c r="C74" s="9"/>
      <x:c r="D74" s="9"/>
      <x:c r="E74" s="9"/>
      <x:c r="F74" s="11"/>
      <x:c r="G74" s="10"/>
      <x:c r="H74" s="9"/>
      <x:c r="I74" s="12" t="str">
        <x:f>IF(A74="","",IF(OR(B74="",C74="",F74="",NOT(ISNUMBER(G74))),"À compléter",IF(OR(G74&lt;0,G74&gt;1),"Incohérent",IF(COUNTIFS($A$6:$A$505,A74,$B$6:$B$505,B74)&gt;1,"Doublon ID",""))))</x:f>
      </x:c>
    </x:row>
    <x:row r="75" ht="23" customHeight="1">
      <x:c r="A75" s="9"/>
      <x:c r="B75" s="9"/>
      <x:c r="C75" s="9"/>
      <x:c r="D75" s="9"/>
      <x:c r="E75" s="9"/>
      <x:c r="F75" s="11"/>
      <x:c r="G75" s="10"/>
      <x:c r="H75" s="9"/>
      <x:c r="I75" s="12" t="str">
        <x:f>IF(A75="","",IF(OR(B75="",C75="",F75="",NOT(ISNUMBER(G75))),"À compléter",IF(OR(G75&lt;0,G75&gt;1),"Incohérent",IF(COUNTIFS($A$6:$A$505,A75,$B$6:$B$505,B75)&gt;1,"Doublon ID",""))))</x:f>
      </x:c>
    </x:row>
    <x:row r="76" ht="23" customHeight="1">
      <x:c r="A76" s="9"/>
      <x:c r="B76" s="9"/>
      <x:c r="C76" s="9"/>
      <x:c r="D76" s="9"/>
      <x:c r="E76" s="9"/>
      <x:c r="F76" s="11"/>
      <x:c r="G76" s="10"/>
      <x:c r="H76" s="9"/>
      <x:c r="I76" s="12" t="str">
        <x:f>IF(A76="","",IF(OR(B76="",C76="",F76="",NOT(ISNUMBER(G76))),"À compléter",IF(OR(G76&lt;0,G76&gt;1),"Incohérent",IF(COUNTIFS($A$6:$A$505,A76,$B$6:$B$505,B76)&gt;1,"Doublon ID",""))))</x:f>
      </x:c>
    </x:row>
    <x:row r="77" ht="23" customHeight="1">
      <x:c r="A77" s="9"/>
      <x:c r="B77" s="9"/>
      <x:c r="C77" s="9"/>
      <x:c r="D77" s="9"/>
      <x:c r="E77" s="9"/>
      <x:c r="F77" s="11"/>
      <x:c r="G77" s="10"/>
      <x:c r="H77" s="9"/>
      <x:c r="I77" s="12" t="str">
        <x:f>IF(A77="","",IF(OR(B77="",C77="",F77="",NOT(ISNUMBER(G77))),"À compléter",IF(OR(G77&lt;0,G77&gt;1),"Incohérent",IF(COUNTIFS($A$6:$A$505,A77,$B$6:$B$505,B77)&gt;1,"Doublon ID",""))))</x:f>
      </x:c>
    </x:row>
    <x:row r="78" ht="23" customHeight="1">
      <x:c r="A78" s="9"/>
      <x:c r="B78" s="9"/>
      <x:c r="C78" s="9"/>
      <x:c r="D78" s="9"/>
      <x:c r="E78" s="9"/>
      <x:c r="F78" s="11"/>
      <x:c r="G78" s="10"/>
      <x:c r="H78" s="9"/>
      <x:c r="I78" s="12" t="str">
        <x:f>IF(A78="","",IF(OR(B78="",C78="",F78="",NOT(ISNUMBER(G78))),"À compléter",IF(OR(G78&lt;0,G78&gt;1),"Incohérent",IF(COUNTIFS($A$6:$A$505,A78,$B$6:$B$505,B78)&gt;1,"Doublon ID",""))))</x:f>
      </x:c>
    </x:row>
    <x:row r="79" ht="23" customHeight="1">
      <x:c r="A79" s="9"/>
      <x:c r="B79" s="9"/>
      <x:c r="C79" s="9"/>
      <x:c r="D79" s="9"/>
      <x:c r="E79" s="9"/>
      <x:c r="F79" s="11"/>
      <x:c r="G79" s="10"/>
      <x:c r="H79" s="9"/>
      <x:c r="I79" s="12" t="str">
        <x:f>IF(A79="","",IF(OR(B79="",C79="",F79="",NOT(ISNUMBER(G79))),"À compléter",IF(OR(G79&lt;0,G79&gt;1),"Incohérent",IF(COUNTIFS($A$6:$A$505,A79,$B$6:$B$505,B79)&gt;1,"Doublon ID",""))))</x:f>
      </x:c>
    </x:row>
    <x:row r="80" ht="23" customHeight="1">
      <x:c r="A80" s="9"/>
      <x:c r="B80" s="9"/>
      <x:c r="C80" s="9"/>
      <x:c r="D80" s="9"/>
      <x:c r="E80" s="9"/>
      <x:c r="F80" s="11"/>
      <x:c r="G80" s="10"/>
      <x:c r="H80" s="9"/>
      <x:c r="I80" s="12" t="str">
        <x:f>IF(A80="","",IF(OR(B80="",C80="",F80="",NOT(ISNUMBER(G80))),"À compléter",IF(OR(G80&lt;0,G80&gt;1),"Incohérent",IF(COUNTIFS($A$6:$A$505,A80,$B$6:$B$505,B80)&gt;1,"Doublon ID",""))))</x:f>
      </x:c>
    </x:row>
    <x:row r="81" ht="23" customHeight="1">
      <x:c r="A81" s="9"/>
      <x:c r="B81" s="9"/>
      <x:c r="C81" s="9"/>
      <x:c r="D81" s="9"/>
      <x:c r="E81" s="9"/>
      <x:c r="F81" s="11"/>
      <x:c r="G81" s="10"/>
      <x:c r="H81" s="9"/>
      <x:c r="I81" s="12" t="str">
        <x:f>IF(A81="","",IF(OR(B81="",C81="",F81="",NOT(ISNUMBER(G81))),"À compléter",IF(OR(G81&lt;0,G81&gt;1),"Incohérent",IF(COUNTIFS($A$6:$A$505,A81,$B$6:$B$505,B81)&gt;1,"Doublon ID",""))))</x:f>
      </x:c>
    </x:row>
    <x:row r="82" ht="23" customHeight="1">
      <x:c r="A82" s="9"/>
      <x:c r="B82" s="9"/>
      <x:c r="C82" s="9"/>
      <x:c r="D82" s="9"/>
      <x:c r="E82" s="9"/>
      <x:c r="F82" s="11"/>
      <x:c r="G82" s="10"/>
      <x:c r="H82" s="9"/>
      <x:c r="I82" s="12" t="str">
        <x:f>IF(A82="","",IF(OR(B82="",C82="",F82="",NOT(ISNUMBER(G82))),"À compléter",IF(OR(G82&lt;0,G82&gt;1),"Incohérent",IF(COUNTIFS($A$6:$A$505,A82,$B$6:$B$505,B82)&gt;1,"Doublon ID",""))))</x:f>
      </x:c>
    </x:row>
    <x:row r="83" ht="23" customHeight="1">
      <x:c r="A83" s="9"/>
      <x:c r="B83" s="9"/>
      <x:c r="C83" s="9"/>
      <x:c r="D83" s="9"/>
      <x:c r="E83" s="9"/>
      <x:c r="F83" s="11"/>
      <x:c r="G83" s="10"/>
      <x:c r="H83" s="9"/>
      <x:c r="I83" s="12" t="str">
        <x:f>IF(A83="","",IF(OR(B83="",C83="",F83="",NOT(ISNUMBER(G83))),"À compléter",IF(OR(G83&lt;0,G83&gt;1),"Incohérent",IF(COUNTIFS($A$6:$A$505,A83,$B$6:$B$505,B83)&gt;1,"Doublon ID",""))))</x:f>
      </x:c>
    </x:row>
    <x:row r="84" ht="23" customHeight="1">
      <x:c r="A84" s="9"/>
      <x:c r="B84" s="9"/>
      <x:c r="C84" s="9"/>
      <x:c r="D84" s="9"/>
      <x:c r="E84" s="9"/>
      <x:c r="F84" s="11"/>
      <x:c r="G84" s="10"/>
      <x:c r="H84" s="9"/>
      <x:c r="I84" s="12" t="str">
        <x:f>IF(A84="","",IF(OR(B84="",C84="",F84="",NOT(ISNUMBER(G84))),"À compléter",IF(OR(G84&lt;0,G84&gt;1),"Incohérent",IF(COUNTIFS($A$6:$A$505,A84,$B$6:$B$505,B84)&gt;1,"Doublon ID",""))))</x:f>
      </x:c>
    </x:row>
    <x:row r="85" ht="23" customHeight="1">
      <x:c r="A85" s="9"/>
      <x:c r="B85" s="9"/>
      <x:c r="C85" s="9"/>
      <x:c r="D85" s="9"/>
      <x:c r="E85" s="9"/>
      <x:c r="F85" s="11"/>
      <x:c r="G85" s="10"/>
      <x:c r="H85" s="9"/>
      <x:c r="I85" s="12" t="str">
        <x:f>IF(A85="","",IF(OR(B85="",C85="",F85="",NOT(ISNUMBER(G85))),"À compléter",IF(OR(G85&lt;0,G85&gt;1),"Incohérent",IF(COUNTIFS($A$6:$A$505,A85,$B$6:$B$505,B85)&gt;1,"Doublon ID",""))))</x:f>
      </x:c>
    </x:row>
    <x:row r="86" ht="23" customHeight="1">
      <x:c r="A86" s="9"/>
      <x:c r="B86" s="9"/>
      <x:c r="C86" s="9"/>
      <x:c r="D86" s="9"/>
      <x:c r="E86" s="9"/>
      <x:c r="F86" s="11"/>
      <x:c r="G86" s="10"/>
      <x:c r="H86" s="9"/>
      <x:c r="I86" s="12" t="str">
        <x:f>IF(A86="","",IF(OR(B86="",C86="",F86="",NOT(ISNUMBER(G86))),"À compléter",IF(OR(G86&lt;0,G86&gt;1),"Incohérent",IF(COUNTIFS($A$6:$A$505,A86,$B$6:$B$505,B86)&gt;1,"Doublon ID",""))))</x:f>
      </x:c>
    </x:row>
    <x:row r="87" ht="23" customHeight="1">
      <x:c r="A87" s="9"/>
      <x:c r="B87" s="9"/>
      <x:c r="C87" s="9"/>
      <x:c r="D87" s="9"/>
      <x:c r="E87" s="9"/>
      <x:c r="F87" s="11"/>
      <x:c r="G87" s="10"/>
      <x:c r="H87" s="9"/>
      <x:c r="I87" s="12" t="str">
        <x:f>IF(A87="","",IF(OR(B87="",C87="",F87="",NOT(ISNUMBER(G87))),"À compléter",IF(OR(G87&lt;0,G87&gt;1),"Incohérent",IF(COUNTIFS($A$6:$A$505,A87,$B$6:$B$505,B87)&gt;1,"Doublon ID",""))))</x:f>
      </x:c>
    </x:row>
    <x:row r="88" ht="23" customHeight="1">
      <x:c r="A88" s="9"/>
      <x:c r="B88" s="9"/>
      <x:c r="C88" s="9"/>
      <x:c r="D88" s="9"/>
      <x:c r="E88" s="9"/>
      <x:c r="F88" s="11"/>
      <x:c r="G88" s="10"/>
      <x:c r="H88" s="9"/>
      <x:c r="I88" s="12" t="str">
        <x:f>IF(A88="","",IF(OR(B88="",C88="",F88="",NOT(ISNUMBER(G88))),"À compléter",IF(OR(G88&lt;0,G88&gt;1),"Incohérent",IF(COUNTIFS($A$6:$A$505,A88,$B$6:$B$505,B88)&gt;1,"Doublon ID",""))))</x:f>
      </x:c>
    </x:row>
    <x:row r="89" ht="23" customHeight="1">
      <x:c r="A89" s="9"/>
      <x:c r="B89" s="9"/>
      <x:c r="C89" s="9"/>
      <x:c r="D89" s="9"/>
      <x:c r="E89" s="9"/>
      <x:c r="F89" s="11"/>
      <x:c r="G89" s="10"/>
      <x:c r="H89" s="9"/>
      <x:c r="I89" s="12" t="str">
        <x:f>IF(A89="","",IF(OR(B89="",C89="",F89="",NOT(ISNUMBER(G89))),"À compléter",IF(OR(G89&lt;0,G89&gt;1),"Incohérent",IF(COUNTIFS($A$6:$A$505,A89,$B$6:$B$505,B89)&gt;1,"Doublon ID",""))))</x:f>
      </x:c>
    </x:row>
    <x:row r="90" ht="23" customHeight="1">
      <x:c r="A90" s="9"/>
      <x:c r="B90" s="9"/>
      <x:c r="C90" s="9"/>
      <x:c r="D90" s="9"/>
      <x:c r="E90" s="9"/>
      <x:c r="F90" s="11"/>
      <x:c r="G90" s="10"/>
      <x:c r="H90" s="9"/>
      <x:c r="I90" s="12" t="str">
        <x:f>IF(A90="","",IF(OR(B90="",C90="",F90="",NOT(ISNUMBER(G90))),"À compléter",IF(OR(G90&lt;0,G90&gt;1),"Incohérent",IF(COUNTIFS($A$6:$A$505,A90,$B$6:$B$505,B90)&gt;1,"Doublon ID",""))))</x:f>
      </x:c>
    </x:row>
    <x:row r="91" ht="23" customHeight="1">
      <x:c r="A91" s="9"/>
      <x:c r="B91" s="9"/>
      <x:c r="C91" s="9"/>
      <x:c r="D91" s="9"/>
      <x:c r="E91" s="9"/>
      <x:c r="F91" s="11"/>
      <x:c r="G91" s="10"/>
      <x:c r="H91" s="9"/>
      <x:c r="I91" s="12" t="str">
        <x:f>IF(A91="","",IF(OR(B91="",C91="",F91="",NOT(ISNUMBER(G91))),"À compléter",IF(OR(G91&lt;0,G91&gt;1),"Incohérent",IF(COUNTIFS($A$6:$A$505,A91,$B$6:$B$505,B91)&gt;1,"Doublon ID",""))))</x:f>
      </x:c>
    </x:row>
    <x:row r="92" ht="23" customHeight="1">
      <x:c r="A92" s="9"/>
      <x:c r="B92" s="9"/>
      <x:c r="C92" s="9"/>
      <x:c r="D92" s="9"/>
      <x:c r="E92" s="9"/>
      <x:c r="F92" s="11"/>
      <x:c r="G92" s="10"/>
      <x:c r="H92" s="9"/>
      <x:c r="I92" s="12" t="str">
        <x:f>IF(A92="","",IF(OR(B92="",C92="",F92="",NOT(ISNUMBER(G92))),"À compléter",IF(OR(G92&lt;0,G92&gt;1),"Incohérent",IF(COUNTIFS($A$6:$A$505,A92,$B$6:$B$505,B92)&gt;1,"Doublon ID",""))))</x:f>
      </x:c>
    </x:row>
    <x:row r="93" ht="23" customHeight="1">
      <x:c r="A93" s="9"/>
      <x:c r="B93" s="9"/>
      <x:c r="C93" s="9"/>
      <x:c r="D93" s="9"/>
      <x:c r="E93" s="9"/>
      <x:c r="F93" s="11"/>
      <x:c r="G93" s="10"/>
      <x:c r="H93" s="9"/>
      <x:c r="I93" s="12" t="str">
        <x:f>IF(A93="","",IF(OR(B93="",C93="",F93="",NOT(ISNUMBER(G93))),"À compléter",IF(OR(G93&lt;0,G93&gt;1),"Incohérent",IF(COUNTIFS($A$6:$A$505,A93,$B$6:$B$505,B93)&gt;1,"Doublon ID",""))))</x:f>
      </x:c>
    </x:row>
    <x:row r="94" ht="23" customHeight="1">
      <x:c r="A94" s="9"/>
      <x:c r="B94" s="9"/>
      <x:c r="C94" s="9"/>
      <x:c r="D94" s="9"/>
      <x:c r="E94" s="9"/>
      <x:c r="F94" s="11"/>
      <x:c r="G94" s="10"/>
      <x:c r="H94" s="9"/>
      <x:c r="I94" s="12" t="str">
        <x:f>IF(A94="","",IF(OR(B94="",C94="",F94="",NOT(ISNUMBER(G94))),"À compléter",IF(OR(G94&lt;0,G94&gt;1),"Incohérent",IF(COUNTIFS($A$6:$A$505,A94,$B$6:$B$505,B94)&gt;1,"Doublon ID",""))))</x:f>
      </x:c>
    </x:row>
    <x:row r="95" ht="23" customHeight="1">
      <x:c r="A95" s="9"/>
      <x:c r="B95" s="9"/>
      <x:c r="C95" s="9"/>
      <x:c r="D95" s="9"/>
      <x:c r="E95" s="9"/>
      <x:c r="F95" s="11"/>
      <x:c r="G95" s="10"/>
      <x:c r="H95" s="9"/>
      <x:c r="I95" s="12" t="str">
        <x:f>IF(A95="","",IF(OR(B95="",C95="",F95="",NOT(ISNUMBER(G95))),"À compléter",IF(OR(G95&lt;0,G95&gt;1),"Incohérent",IF(COUNTIFS($A$6:$A$505,A95,$B$6:$B$505,B95)&gt;1,"Doublon ID",""))))</x:f>
      </x:c>
    </x:row>
    <x:row r="96" ht="23" customHeight="1">
      <x:c r="A96" s="9"/>
      <x:c r="B96" s="9"/>
      <x:c r="C96" s="9"/>
      <x:c r="D96" s="9"/>
      <x:c r="E96" s="9"/>
      <x:c r="F96" s="11"/>
      <x:c r="G96" s="10"/>
      <x:c r="H96" s="9"/>
      <x:c r="I96" s="12" t="str">
        <x:f>IF(A96="","",IF(OR(B96="",C96="",F96="",NOT(ISNUMBER(G96))),"À compléter",IF(OR(G96&lt;0,G96&gt;1),"Incohérent",IF(COUNTIFS($A$6:$A$505,A96,$B$6:$B$505,B96)&gt;1,"Doublon ID",""))))</x:f>
      </x:c>
    </x:row>
    <x:row r="97" ht="23" customHeight="1">
      <x:c r="A97" s="9"/>
      <x:c r="B97" s="9"/>
      <x:c r="C97" s="9"/>
      <x:c r="D97" s="9"/>
      <x:c r="E97" s="9"/>
      <x:c r="F97" s="11"/>
      <x:c r="G97" s="10"/>
      <x:c r="H97" s="9"/>
      <x:c r="I97" s="12" t="str">
        <x:f>IF(A97="","",IF(OR(B97="",C97="",F97="",NOT(ISNUMBER(G97))),"À compléter",IF(OR(G97&lt;0,G97&gt;1),"Incohérent",IF(COUNTIFS($A$6:$A$505,A97,$B$6:$B$505,B97)&gt;1,"Doublon ID",""))))</x:f>
      </x:c>
    </x:row>
    <x:row r="98" ht="23" customHeight="1">
      <x:c r="A98" s="9"/>
      <x:c r="B98" s="9"/>
      <x:c r="C98" s="9"/>
      <x:c r="D98" s="9"/>
      <x:c r="E98" s="9"/>
      <x:c r="F98" s="11"/>
      <x:c r="G98" s="10"/>
      <x:c r="H98" s="9"/>
      <x:c r="I98" s="12" t="str">
        <x:f>IF(A98="","",IF(OR(B98="",C98="",F98="",NOT(ISNUMBER(G98))),"À compléter",IF(OR(G98&lt;0,G98&gt;1),"Incohérent",IF(COUNTIFS($A$6:$A$505,A98,$B$6:$B$505,B98)&gt;1,"Doublon ID",""))))</x:f>
      </x:c>
    </x:row>
    <x:row r="99" ht="23" customHeight="1">
      <x:c r="A99" s="9"/>
      <x:c r="B99" s="9"/>
      <x:c r="C99" s="9"/>
      <x:c r="D99" s="9"/>
      <x:c r="E99" s="9"/>
      <x:c r="F99" s="11"/>
      <x:c r="G99" s="10"/>
      <x:c r="H99" s="9"/>
      <x:c r="I99" s="12" t="str">
        <x:f>IF(A99="","",IF(OR(B99="",C99="",F99="",NOT(ISNUMBER(G99))),"À compléter",IF(OR(G99&lt;0,G99&gt;1),"Incohérent",IF(COUNTIFS($A$6:$A$505,A99,$B$6:$B$505,B99)&gt;1,"Doublon ID",""))))</x:f>
      </x:c>
    </x:row>
    <x:row r="100" ht="23" customHeight="1">
      <x:c r="A100" s="9"/>
      <x:c r="B100" s="9"/>
      <x:c r="C100" s="9"/>
      <x:c r="D100" s="9"/>
      <x:c r="E100" s="9"/>
      <x:c r="F100" s="11"/>
      <x:c r="G100" s="10"/>
      <x:c r="H100" s="9"/>
      <x:c r="I100" s="12" t="str">
        <x:f>IF(A100="","",IF(OR(B100="",C100="",F100="",NOT(ISNUMBER(G100))),"À compléter",IF(OR(G100&lt;0,G100&gt;1),"Incohérent",IF(COUNTIFS($A$6:$A$505,A100,$B$6:$B$505,B100)&gt;1,"Doublon ID",""))))</x:f>
      </x:c>
    </x:row>
    <x:row r="101" ht="23" customHeight="1">
      <x:c r="A101" s="9"/>
      <x:c r="B101" s="9"/>
      <x:c r="C101" s="9"/>
      <x:c r="D101" s="9"/>
      <x:c r="E101" s="9"/>
      <x:c r="F101" s="11"/>
      <x:c r="G101" s="10"/>
      <x:c r="H101" s="9"/>
      <x:c r="I101" s="12" t="str">
        <x:f>IF(A101="","",IF(OR(B101="",C101="",F101="",NOT(ISNUMBER(G101))),"À compléter",IF(OR(G101&lt;0,G101&gt;1),"Incohérent",IF(COUNTIFS($A$6:$A$505,A101,$B$6:$B$505,B101)&gt;1,"Doublon ID",""))))</x:f>
      </x:c>
    </x:row>
    <x:row r="102" ht="23" customHeight="1">
      <x:c r="A102" s="9"/>
      <x:c r="B102" s="9"/>
      <x:c r="C102" s="9"/>
      <x:c r="D102" s="9"/>
      <x:c r="E102" s="9"/>
      <x:c r="F102" s="11"/>
      <x:c r="G102" s="10"/>
      <x:c r="H102" s="9"/>
      <x:c r="I102" s="12" t="str">
        <x:f>IF(A102="","",IF(OR(B102="",C102="",F102="",NOT(ISNUMBER(G102))),"À compléter",IF(OR(G102&lt;0,G102&gt;1),"Incohérent",IF(COUNTIFS($A$6:$A$505,A102,$B$6:$B$505,B102)&gt;1,"Doublon ID",""))))</x:f>
      </x:c>
    </x:row>
    <x:row r="103" ht="23" customHeight="1">
      <x:c r="A103" s="9"/>
      <x:c r="B103" s="9"/>
      <x:c r="C103" s="9"/>
      <x:c r="D103" s="9"/>
      <x:c r="E103" s="9"/>
      <x:c r="F103" s="11"/>
      <x:c r="G103" s="10"/>
      <x:c r="H103" s="9"/>
      <x:c r="I103" s="12" t="str">
        <x:f>IF(A103="","",IF(OR(B103="",C103="",F103="",NOT(ISNUMBER(G103))),"À compléter",IF(OR(G103&lt;0,G103&gt;1),"Incohérent",IF(COUNTIFS($A$6:$A$505,A103,$B$6:$B$505,B103)&gt;1,"Doublon ID",""))))</x:f>
      </x:c>
    </x:row>
    <x:row r="104" ht="23" customHeight="1">
      <x:c r="A104" s="9"/>
      <x:c r="B104" s="9"/>
      <x:c r="C104" s="9"/>
      <x:c r="D104" s="9"/>
      <x:c r="E104" s="9"/>
      <x:c r="F104" s="11"/>
      <x:c r="G104" s="10"/>
      <x:c r="H104" s="9"/>
      <x:c r="I104" s="12" t="str">
        <x:f>IF(A104="","",IF(OR(B104="",C104="",F104="",NOT(ISNUMBER(G104))),"À compléter",IF(OR(G104&lt;0,G104&gt;1),"Incohérent",IF(COUNTIFS($A$6:$A$505,A104,$B$6:$B$505,B104)&gt;1,"Doublon ID",""))))</x:f>
      </x:c>
    </x:row>
    <x:row r="105" ht="23" customHeight="1">
      <x:c r="A105" s="9"/>
      <x:c r="B105" s="9"/>
      <x:c r="C105" s="9"/>
      <x:c r="D105" s="9"/>
      <x:c r="E105" s="9"/>
      <x:c r="F105" s="11"/>
      <x:c r="G105" s="10"/>
      <x:c r="H105" s="9"/>
      <x:c r="I105" s="12" t="str">
        <x:f>IF(A105="","",IF(OR(B105="",C105="",F105="",NOT(ISNUMBER(G105))),"À compléter",IF(OR(G105&lt;0,G105&gt;1),"Incohérent",IF(COUNTIFS($A$6:$A$505,A105,$B$6:$B$505,B105)&gt;1,"Doublon ID",""))))</x:f>
      </x:c>
    </x:row>
    <x:row r="106" ht="23" customHeight="1">
      <x:c r="A106" s="9"/>
      <x:c r="B106" s="9"/>
      <x:c r="C106" s="9"/>
      <x:c r="D106" s="9"/>
      <x:c r="E106" s="9"/>
      <x:c r="F106" s="11"/>
      <x:c r="G106" s="10"/>
      <x:c r="H106" s="9"/>
      <x:c r="I106" s="12" t="str">
        <x:f>IF(A106="","",IF(OR(B106="",C106="",F106="",NOT(ISNUMBER(G106))),"À compléter",IF(OR(G106&lt;0,G106&gt;1),"Incohérent",IF(COUNTIFS($A$6:$A$505,A106,$B$6:$B$505,B106)&gt;1,"Doublon ID",""))))</x:f>
      </x:c>
    </x:row>
    <x:row r="107" ht="23" customHeight="1">
      <x:c r="A107" s="9"/>
      <x:c r="B107" s="9"/>
      <x:c r="C107" s="9"/>
      <x:c r="D107" s="9"/>
      <x:c r="E107" s="9"/>
      <x:c r="F107" s="11"/>
      <x:c r="G107" s="10"/>
      <x:c r="H107" s="9"/>
      <x:c r="I107" s="12" t="str">
        <x:f>IF(A107="","",IF(OR(B107="",C107="",F107="",NOT(ISNUMBER(G107))),"À compléter",IF(OR(G107&lt;0,G107&gt;1),"Incohérent",IF(COUNTIFS($A$6:$A$505,A107,$B$6:$B$505,B107)&gt;1,"Doublon ID",""))))</x:f>
      </x:c>
    </x:row>
    <x:row r="108" ht="23" customHeight="1">
      <x:c r="A108" s="9"/>
      <x:c r="B108" s="9"/>
      <x:c r="C108" s="9"/>
      <x:c r="D108" s="9"/>
      <x:c r="E108" s="9"/>
      <x:c r="F108" s="11"/>
      <x:c r="G108" s="10"/>
      <x:c r="H108" s="9"/>
      <x:c r="I108" s="12" t="str">
        <x:f>IF(A108="","",IF(OR(B108="",C108="",F108="",NOT(ISNUMBER(G108))),"À compléter",IF(OR(G108&lt;0,G108&gt;1),"Incohérent",IF(COUNTIFS($A$6:$A$505,A108,$B$6:$B$505,B108)&gt;1,"Doublon ID",""))))</x:f>
      </x:c>
    </x:row>
    <x:row r="109" ht="23" customHeight="1">
      <x:c r="A109" s="9"/>
      <x:c r="B109" s="9"/>
      <x:c r="C109" s="9"/>
      <x:c r="D109" s="9"/>
      <x:c r="E109" s="9"/>
      <x:c r="F109" s="11"/>
      <x:c r="G109" s="10"/>
      <x:c r="H109" s="9"/>
      <x:c r="I109" s="12" t="str">
        <x:f>IF(A109="","",IF(OR(B109="",C109="",F109="",NOT(ISNUMBER(G109))),"À compléter",IF(OR(G109&lt;0,G109&gt;1),"Incohérent",IF(COUNTIFS($A$6:$A$505,A109,$B$6:$B$505,B109)&gt;1,"Doublon ID",""))))</x:f>
      </x:c>
    </x:row>
    <x:row r="110" ht="23" customHeight="1">
      <x:c r="A110" s="9"/>
      <x:c r="B110" s="9"/>
      <x:c r="C110" s="9"/>
      <x:c r="D110" s="9"/>
      <x:c r="E110" s="9"/>
      <x:c r="F110" s="11"/>
      <x:c r="G110" s="10"/>
      <x:c r="H110" s="9"/>
      <x:c r="I110" s="12" t="str">
        <x:f>IF(A110="","",IF(OR(B110="",C110="",F110="",NOT(ISNUMBER(G110))),"À compléter",IF(OR(G110&lt;0,G110&gt;1),"Incohérent",IF(COUNTIFS($A$6:$A$505,A110,$B$6:$B$505,B110)&gt;1,"Doublon ID",""))))</x:f>
      </x:c>
    </x:row>
    <x:row r="111" ht="23" customHeight="1">
      <x:c r="A111" s="9"/>
      <x:c r="B111" s="9"/>
      <x:c r="C111" s="9"/>
      <x:c r="D111" s="9"/>
      <x:c r="E111" s="9"/>
      <x:c r="F111" s="11"/>
      <x:c r="G111" s="10"/>
      <x:c r="H111" s="9"/>
      <x:c r="I111" s="12" t="str">
        <x:f>IF(A111="","",IF(OR(B111="",C111="",F111="",NOT(ISNUMBER(G111))),"À compléter",IF(OR(G111&lt;0,G111&gt;1),"Incohérent",IF(COUNTIFS($A$6:$A$505,A111,$B$6:$B$505,B111)&gt;1,"Doublon ID",""))))</x:f>
      </x:c>
    </x:row>
    <x:row r="112" ht="23" customHeight="1">
      <x:c r="A112" s="9"/>
      <x:c r="B112" s="9"/>
      <x:c r="C112" s="9"/>
      <x:c r="D112" s="9"/>
      <x:c r="E112" s="9"/>
      <x:c r="F112" s="11"/>
      <x:c r="G112" s="10"/>
      <x:c r="H112" s="9"/>
      <x:c r="I112" s="12" t="str">
        <x:f>IF(A112="","",IF(OR(B112="",C112="",F112="",NOT(ISNUMBER(G112))),"À compléter",IF(OR(G112&lt;0,G112&gt;1),"Incohérent",IF(COUNTIFS($A$6:$A$505,A112,$B$6:$B$505,B112)&gt;1,"Doublon ID",""))))</x:f>
      </x:c>
    </x:row>
    <x:row r="113" ht="23" customHeight="1">
      <x:c r="A113" s="9"/>
      <x:c r="B113" s="9"/>
      <x:c r="C113" s="9"/>
      <x:c r="D113" s="9"/>
      <x:c r="E113" s="9"/>
      <x:c r="F113" s="11"/>
      <x:c r="G113" s="10"/>
      <x:c r="H113" s="9"/>
      <x:c r="I113" s="12" t="str">
        <x:f>IF(A113="","",IF(OR(B113="",C113="",F113="",NOT(ISNUMBER(G113))),"À compléter",IF(OR(G113&lt;0,G113&gt;1),"Incohérent",IF(COUNTIFS($A$6:$A$505,A113,$B$6:$B$505,B113)&gt;1,"Doublon ID",""))))</x:f>
      </x:c>
    </x:row>
    <x:row r="114" ht="23" customHeight="1">
      <x:c r="A114" s="9"/>
      <x:c r="B114" s="9"/>
      <x:c r="C114" s="9"/>
      <x:c r="D114" s="9"/>
      <x:c r="E114" s="9"/>
      <x:c r="F114" s="11"/>
      <x:c r="G114" s="10"/>
      <x:c r="H114" s="9"/>
      <x:c r="I114" s="12" t="str">
        <x:f>IF(A114="","",IF(OR(B114="",C114="",F114="",NOT(ISNUMBER(G114))),"À compléter",IF(OR(G114&lt;0,G114&gt;1),"Incohérent",IF(COUNTIFS($A$6:$A$505,A114,$B$6:$B$505,B114)&gt;1,"Doublon ID",""))))</x:f>
      </x:c>
    </x:row>
    <x:row r="115" ht="23" customHeight="1">
      <x:c r="A115" s="9"/>
      <x:c r="B115" s="9"/>
      <x:c r="C115" s="9"/>
      <x:c r="D115" s="9"/>
      <x:c r="E115" s="9"/>
      <x:c r="F115" s="11"/>
      <x:c r="G115" s="10"/>
      <x:c r="H115" s="9"/>
      <x:c r="I115" s="12" t="str">
        <x:f>IF(A115="","",IF(OR(B115="",C115="",F115="",NOT(ISNUMBER(G115))),"À compléter",IF(OR(G115&lt;0,G115&gt;1),"Incohérent",IF(COUNTIFS($A$6:$A$505,A115,$B$6:$B$505,B115)&gt;1,"Doublon ID",""))))</x:f>
      </x:c>
    </x:row>
    <x:row r="116" ht="23" customHeight="1">
      <x:c r="A116" s="9"/>
      <x:c r="B116" s="9"/>
      <x:c r="C116" s="9"/>
      <x:c r="D116" s="9"/>
      <x:c r="E116" s="9"/>
      <x:c r="F116" s="11"/>
      <x:c r="G116" s="10"/>
      <x:c r="H116" s="9"/>
      <x:c r="I116" s="12" t="str">
        <x:f>IF(A116="","",IF(OR(B116="",C116="",F116="",NOT(ISNUMBER(G116))),"À compléter",IF(OR(G116&lt;0,G116&gt;1),"Incohérent",IF(COUNTIFS($A$6:$A$505,A116,$B$6:$B$505,B116)&gt;1,"Doublon ID",""))))</x:f>
      </x:c>
    </x:row>
    <x:row r="117" ht="23" customHeight="1">
      <x:c r="A117" s="9"/>
      <x:c r="B117" s="9"/>
      <x:c r="C117" s="9"/>
      <x:c r="D117" s="9"/>
      <x:c r="E117" s="9"/>
      <x:c r="F117" s="11"/>
      <x:c r="G117" s="10"/>
      <x:c r="H117" s="9"/>
      <x:c r="I117" s="12" t="str">
        <x:f>IF(A117="","",IF(OR(B117="",C117="",F117="",NOT(ISNUMBER(G117))),"À compléter",IF(OR(G117&lt;0,G117&gt;1),"Incohérent",IF(COUNTIFS($A$6:$A$505,A117,$B$6:$B$505,B117)&gt;1,"Doublon ID",""))))</x:f>
      </x:c>
    </x:row>
    <x:row r="118" ht="23" customHeight="1">
      <x:c r="A118" s="9"/>
      <x:c r="B118" s="9"/>
      <x:c r="C118" s="9"/>
      <x:c r="D118" s="9"/>
      <x:c r="E118" s="9"/>
      <x:c r="F118" s="11"/>
      <x:c r="G118" s="10"/>
      <x:c r="H118" s="9"/>
      <x:c r="I118" s="12" t="str">
        <x:f>IF(A118="","",IF(OR(B118="",C118="",F118="",NOT(ISNUMBER(G118))),"À compléter",IF(OR(G118&lt;0,G118&gt;1),"Incohérent",IF(COUNTIFS($A$6:$A$505,A118,$B$6:$B$505,B118)&gt;1,"Doublon ID",""))))</x:f>
      </x:c>
    </x:row>
    <x:row r="119" ht="23" customHeight="1">
      <x:c r="A119" s="9"/>
      <x:c r="B119" s="9"/>
      <x:c r="C119" s="9"/>
      <x:c r="D119" s="9"/>
      <x:c r="E119" s="9"/>
      <x:c r="F119" s="11"/>
      <x:c r="G119" s="10"/>
      <x:c r="H119" s="9"/>
      <x:c r="I119" s="12" t="str">
        <x:f>IF(A119="","",IF(OR(B119="",C119="",F119="",NOT(ISNUMBER(G119))),"À compléter",IF(OR(G119&lt;0,G119&gt;1),"Incohérent",IF(COUNTIFS($A$6:$A$505,A119,$B$6:$B$505,B119)&gt;1,"Doublon ID",""))))</x:f>
      </x:c>
    </x:row>
    <x:row r="120" ht="23" customHeight="1">
      <x:c r="A120" s="9"/>
      <x:c r="B120" s="9"/>
      <x:c r="C120" s="9"/>
      <x:c r="D120" s="9"/>
      <x:c r="E120" s="9"/>
      <x:c r="F120" s="11"/>
      <x:c r="G120" s="10"/>
      <x:c r="H120" s="9"/>
      <x:c r="I120" s="12" t="str">
        <x:f>IF(A120="","",IF(OR(B120="",C120="",F120="",NOT(ISNUMBER(G120))),"À compléter",IF(OR(G120&lt;0,G120&gt;1),"Incohérent",IF(COUNTIFS($A$6:$A$505,A120,$B$6:$B$505,B120)&gt;1,"Doublon ID",""))))</x:f>
      </x:c>
    </x:row>
    <x:row r="121" ht="23" customHeight="1">
      <x:c r="A121" s="9"/>
      <x:c r="B121" s="9"/>
      <x:c r="C121" s="9"/>
      <x:c r="D121" s="9"/>
      <x:c r="E121" s="9"/>
      <x:c r="F121" s="11"/>
      <x:c r="G121" s="10"/>
      <x:c r="H121" s="9"/>
      <x:c r="I121" s="12" t="str">
        <x:f>IF(A121="","",IF(OR(B121="",C121="",F121="",NOT(ISNUMBER(G121))),"À compléter",IF(OR(G121&lt;0,G121&gt;1),"Incohérent",IF(COUNTIFS($A$6:$A$505,A121,$B$6:$B$505,B121)&gt;1,"Doublon ID",""))))</x:f>
      </x:c>
    </x:row>
    <x:row r="122" ht="23" customHeight="1">
      <x:c r="A122" s="9"/>
      <x:c r="B122" s="9"/>
      <x:c r="C122" s="9"/>
      <x:c r="D122" s="9"/>
      <x:c r="E122" s="9"/>
      <x:c r="F122" s="11"/>
      <x:c r="G122" s="10"/>
      <x:c r="H122" s="9"/>
      <x:c r="I122" s="12" t="str">
        <x:f>IF(A122="","",IF(OR(B122="",C122="",F122="",NOT(ISNUMBER(G122))),"À compléter",IF(OR(G122&lt;0,G122&gt;1),"Incohérent",IF(COUNTIFS($A$6:$A$505,A122,$B$6:$B$505,B122)&gt;1,"Doublon ID",""))))</x:f>
      </x:c>
    </x:row>
    <x:row r="123" ht="23" customHeight="1">
      <x:c r="A123" s="9"/>
      <x:c r="B123" s="9"/>
      <x:c r="C123" s="9"/>
      <x:c r="D123" s="9"/>
      <x:c r="E123" s="9"/>
      <x:c r="F123" s="11"/>
      <x:c r="G123" s="10"/>
      <x:c r="H123" s="9"/>
      <x:c r="I123" s="12" t="str">
        <x:f>IF(A123="","",IF(OR(B123="",C123="",F123="",NOT(ISNUMBER(G123))),"À compléter",IF(OR(G123&lt;0,G123&gt;1),"Incohérent",IF(COUNTIFS($A$6:$A$505,A123,$B$6:$B$505,B123)&gt;1,"Doublon ID",""))))</x:f>
      </x:c>
    </x:row>
    <x:row r="124" ht="23" customHeight="1">
      <x:c r="A124" s="9"/>
      <x:c r="B124" s="9"/>
      <x:c r="C124" s="9"/>
      <x:c r="D124" s="9"/>
      <x:c r="E124" s="9"/>
      <x:c r="F124" s="11"/>
      <x:c r="G124" s="10"/>
      <x:c r="H124" s="9"/>
      <x:c r="I124" s="12" t="str">
        <x:f>IF(A124="","",IF(OR(B124="",C124="",F124="",NOT(ISNUMBER(G124))),"À compléter",IF(OR(G124&lt;0,G124&gt;1),"Incohérent",IF(COUNTIFS($A$6:$A$505,A124,$B$6:$B$505,B124)&gt;1,"Doublon ID",""))))</x:f>
      </x:c>
    </x:row>
    <x:row r="125" ht="23" customHeight="1">
      <x:c r="A125" s="9"/>
      <x:c r="B125" s="9"/>
      <x:c r="C125" s="9"/>
      <x:c r="D125" s="9"/>
      <x:c r="E125" s="9"/>
      <x:c r="F125" s="11"/>
      <x:c r="G125" s="10"/>
      <x:c r="H125" s="9"/>
      <x:c r="I125" s="12" t="str">
        <x:f>IF(A125="","",IF(OR(B125="",C125="",F125="",NOT(ISNUMBER(G125))),"À compléter",IF(OR(G125&lt;0,G125&gt;1),"Incohérent",IF(COUNTIFS($A$6:$A$505,A125,$B$6:$B$505,B125)&gt;1,"Doublon ID",""))))</x:f>
      </x:c>
    </x:row>
    <x:row r="126" ht="23" customHeight="1">
      <x:c r="A126" s="9"/>
      <x:c r="B126" s="9"/>
      <x:c r="C126" s="9"/>
      <x:c r="D126" s="9"/>
      <x:c r="E126" s="9"/>
      <x:c r="F126" s="11"/>
      <x:c r="G126" s="10"/>
      <x:c r="H126" s="9"/>
      <x:c r="I126" s="12" t="str">
        <x:f>IF(A126="","",IF(OR(B126="",C126="",F126="",NOT(ISNUMBER(G126))),"À compléter",IF(OR(G126&lt;0,G126&gt;1),"Incohérent",IF(COUNTIFS($A$6:$A$505,A126,$B$6:$B$505,B126)&gt;1,"Doublon ID",""))))</x:f>
      </x:c>
    </x:row>
    <x:row r="127" ht="23" customHeight="1">
      <x:c r="A127" s="9"/>
      <x:c r="B127" s="9"/>
      <x:c r="C127" s="9"/>
      <x:c r="D127" s="9"/>
      <x:c r="E127" s="9"/>
      <x:c r="F127" s="11"/>
      <x:c r="G127" s="10"/>
      <x:c r="H127" s="9"/>
      <x:c r="I127" s="12" t="str">
        <x:f>IF(A127="","",IF(OR(B127="",C127="",F127="",NOT(ISNUMBER(G127))),"À compléter",IF(OR(G127&lt;0,G127&gt;1),"Incohérent",IF(COUNTIFS($A$6:$A$505,A127,$B$6:$B$505,B127)&gt;1,"Doublon ID",""))))</x:f>
      </x:c>
    </x:row>
    <x:row r="128" ht="23" customHeight="1">
      <x:c r="A128" s="9"/>
      <x:c r="B128" s="9"/>
      <x:c r="C128" s="9"/>
      <x:c r="D128" s="9"/>
      <x:c r="E128" s="9"/>
      <x:c r="F128" s="11"/>
      <x:c r="G128" s="10"/>
      <x:c r="H128" s="9"/>
      <x:c r="I128" s="12" t="str">
        <x:f>IF(A128="","",IF(OR(B128="",C128="",F128="",NOT(ISNUMBER(G128))),"À compléter",IF(OR(G128&lt;0,G128&gt;1),"Incohérent",IF(COUNTIFS($A$6:$A$505,A128,$B$6:$B$505,B128)&gt;1,"Doublon ID",""))))</x:f>
      </x:c>
    </x:row>
    <x:row r="129" ht="23" customHeight="1">
      <x:c r="A129" s="9"/>
      <x:c r="B129" s="9"/>
      <x:c r="C129" s="9"/>
      <x:c r="D129" s="9"/>
      <x:c r="E129" s="9"/>
      <x:c r="F129" s="11"/>
      <x:c r="G129" s="10"/>
      <x:c r="H129" s="9"/>
      <x:c r="I129" s="12" t="str">
        <x:f>IF(A129="","",IF(OR(B129="",C129="",F129="",NOT(ISNUMBER(G129))),"À compléter",IF(OR(G129&lt;0,G129&gt;1),"Incohérent",IF(COUNTIFS($A$6:$A$505,A129,$B$6:$B$505,B129)&gt;1,"Doublon ID",""))))</x:f>
      </x:c>
    </x:row>
    <x:row r="130" ht="23" customHeight="1">
      <x:c r="A130" s="9"/>
      <x:c r="B130" s="9"/>
      <x:c r="C130" s="9"/>
      <x:c r="D130" s="9"/>
      <x:c r="E130" s="9"/>
      <x:c r="F130" s="11"/>
      <x:c r="G130" s="10"/>
      <x:c r="H130" s="9"/>
      <x:c r="I130" s="12" t="str">
        <x:f>IF(A130="","",IF(OR(B130="",C130="",F130="",NOT(ISNUMBER(G130))),"À compléter",IF(OR(G130&lt;0,G130&gt;1),"Incohérent",IF(COUNTIFS($A$6:$A$505,A130,$B$6:$B$505,B130)&gt;1,"Doublon ID",""))))</x:f>
      </x:c>
    </x:row>
    <x:row r="131" ht="23" customHeight="1">
      <x:c r="A131" s="9"/>
      <x:c r="B131" s="9"/>
      <x:c r="C131" s="9"/>
      <x:c r="D131" s="9"/>
      <x:c r="E131" s="9"/>
      <x:c r="F131" s="11"/>
      <x:c r="G131" s="10"/>
      <x:c r="H131" s="9"/>
      <x:c r="I131" s="12" t="str">
        <x:f>IF(A131="","",IF(OR(B131="",C131="",F131="",NOT(ISNUMBER(G131))),"À compléter",IF(OR(G131&lt;0,G131&gt;1),"Incohérent",IF(COUNTIFS($A$6:$A$505,A131,$B$6:$B$505,B131)&gt;1,"Doublon ID",""))))</x:f>
      </x:c>
    </x:row>
    <x:row r="132" ht="23" customHeight="1">
      <x:c r="A132" s="9"/>
      <x:c r="B132" s="9"/>
      <x:c r="C132" s="9"/>
      <x:c r="D132" s="9"/>
      <x:c r="E132" s="9"/>
      <x:c r="F132" s="11"/>
      <x:c r="G132" s="10"/>
      <x:c r="H132" s="9"/>
      <x:c r="I132" s="12" t="str">
        <x:f>IF(A132="","",IF(OR(B132="",C132="",F132="",NOT(ISNUMBER(G132))),"À compléter",IF(OR(G132&lt;0,G132&gt;1),"Incohérent",IF(COUNTIFS($A$6:$A$505,A132,$B$6:$B$505,B132)&gt;1,"Doublon ID",""))))</x:f>
      </x:c>
    </x:row>
    <x:row r="133" ht="23" customHeight="1">
      <x:c r="A133" s="9"/>
      <x:c r="B133" s="9"/>
      <x:c r="C133" s="9"/>
      <x:c r="D133" s="9"/>
      <x:c r="E133" s="9"/>
      <x:c r="F133" s="11"/>
      <x:c r="G133" s="10"/>
      <x:c r="H133" s="9"/>
      <x:c r="I133" s="12" t="str">
        <x:f>IF(A133="","",IF(OR(B133="",C133="",F133="",NOT(ISNUMBER(G133))),"À compléter",IF(OR(G133&lt;0,G133&gt;1),"Incohérent",IF(COUNTIFS($A$6:$A$505,A133,$B$6:$B$505,B133)&gt;1,"Doublon ID",""))))</x:f>
      </x:c>
    </x:row>
    <x:row r="134" ht="23" customHeight="1">
      <x:c r="A134" s="9"/>
      <x:c r="B134" s="9"/>
      <x:c r="C134" s="9"/>
      <x:c r="D134" s="9"/>
      <x:c r="E134" s="9"/>
      <x:c r="F134" s="11"/>
      <x:c r="G134" s="10"/>
      <x:c r="H134" s="9"/>
      <x:c r="I134" s="12" t="str">
        <x:f>IF(A134="","",IF(OR(B134="",C134="",F134="",NOT(ISNUMBER(G134))),"À compléter",IF(OR(G134&lt;0,G134&gt;1),"Incohérent",IF(COUNTIFS($A$6:$A$505,A134,$B$6:$B$505,B134)&gt;1,"Doublon ID",""))))</x:f>
      </x:c>
    </x:row>
    <x:row r="135" ht="23" customHeight="1">
      <x:c r="A135" s="9"/>
      <x:c r="B135" s="9"/>
      <x:c r="C135" s="9"/>
      <x:c r="D135" s="9"/>
      <x:c r="E135" s="9"/>
      <x:c r="F135" s="11"/>
      <x:c r="G135" s="10"/>
      <x:c r="H135" s="9"/>
      <x:c r="I135" s="12" t="str">
        <x:f>IF(A135="","",IF(OR(B135="",C135="",F135="",NOT(ISNUMBER(G135))),"À compléter",IF(OR(G135&lt;0,G135&gt;1),"Incohérent",IF(COUNTIFS($A$6:$A$505,A135,$B$6:$B$505,B135)&gt;1,"Doublon ID",""))))</x:f>
      </x:c>
    </x:row>
    <x:row r="136" ht="23" customHeight="1">
      <x:c r="A136" s="9"/>
      <x:c r="B136" s="9"/>
      <x:c r="C136" s="9"/>
      <x:c r="D136" s="9"/>
      <x:c r="E136" s="9"/>
      <x:c r="F136" s="11"/>
      <x:c r="G136" s="10"/>
      <x:c r="H136" s="9"/>
      <x:c r="I136" s="12" t="str">
        <x:f>IF(A136="","",IF(OR(B136="",C136="",F136="",NOT(ISNUMBER(G136))),"À compléter",IF(OR(G136&lt;0,G136&gt;1),"Incohérent",IF(COUNTIFS($A$6:$A$505,A136,$B$6:$B$505,B136)&gt;1,"Doublon ID",""))))</x:f>
      </x:c>
    </x:row>
    <x:row r="137" ht="23" customHeight="1">
      <x:c r="A137" s="9"/>
      <x:c r="B137" s="9"/>
      <x:c r="C137" s="9"/>
      <x:c r="D137" s="9"/>
      <x:c r="E137" s="9"/>
      <x:c r="F137" s="11"/>
      <x:c r="G137" s="10"/>
      <x:c r="H137" s="9"/>
      <x:c r="I137" s="12" t="str">
        <x:f>IF(A137="","",IF(OR(B137="",C137="",F137="",NOT(ISNUMBER(G137))),"À compléter",IF(OR(G137&lt;0,G137&gt;1),"Incohérent",IF(COUNTIFS($A$6:$A$505,A137,$B$6:$B$505,B137)&gt;1,"Doublon ID",""))))</x:f>
      </x:c>
    </x:row>
    <x:row r="138" ht="23" customHeight="1">
      <x:c r="A138" s="9"/>
      <x:c r="B138" s="9"/>
      <x:c r="C138" s="9"/>
      <x:c r="D138" s="9"/>
      <x:c r="E138" s="9"/>
      <x:c r="F138" s="11"/>
      <x:c r="G138" s="10"/>
      <x:c r="H138" s="9"/>
      <x:c r="I138" s="12" t="str">
        <x:f>IF(A138="","",IF(OR(B138="",C138="",F138="",NOT(ISNUMBER(G138))),"À compléter",IF(OR(G138&lt;0,G138&gt;1),"Incohérent",IF(COUNTIFS($A$6:$A$505,A138,$B$6:$B$505,B138)&gt;1,"Doublon ID",""))))</x:f>
      </x:c>
    </x:row>
    <x:row r="139" ht="23" customHeight="1">
      <x:c r="A139" s="9"/>
      <x:c r="B139" s="9"/>
      <x:c r="C139" s="9"/>
      <x:c r="D139" s="9"/>
      <x:c r="E139" s="9"/>
      <x:c r="F139" s="11"/>
      <x:c r="G139" s="10"/>
      <x:c r="H139" s="9"/>
      <x:c r="I139" s="12" t="str">
        <x:f>IF(A139="","",IF(OR(B139="",C139="",F139="",NOT(ISNUMBER(G139))),"À compléter",IF(OR(G139&lt;0,G139&gt;1),"Incohérent",IF(COUNTIFS($A$6:$A$505,A139,$B$6:$B$505,B139)&gt;1,"Doublon ID",""))))</x:f>
      </x:c>
    </x:row>
    <x:row r="140" ht="23" customHeight="1">
      <x:c r="A140" s="9"/>
      <x:c r="B140" s="9"/>
      <x:c r="C140" s="9"/>
      <x:c r="D140" s="9"/>
      <x:c r="E140" s="9"/>
      <x:c r="F140" s="11"/>
      <x:c r="G140" s="10"/>
      <x:c r="H140" s="9"/>
      <x:c r="I140" s="12" t="str">
        <x:f>IF(A140="","",IF(OR(B140="",C140="",F140="",NOT(ISNUMBER(G140))),"À compléter",IF(OR(G140&lt;0,G140&gt;1),"Incohérent",IF(COUNTIFS($A$6:$A$505,A140,$B$6:$B$505,B140)&gt;1,"Doublon ID",""))))</x:f>
      </x:c>
    </x:row>
    <x:row r="141" ht="23" customHeight="1">
      <x:c r="A141" s="9"/>
      <x:c r="B141" s="9"/>
      <x:c r="C141" s="9"/>
      <x:c r="D141" s="9"/>
      <x:c r="E141" s="9"/>
      <x:c r="F141" s="11"/>
      <x:c r="G141" s="10"/>
      <x:c r="H141" s="9"/>
      <x:c r="I141" s="12" t="str">
        <x:f>IF(A141="","",IF(OR(B141="",C141="",F141="",NOT(ISNUMBER(G141))),"À compléter",IF(OR(G141&lt;0,G141&gt;1),"Incohérent",IF(COUNTIFS($A$6:$A$505,A141,$B$6:$B$505,B141)&gt;1,"Doublon ID",""))))</x:f>
      </x:c>
    </x:row>
    <x:row r="142" ht="23" customHeight="1">
      <x:c r="A142" s="9"/>
      <x:c r="B142" s="9"/>
      <x:c r="C142" s="9"/>
      <x:c r="D142" s="9"/>
      <x:c r="E142" s="9"/>
      <x:c r="F142" s="11"/>
      <x:c r="G142" s="10"/>
      <x:c r="H142" s="9"/>
      <x:c r="I142" s="12" t="str">
        <x:f>IF(A142="","",IF(OR(B142="",C142="",F142="",NOT(ISNUMBER(G142))),"À compléter",IF(OR(G142&lt;0,G142&gt;1),"Incohérent",IF(COUNTIFS($A$6:$A$505,A142,$B$6:$B$505,B142)&gt;1,"Doublon ID",""))))</x:f>
      </x:c>
    </x:row>
    <x:row r="143" ht="23" customHeight="1">
      <x:c r="A143" s="9"/>
      <x:c r="B143" s="9"/>
      <x:c r="C143" s="9"/>
      <x:c r="D143" s="9"/>
      <x:c r="E143" s="9"/>
      <x:c r="F143" s="11"/>
      <x:c r="G143" s="10"/>
      <x:c r="H143" s="9"/>
      <x:c r="I143" s="12" t="str">
        <x:f>IF(A143="","",IF(OR(B143="",C143="",F143="",NOT(ISNUMBER(G143))),"À compléter",IF(OR(G143&lt;0,G143&gt;1),"Incohérent",IF(COUNTIFS($A$6:$A$505,A143,$B$6:$B$505,B143)&gt;1,"Doublon ID",""))))</x:f>
      </x:c>
    </x:row>
    <x:row r="144" ht="23" customHeight="1">
      <x:c r="A144" s="9"/>
      <x:c r="B144" s="9"/>
      <x:c r="C144" s="9"/>
      <x:c r="D144" s="9"/>
      <x:c r="E144" s="9"/>
      <x:c r="F144" s="11"/>
      <x:c r="G144" s="10"/>
      <x:c r="H144" s="9"/>
      <x:c r="I144" s="12" t="str">
        <x:f>IF(A144="","",IF(OR(B144="",C144="",F144="",NOT(ISNUMBER(G144))),"À compléter",IF(OR(G144&lt;0,G144&gt;1),"Incohérent",IF(COUNTIFS($A$6:$A$505,A144,$B$6:$B$505,B144)&gt;1,"Doublon ID",""))))</x:f>
      </x:c>
    </x:row>
    <x:row r="145" ht="23" customHeight="1">
      <x:c r="A145" s="9"/>
      <x:c r="B145" s="9"/>
      <x:c r="C145" s="9"/>
      <x:c r="D145" s="9"/>
      <x:c r="E145" s="9"/>
      <x:c r="F145" s="11"/>
      <x:c r="G145" s="10"/>
      <x:c r="H145" s="9"/>
      <x:c r="I145" s="12" t="str">
        <x:f>IF(A145="","",IF(OR(B145="",C145="",F145="",NOT(ISNUMBER(G145))),"À compléter",IF(OR(G145&lt;0,G145&gt;1),"Incohérent",IF(COUNTIFS($A$6:$A$505,A145,$B$6:$B$505,B145)&gt;1,"Doublon ID",""))))</x:f>
      </x:c>
    </x:row>
    <x:row r="146" ht="23" customHeight="1">
      <x:c r="A146" s="9"/>
      <x:c r="B146" s="9"/>
      <x:c r="C146" s="9"/>
      <x:c r="D146" s="9"/>
      <x:c r="E146" s="9"/>
      <x:c r="F146" s="11"/>
      <x:c r="G146" s="10"/>
      <x:c r="H146" s="9"/>
      <x:c r="I146" s="12" t="str">
        <x:f>IF(A146="","",IF(OR(B146="",C146="",F146="",NOT(ISNUMBER(G146))),"À compléter",IF(OR(G146&lt;0,G146&gt;1),"Incohérent",IF(COUNTIFS($A$6:$A$505,A146,$B$6:$B$505,B146)&gt;1,"Doublon ID",""))))</x:f>
      </x:c>
    </x:row>
    <x:row r="147" ht="23" customHeight="1">
      <x:c r="A147" s="9"/>
      <x:c r="B147" s="9"/>
      <x:c r="C147" s="9"/>
      <x:c r="D147" s="9"/>
      <x:c r="E147" s="9"/>
      <x:c r="F147" s="11"/>
      <x:c r="G147" s="10"/>
      <x:c r="H147" s="9"/>
      <x:c r="I147" s="12" t="str">
        <x:f>IF(A147="","",IF(OR(B147="",C147="",F147="",NOT(ISNUMBER(G147))),"À compléter",IF(OR(G147&lt;0,G147&gt;1),"Incohérent",IF(COUNTIFS($A$6:$A$505,A147,$B$6:$B$505,B147)&gt;1,"Doublon ID",""))))</x:f>
      </x:c>
    </x:row>
    <x:row r="148" ht="23" customHeight="1">
      <x:c r="A148" s="9"/>
      <x:c r="B148" s="9"/>
      <x:c r="C148" s="9"/>
      <x:c r="D148" s="9"/>
      <x:c r="E148" s="9"/>
      <x:c r="F148" s="11"/>
      <x:c r="G148" s="10"/>
      <x:c r="H148" s="9"/>
      <x:c r="I148" s="12" t="str">
        <x:f>IF(A148="","",IF(OR(B148="",C148="",F148="",NOT(ISNUMBER(G148))),"À compléter",IF(OR(G148&lt;0,G148&gt;1),"Incohérent",IF(COUNTIFS($A$6:$A$505,A148,$B$6:$B$505,B148)&gt;1,"Doublon ID",""))))</x:f>
      </x:c>
    </x:row>
    <x:row r="149" ht="23" customHeight="1">
      <x:c r="A149" s="9"/>
      <x:c r="B149" s="9"/>
      <x:c r="C149" s="9"/>
      <x:c r="D149" s="9"/>
      <x:c r="E149" s="9"/>
      <x:c r="F149" s="11"/>
      <x:c r="G149" s="10"/>
      <x:c r="H149" s="9"/>
      <x:c r="I149" s="12" t="str">
        <x:f>IF(A149="","",IF(OR(B149="",C149="",F149="",NOT(ISNUMBER(G149))),"À compléter",IF(OR(G149&lt;0,G149&gt;1),"Incohérent",IF(COUNTIFS($A$6:$A$505,A149,$B$6:$B$505,B149)&gt;1,"Doublon ID",""))))</x:f>
      </x:c>
    </x:row>
    <x:row r="150" ht="23" customHeight="1">
      <x:c r="A150" s="9"/>
      <x:c r="B150" s="9"/>
      <x:c r="C150" s="9"/>
      <x:c r="D150" s="9"/>
      <x:c r="E150" s="9"/>
      <x:c r="F150" s="11"/>
      <x:c r="G150" s="10"/>
      <x:c r="H150" s="9"/>
      <x:c r="I150" s="12" t="str">
        <x:f>IF(A150="","",IF(OR(B150="",C150="",F150="",NOT(ISNUMBER(G150))),"À compléter",IF(OR(G150&lt;0,G150&gt;1),"Incohérent",IF(COUNTIFS($A$6:$A$505,A150,$B$6:$B$505,B150)&gt;1,"Doublon ID",""))))</x:f>
      </x:c>
    </x:row>
    <x:row r="151" ht="23" customHeight="1">
      <x:c r="A151" s="9"/>
      <x:c r="B151" s="9"/>
      <x:c r="C151" s="9"/>
      <x:c r="D151" s="9"/>
      <x:c r="E151" s="9"/>
      <x:c r="F151" s="11"/>
      <x:c r="G151" s="10"/>
      <x:c r="H151" s="9"/>
      <x:c r="I151" s="12" t="str">
        <x:f>IF(A151="","",IF(OR(B151="",C151="",F151="",NOT(ISNUMBER(G151))),"À compléter",IF(OR(G151&lt;0,G151&gt;1),"Incohérent",IF(COUNTIFS($A$6:$A$505,A151,$B$6:$B$505,B151)&gt;1,"Doublon ID",""))))</x:f>
      </x:c>
    </x:row>
    <x:row r="152" ht="23" customHeight="1">
      <x:c r="A152" s="9"/>
      <x:c r="B152" s="9"/>
      <x:c r="C152" s="9"/>
      <x:c r="D152" s="9"/>
      <x:c r="E152" s="9"/>
      <x:c r="F152" s="11"/>
      <x:c r="G152" s="10"/>
      <x:c r="H152" s="9"/>
      <x:c r="I152" s="12" t="str">
        <x:f>IF(A152="","",IF(OR(B152="",C152="",F152="",NOT(ISNUMBER(G152))),"À compléter",IF(OR(G152&lt;0,G152&gt;1),"Incohérent",IF(COUNTIFS($A$6:$A$505,A152,$B$6:$B$505,B152)&gt;1,"Doublon ID",""))))</x:f>
      </x:c>
    </x:row>
    <x:row r="153" ht="23" customHeight="1">
      <x:c r="A153" s="9"/>
      <x:c r="B153" s="9"/>
      <x:c r="C153" s="9"/>
      <x:c r="D153" s="9"/>
      <x:c r="E153" s="9"/>
      <x:c r="F153" s="11"/>
      <x:c r="G153" s="10"/>
      <x:c r="H153" s="9"/>
      <x:c r="I153" s="12" t="str">
        <x:f>IF(A153="","",IF(OR(B153="",C153="",F153="",NOT(ISNUMBER(G153))),"À compléter",IF(OR(G153&lt;0,G153&gt;1),"Incohérent",IF(COUNTIFS($A$6:$A$505,A153,$B$6:$B$505,B153)&gt;1,"Doublon ID",""))))</x:f>
      </x:c>
    </x:row>
    <x:row r="154" ht="23" customHeight="1">
      <x:c r="A154" s="9"/>
      <x:c r="B154" s="9"/>
      <x:c r="C154" s="9"/>
      <x:c r="D154" s="9"/>
      <x:c r="E154" s="9"/>
      <x:c r="F154" s="11"/>
      <x:c r="G154" s="10"/>
      <x:c r="H154" s="9"/>
      <x:c r="I154" s="12" t="str">
        <x:f>IF(A154="","",IF(OR(B154="",C154="",F154="",NOT(ISNUMBER(G154))),"À compléter",IF(OR(G154&lt;0,G154&gt;1),"Incohérent",IF(COUNTIFS($A$6:$A$505,A154,$B$6:$B$505,B154)&gt;1,"Doublon ID",""))))</x:f>
      </x:c>
    </x:row>
    <x:row r="155" ht="23" customHeight="1">
      <x:c r="A155" s="9"/>
      <x:c r="B155" s="9"/>
      <x:c r="C155" s="9"/>
      <x:c r="D155" s="9"/>
      <x:c r="E155" s="9"/>
      <x:c r="F155" s="11"/>
      <x:c r="G155" s="10"/>
      <x:c r="H155" s="9"/>
      <x:c r="I155" s="12" t="str">
        <x:f>IF(A155="","",IF(OR(B155="",C155="",F155="",NOT(ISNUMBER(G155))),"À compléter",IF(OR(G155&lt;0,G155&gt;1),"Incohérent",IF(COUNTIFS($A$6:$A$505,A155,$B$6:$B$505,B155)&gt;1,"Doublon ID",""))))</x:f>
      </x:c>
    </x:row>
    <x:row r="156" ht="23" customHeight="1">
      <x:c r="A156" s="9"/>
      <x:c r="B156" s="9"/>
      <x:c r="C156" s="9"/>
      <x:c r="D156" s="9"/>
      <x:c r="E156" s="9"/>
      <x:c r="F156" s="11"/>
      <x:c r="G156" s="10"/>
      <x:c r="H156" s="9"/>
      <x:c r="I156" s="12" t="str">
        <x:f>IF(A156="","",IF(OR(B156="",C156="",F156="",NOT(ISNUMBER(G156))),"À compléter",IF(OR(G156&lt;0,G156&gt;1),"Incohérent",IF(COUNTIFS($A$6:$A$505,A156,$B$6:$B$505,B156)&gt;1,"Doublon ID",""))))</x:f>
      </x:c>
    </x:row>
    <x:row r="157" ht="23" customHeight="1">
      <x:c r="A157" s="9"/>
      <x:c r="B157" s="9"/>
      <x:c r="C157" s="9"/>
      <x:c r="D157" s="9"/>
      <x:c r="E157" s="9"/>
      <x:c r="F157" s="11"/>
      <x:c r="G157" s="10"/>
      <x:c r="H157" s="9"/>
      <x:c r="I157" s="12" t="str">
        <x:f>IF(A157="","",IF(OR(B157="",C157="",F157="",NOT(ISNUMBER(G157))),"À compléter",IF(OR(G157&lt;0,G157&gt;1),"Incohérent",IF(COUNTIFS($A$6:$A$505,A157,$B$6:$B$505,B157)&gt;1,"Doublon ID",""))))</x:f>
      </x:c>
    </x:row>
    <x:row r="158" ht="23" customHeight="1">
      <x:c r="A158" s="9"/>
      <x:c r="B158" s="9"/>
      <x:c r="C158" s="9"/>
      <x:c r="D158" s="9"/>
      <x:c r="E158" s="9"/>
      <x:c r="F158" s="11"/>
      <x:c r="G158" s="10"/>
      <x:c r="H158" s="9"/>
      <x:c r="I158" s="12" t="str">
        <x:f>IF(A158="","",IF(OR(B158="",C158="",F158="",NOT(ISNUMBER(G158))),"À compléter",IF(OR(G158&lt;0,G158&gt;1),"Incohérent",IF(COUNTIFS($A$6:$A$505,A158,$B$6:$B$505,B158)&gt;1,"Doublon ID",""))))</x:f>
      </x:c>
    </x:row>
    <x:row r="159" ht="23" customHeight="1">
      <x:c r="A159" s="9"/>
      <x:c r="B159" s="9"/>
      <x:c r="C159" s="9"/>
      <x:c r="D159" s="9"/>
      <x:c r="E159" s="9"/>
      <x:c r="F159" s="11"/>
      <x:c r="G159" s="10"/>
      <x:c r="H159" s="9"/>
      <x:c r="I159" s="12" t="str">
        <x:f>IF(A159="","",IF(OR(B159="",C159="",F159="",NOT(ISNUMBER(G159))),"À compléter",IF(OR(G159&lt;0,G159&gt;1),"Incohérent",IF(COUNTIFS($A$6:$A$505,A159,$B$6:$B$505,B159)&gt;1,"Doublon ID",""))))</x:f>
      </x:c>
    </x:row>
    <x:row r="160" ht="23" customHeight="1">
      <x:c r="A160" s="9"/>
      <x:c r="B160" s="9"/>
      <x:c r="C160" s="9"/>
      <x:c r="D160" s="9"/>
      <x:c r="E160" s="9"/>
      <x:c r="F160" s="11"/>
      <x:c r="G160" s="10"/>
      <x:c r="H160" s="9"/>
      <x:c r="I160" s="12" t="str">
        <x:f>IF(A160="","",IF(OR(B160="",C160="",F160="",NOT(ISNUMBER(G160))),"À compléter",IF(OR(G160&lt;0,G160&gt;1),"Incohérent",IF(COUNTIFS($A$6:$A$505,A160,$B$6:$B$505,B160)&gt;1,"Doublon ID",""))))</x:f>
      </x:c>
    </x:row>
    <x:row r="161" ht="23" customHeight="1">
      <x:c r="A161" s="9"/>
      <x:c r="B161" s="9"/>
      <x:c r="C161" s="9"/>
      <x:c r="D161" s="9"/>
      <x:c r="E161" s="9"/>
      <x:c r="F161" s="11"/>
      <x:c r="G161" s="10"/>
      <x:c r="H161" s="9"/>
      <x:c r="I161" s="12" t="str">
        <x:f>IF(A161="","",IF(OR(B161="",C161="",F161="",NOT(ISNUMBER(G161))),"À compléter",IF(OR(G161&lt;0,G161&gt;1),"Incohérent",IF(COUNTIFS($A$6:$A$505,A161,$B$6:$B$505,B161)&gt;1,"Doublon ID",""))))</x:f>
      </x:c>
    </x:row>
    <x:row r="162" ht="23" customHeight="1">
      <x:c r="A162" s="9"/>
      <x:c r="B162" s="9"/>
      <x:c r="C162" s="9"/>
      <x:c r="D162" s="9"/>
      <x:c r="E162" s="9"/>
      <x:c r="F162" s="11"/>
      <x:c r="G162" s="10"/>
      <x:c r="H162" s="9"/>
      <x:c r="I162" s="12" t="str">
        <x:f>IF(A162="","",IF(OR(B162="",C162="",F162="",NOT(ISNUMBER(G162))),"À compléter",IF(OR(G162&lt;0,G162&gt;1),"Incohérent",IF(COUNTIFS($A$6:$A$505,A162,$B$6:$B$505,B162)&gt;1,"Doublon ID",""))))</x:f>
      </x:c>
    </x:row>
    <x:row r="163" ht="23" customHeight="1">
      <x:c r="A163" s="9"/>
      <x:c r="B163" s="9"/>
      <x:c r="C163" s="9"/>
      <x:c r="D163" s="9"/>
      <x:c r="E163" s="9"/>
      <x:c r="F163" s="11"/>
      <x:c r="G163" s="10"/>
      <x:c r="H163" s="9"/>
      <x:c r="I163" s="12" t="str">
        <x:f>IF(A163="","",IF(OR(B163="",C163="",F163="",NOT(ISNUMBER(G163))),"À compléter",IF(OR(G163&lt;0,G163&gt;1),"Incohérent",IF(COUNTIFS($A$6:$A$505,A163,$B$6:$B$505,B163)&gt;1,"Doublon ID",""))))</x:f>
      </x:c>
    </x:row>
    <x:row r="164" ht="23" customHeight="1">
      <x:c r="A164" s="9"/>
      <x:c r="B164" s="9"/>
      <x:c r="C164" s="9"/>
      <x:c r="D164" s="9"/>
      <x:c r="E164" s="9"/>
      <x:c r="F164" s="11"/>
      <x:c r="G164" s="10"/>
      <x:c r="H164" s="9"/>
      <x:c r="I164" s="12" t="str">
        <x:f>IF(A164="","",IF(OR(B164="",C164="",F164="",NOT(ISNUMBER(G164))),"À compléter",IF(OR(G164&lt;0,G164&gt;1),"Incohérent",IF(COUNTIFS($A$6:$A$505,A164,$B$6:$B$505,B164)&gt;1,"Doublon ID",""))))</x:f>
      </x:c>
    </x:row>
    <x:row r="165" ht="23" customHeight="1">
      <x:c r="A165" s="9"/>
      <x:c r="B165" s="9"/>
      <x:c r="C165" s="9"/>
      <x:c r="D165" s="9"/>
      <x:c r="E165" s="9"/>
      <x:c r="F165" s="11"/>
      <x:c r="G165" s="10"/>
      <x:c r="H165" s="9"/>
      <x:c r="I165" s="12" t="str">
        <x:f>IF(A165="","",IF(OR(B165="",C165="",F165="",NOT(ISNUMBER(G165))),"À compléter",IF(OR(G165&lt;0,G165&gt;1),"Incohérent",IF(COUNTIFS($A$6:$A$505,A165,$B$6:$B$505,B165)&gt;1,"Doublon ID",""))))</x:f>
      </x:c>
    </x:row>
    <x:row r="166" ht="23" customHeight="1">
      <x:c r="A166" s="9"/>
      <x:c r="B166" s="9"/>
      <x:c r="C166" s="9"/>
      <x:c r="D166" s="9"/>
      <x:c r="E166" s="9"/>
      <x:c r="F166" s="11"/>
      <x:c r="G166" s="10"/>
      <x:c r="H166" s="9"/>
      <x:c r="I166" s="12" t="str">
        <x:f>IF(A166="","",IF(OR(B166="",C166="",F166="",NOT(ISNUMBER(G166))),"À compléter",IF(OR(G166&lt;0,G166&gt;1),"Incohérent",IF(COUNTIFS($A$6:$A$505,A166,$B$6:$B$505,B166)&gt;1,"Doublon ID",""))))</x:f>
      </x:c>
    </x:row>
    <x:row r="167" ht="23" customHeight="1">
      <x:c r="A167" s="9"/>
      <x:c r="B167" s="9"/>
      <x:c r="C167" s="9"/>
      <x:c r="D167" s="9"/>
      <x:c r="E167" s="9"/>
      <x:c r="F167" s="11"/>
      <x:c r="G167" s="10"/>
      <x:c r="H167" s="9"/>
      <x:c r="I167" s="12" t="str">
        <x:f>IF(A167="","",IF(OR(B167="",C167="",F167="",NOT(ISNUMBER(G167))),"À compléter",IF(OR(G167&lt;0,G167&gt;1),"Incohérent",IF(COUNTIFS($A$6:$A$505,A167,$B$6:$B$505,B167)&gt;1,"Doublon ID",""))))</x:f>
      </x:c>
    </x:row>
    <x:row r="168" ht="23" customHeight="1">
      <x:c r="A168" s="9"/>
      <x:c r="B168" s="9"/>
      <x:c r="C168" s="9"/>
      <x:c r="D168" s="9"/>
      <x:c r="E168" s="9"/>
      <x:c r="F168" s="11"/>
      <x:c r="G168" s="10"/>
      <x:c r="H168" s="9"/>
      <x:c r="I168" s="12" t="str">
        <x:f>IF(A168="","",IF(OR(B168="",C168="",F168="",NOT(ISNUMBER(G168))),"À compléter",IF(OR(G168&lt;0,G168&gt;1),"Incohérent",IF(COUNTIFS($A$6:$A$505,A168,$B$6:$B$505,B168)&gt;1,"Doublon ID",""))))</x:f>
      </x:c>
    </x:row>
    <x:row r="169" ht="23" customHeight="1">
      <x:c r="A169" s="9"/>
      <x:c r="B169" s="9"/>
      <x:c r="C169" s="9"/>
      <x:c r="D169" s="9"/>
      <x:c r="E169" s="9"/>
      <x:c r="F169" s="11"/>
      <x:c r="G169" s="10"/>
      <x:c r="H169" s="9"/>
      <x:c r="I169" s="12" t="str">
        <x:f>IF(A169="","",IF(OR(B169="",C169="",F169="",NOT(ISNUMBER(G169))),"À compléter",IF(OR(G169&lt;0,G169&gt;1),"Incohérent",IF(COUNTIFS($A$6:$A$505,A169,$B$6:$B$505,B169)&gt;1,"Doublon ID",""))))</x:f>
      </x:c>
    </x:row>
    <x:row r="170" ht="23" customHeight="1">
      <x:c r="A170" s="9"/>
      <x:c r="B170" s="9"/>
      <x:c r="C170" s="9"/>
      <x:c r="D170" s="9"/>
      <x:c r="E170" s="9"/>
      <x:c r="F170" s="11"/>
      <x:c r="G170" s="10"/>
      <x:c r="H170" s="9"/>
      <x:c r="I170" s="12" t="str">
        <x:f>IF(A170="","",IF(OR(B170="",C170="",F170="",NOT(ISNUMBER(G170))),"À compléter",IF(OR(G170&lt;0,G170&gt;1),"Incohérent",IF(COUNTIFS($A$6:$A$505,A170,$B$6:$B$505,B170)&gt;1,"Doublon ID",""))))</x:f>
      </x:c>
    </x:row>
    <x:row r="171" ht="23" customHeight="1">
      <x:c r="A171" s="9"/>
      <x:c r="B171" s="9"/>
      <x:c r="C171" s="9"/>
      <x:c r="D171" s="9"/>
      <x:c r="E171" s="9"/>
      <x:c r="F171" s="11"/>
      <x:c r="G171" s="10"/>
      <x:c r="H171" s="9"/>
      <x:c r="I171" s="12" t="str">
        <x:f>IF(A171="","",IF(OR(B171="",C171="",F171="",NOT(ISNUMBER(G171))),"À compléter",IF(OR(G171&lt;0,G171&gt;1),"Incohérent",IF(COUNTIFS($A$6:$A$505,A171,$B$6:$B$505,B171)&gt;1,"Doublon ID",""))))</x:f>
      </x:c>
    </x:row>
    <x:row r="172" ht="23" customHeight="1">
      <x:c r="A172" s="9"/>
      <x:c r="B172" s="9"/>
      <x:c r="C172" s="9"/>
      <x:c r="D172" s="9"/>
      <x:c r="E172" s="9"/>
      <x:c r="F172" s="11"/>
      <x:c r="G172" s="10"/>
      <x:c r="H172" s="9"/>
      <x:c r="I172" s="12" t="str">
        <x:f>IF(A172="","",IF(OR(B172="",C172="",F172="",NOT(ISNUMBER(G172))),"À compléter",IF(OR(G172&lt;0,G172&gt;1),"Incohérent",IF(COUNTIFS($A$6:$A$505,A172,$B$6:$B$505,B172)&gt;1,"Doublon ID",""))))</x:f>
      </x:c>
    </x:row>
    <x:row r="173" ht="23" customHeight="1">
      <x:c r="A173" s="9"/>
      <x:c r="B173" s="9"/>
      <x:c r="C173" s="9"/>
      <x:c r="D173" s="9"/>
      <x:c r="E173" s="9"/>
      <x:c r="F173" s="11"/>
      <x:c r="G173" s="10"/>
      <x:c r="H173" s="9"/>
      <x:c r="I173" s="12" t="str">
        <x:f>IF(A173="","",IF(OR(B173="",C173="",F173="",NOT(ISNUMBER(G173))),"À compléter",IF(OR(G173&lt;0,G173&gt;1),"Incohérent",IF(COUNTIFS($A$6:$A$505,A173,$B$6:$B$505,B173)&gt;1,"Doublon ID",""))))</x:f>
      </x:c>
    </x:row>
    <x:row r="174" ht="23" customHeight="1">
      <x:c r="A174" s="9"/>
      <x:c r="B174" s="9"/>
      <x:c r="C174" s="9"/>
      <x:c r="D174" s="9"/>
      <x:c r="E174" s="9"/>
      <x:c r="F174" s="11"/>
      <x:c r="G174" s="10"/>
      <x:c r="H174" s="9"/>
      <x:c r="I174" s="12" t="str">
        <x:f>IF(A174="","",IF(OR(B174="",C174="",F174="",NOT(ISNUMBER(G174))),"À compléter",IF(OR(G174&lt;0,G174&gt;1),"Incohérent",IF(COUNTIFS($A$6:$A$505,A174,$B$6:$B$505,B174)&gt;1,"Doublon ID",""))))</x:f>
      </x:c>
    </x:row>
    <x:row r="175" ht="23" customHeight="1">
      <x:c r="A175" s="9"/>
      <x:c r="B175" s="9"/>
      <x:c r="C175" s="9"/>
      <x:c r="D175" s="9"/>
      <x:c r="E175" s="9"/>
      <x:c r="F175" s="11"/>
      <x:c r="G175" s="10"/>
      <x:c r="H175" s="9"/>
      <x:c r="I175" s="12" t="str">
        <x:f>IF(A175="","",IF(OR(B175="",C175="",F175="",NOT(ISNUMBER(G175))),"À compléter",IF(OR(G175&lt;0,G175&gt;1),"Incohérent",IF(COUNTIFS($A$6:$A$505,A175,$B$6:$B$505,B175)&gt;1,"Doublon ID",""))))</x:f>
      </x:c>
    </x:row>
    <x:row r="176" ht="23" customHeight="1">
      <x:c r="A176" s="9"/>
      <x:c r="B176" s="9"/>
      <x:c r="C176" s="9"/>
      <x:c r="D176" s="9"/>
      <x:c r="E176" s="9"/>
      <x:c r="F176" s="11"/>
      <x:c r="G176" s="10"/>
      <x:c r="H176" s="9"/>
      <x:c r="I176" s="12" t="str">
        <x:f>IF(A176="","",IF(OR(B176="",C176="",F176="",NOT(ISNUMBER(G176))),"À compléter",IF(OR(G176&lt;0,G176&gt;1),"Incohérent",IF(COUNTIFS($A$6:$A$505,A176,$B$6:$B$505,B176)&gt;1,"Doublon ID",""))))</x:f>
      </x:c>
    </x:row>
    <x:row r="177" ht="23" customHeight="1">
      <x:c r="A177" s="9"/>
      <x:c r="B177" s="9"/>
      <x:c r="C177" s="9"/>
      <x:c r="D177" s="9"/>
      <x:c r="E177" s="9"/>
      <x:c r="F177" s="11"/>
      <x:c r="G177" s="10"/>
      <x:c r="H177" s="9"/>
      <x:c r="I177" s="12" t="str">
        <x:f>IF(A177="","",IF(OR(B177="",C177="",F177="",NOT(ISNUMBER(G177))),"À compléter",IF(OR(G177&lt;0,G177&gt;1),"Incohérent",IF(COUNTIFS($A$6:$A$505,A177,$B$6:$B$505,B177)&gt;1,"Doublon ID",""))))</x:f>
      </x:c>
    </x:row>
    <x:row r="178" ht="23" customHeight="1">
      <x:c r="A178" s="9"/>
      <x:c r="B178" s="9"/>
      <x:c r="C178" s="9"/>
      <x:c r="D178" s="9"/>
      <x:c r="E178" s="9"/>
      <x:c r="F178" s="11"/>
      <x:c r="G178" s="10"/>
      <x:c r="H178" s="9"/>
      <x:c r="I178" s="12" t="str">
        <x:f>IF(A178="","",IF(OR(B178="",C178="",F178="",NOT(ISNUMBER(G178))),"À compléter",IF(OR(G178&lt;0,G178&gt;1),"Incohérent",IF(COUNTIFS($A$6:$A$505,A178,$B$6:$B$505,B178)&gt;1,"Doublon ID",""))))</x:f>
      </x:c>
    </x:row>
    <x:row r="179" ht="23" customHeight="1">
      <x:c r="A179" s="9"/>
      <x:c r="B179" s="9"/>
      <x:c r="C179" s="9"/>
      <x:c r="D179" s="9"/>
      <x:c r="E179" s="9"/>
      <x:c r="F179" s="11"/>
      <x:c r="G179" s="10"/>
      <x:c r="H179" s="9"/>
      <x:c r="I179" s="12" t="str">
        <x:f>IF(A179="","",IF(OR(B179="",C179="",F179="",NOT(ISNUMBER(G179))),"À compléter",IF(OR(G179&lt;0,G179&gt;1),"Incohérent",IF(COUNTIFS($A$6:$A$505,A179,$B$6:$B$505,B179)&gt;1,"Doublon ID",""))))</x:f>
      </x:c>
    </x:row>
    <x:row r="180" ht="23" customHeight="1">
      <x:c r="A180" s="9"/>
      <x:c r="B180" s="9"/>
      <x:c r="C180" s="9"/>
      <x:c r="D180" s="9"/>
      <x:c r="E180" s="9"/>
      <x:c r="F180" s="11"/>
      <x:c r="G180" s="10"/>
      <x:c r="H180" s="9"/>
      <x:c r="I180" s="12" t="str">
        <x:f>IF(A180="","",IF(OR(B180="",C180="",F180="",NOT(ISNUMBER(G180))),"À compléter",IF(OR(G180&lt;0,G180&gt;1),"Incohérent",IF(COUNTIFS($A$6:$A$505,A180,$B$6:$B$505,B180)&gt;1,"Doublon ID",""))))</x:f>
      </x:c>
    </x:row>
    <x:row r="181" ht="23" customHeight="1">
      <x:c r="A181" s="9"/>
      <x:c r="B181" s="9"/>
      <x:c r="C181" s="9"/>
      <x:c r="D181" s="9"/>
      <x:c r="E181" s="9"/>
      <x:c r="F181" s="11"/>
      <x:c r="G181" s="10"/>
      <x:c r="H181" s="9"/>
      <x:c r="I181" s="12" t="str">
        <x:f>IF(A181="","",IF(OR(B181="",C181="",F181="",NOT(ISNUMBER(G181))),"À compléter",IF(OR(G181&lt;0,G181&gt;1),"Incohérent",IF(COUNTIFS($A$6:$A$505,A181,$B$6:$B$505,B181)&gt;1,"Doublon ID",""))))</x:f>
      </x:c>
    </x:row>
    <x:row r="182" ht="23" customHeight="1">
      <x:c r="A182" s="9"/>
      <x:c r="B182" s="9"/>
      <x:c r="C182" s="9"/>
      <x:c r="D182" s="9"/>
      <x:c r="E182" s="9"/>
      <x:c r="F182" s="11"/>
      <x:c r="G182" s="10"/>
      <x:c r="H182" s="9"/>
      <x:c r="I182" s="12" t="str">
        <x:f>IF(A182="","",IF(OR(B182="",C182="",F182="",NOT(ISNUMBER(G182))),"À compléter",IF(OR(G182&lt;0,G182&gt;1),"Incohérent",IF(COUNTIFS($A$6:$A$505,A182,$B$6:$B$505,B182)&gt;1,"Doublon ID",""))))</x:f>
      </x:c>
    </x:row>
    <x:row r="183" ht="23" customHeight="1">
      <x:c r="A183" s="9"/>
      <x:c r="B183" s="9"/>
      <x:c r="C183" s="9"/>
      <x:c r="D183" s="9"/>
      <x:c r="E183" s="9"/>
      <x:c r="F183" s="11"/>
      <x:c r="G183" s="10"/>
      <x:c r="H183" s="9"/>
      <x:c r="I183" s="12" t="str">
        <x:f>IF(A183="","",IF(OR(B183="",C183="",F183="",NOT(ISNUMBER(G183))),"À compléter",IF(OR(G183&lt;0,G183&gt;1),"Incohérent",IF(COUNTIFS($A$6:$A$505,A183,$B$6:$B$505,B183)&gt;1,"Doublon ID",""))))</x:f>
      </x:c>
    </x:row>
    <x:row r="184" ht="23" customHeight="1">
      <x:c r="A184" s="9"/>
      <x:c r="B184" s="9"/>
      <x:c r="C184" s="9"/>
      <x:c r="D184" s="9"/>
      <x:c r="E184" s="9"/>
      <x:c r="F184" s="11"/>
      <x:c r="G184" s="10"/>
      <x:c r="H184" s="9"/>
      <x:c r="I184" s="12" t="str">
        <x:f>IF(A184="","",IF(OR(B184="",C184="",F184="",NOT(ISNUMBER(G184))),"À compléter",IF(OR(G184&lt;0,G184&gt;1),"Incohérent",IF(COUNTIFS($A$6:$A$505,A184,$B$6:$B$505,B184)&gt;1,"Doublon ID",""))))</x:f>
      </x:c>
    </x:row>
    <x:row r="185" ht="23" customHeight="1">
      <x:c r="A185" s="9"/>
      <x:c r="B185" s="9"/>
      <x:c r="C185" s="9"/>
      <x:c r="D185" s="9"/>
      <x:c r="E185" s="9"/>
      <x:c r="F185" s="11"/>
      <x:c r="G185" s="10"/>
      <x:c r="H185" s="9"/>
      <x:c r="I185" s="12" t="str">
        <x:f>IF(A185="","",IF(OR(B185="",C185="",F185="",NOT(ISNUMBER(G185))),"À compléter",IF(OR(G185&lt;0,G185&gt;1),"Incohérent",IF(COUNTIFS($A$6:$A$505,A185,$B$6:$B$505,B185)&gt;1,"Doublon ID",""))))</x:f>
      </x:c>
    </x:row>
    <x:row r="186" ht="23" customHeight="1">
      <x:c r="A186" s="9"/>
      <x:c r="B186" s="9"/>
      <x:c r="C186" s="9"/>
      <x:c r="D186" s="9"/>
      <x:c r="E186" s="9"/>
      <x:c r="F186" s="11"/>
      <x:c r="G186" s="10"/>
      <x:c r="H186" s="9"/>
      <x:c r="I186" s="12" t="str">
        <x:f>IF(A186="","",IF(OR(B186="",C186="",F186="",NOT(ISNUMBER(G186))),"À compléter",IF(OR(G186&lt;0,G186&gt;1),"Incohérent",IF(COUNTIFS($A$6:$A$505,A186,$B$6:$B$505,B186)&gt;1,"Doublon ID",""))))</x:f>
      </x:c>
    </x:row>
    <x:row r="187" ht="23" customHeight="1">
      <x:c r="A187" s="9"/>
      <x:c r="B187" s="9"/>
      <x:c r="C187" s="9"/>
      <x:c r="D187" s="9"/>
      <x:c r="E187" s="9"/>
      <x:c r="F187" s="11"/>
      <x:c r="G187" s="10"/>
      <x:c r="H187" s="9"/>
      <x:c r="I187" s="12" t="str">
        <x:f>IF(A187="","",IF(OR(B187="",C187="",F187="",NOT(ISNUMBER(G187))),"À compléter",IF(OR(G187&lt;0,G187&gt;1),"Incohérent",IF(COUNTIFS($A$6:$A$505,A187,$B$6:$B$505,B187)&gt;1,"Doublon ID",""))))</x:f>
      </x:c>
    </x:row>
    <x:row r="188" ht="23" customHeight="1">
      <x:c r="A188" s="9"/>
      <x:c r="B188" s="9"/>
      <x:c r="C188" s="9"/>
      <x:c r="D188" s="9"/>
      <x:c r="E188" s="9"/>
      <x:c r="F188" s="11"/>
      <x:c r="G188" s="10"/>
      <x:c r="H188" s="9"/>
      <x:c r="I188" s="12" t="str">
        <x:f>IF(A188="","",IF(OR(B188="",C188="",F188="",NOT(ISNUMBER(G188))),"À compléter",IF(OR(G188&lt;0,G188&gt;1),"Incohérent",IF(COUNTIFS($A$6:$A$505,A188,$B$6:$B$505,B188)&gt;1,"Doublon ID",""))))</x:f>
      </x:c>
    </x:row>
    <x:row r="189" ht="23" customHeight="1">
      <x:c r="A189" s="9"/>
      <x:c r="B189" s="9"/>
      <x:c r="C189" s="9"/>
      <x:c r="D189" s="9"/>
      <x:c r="E189" s="9"/>
      <x:c r="F189" s="11"/>
      <x:c r="G189" s="10"/>
      <x:c r="H189" s="9"/>
      <x:c r="I189" s="12" t="str">
        <x:f>IF(A189="","",IF(OR(B189="",C189="",F189="",NOT(ISNUMBER(G189))),"À compléter",IF(OR(G189&lt;0,G189&gt;1),"Incohérent",IF(COUNTIFS($A$6:$A$505,A189,$B$6:$B$505,B189)&gt;1,"Doublon ID",""))))</x:f>
      </x:c>
    </x:row>
    <x:row r="190" ht="23" customHeight="1">
      <x:c r="A190" s="9"/>
      <x:c r="B190" s="9"/>
      <x:c r="C190" s="9"/>
      <x:c r="D190" s="9"/>
      <x:c r="E190" s="9"/>
      <x:c r="F190" s="11"/>
      <x:c r="G190" s="10"/>
      <x:c r="H190" s="9"/>
      <x:c r="I190" s="12" t="str">
        <x:f>IF(A190="","",IF(OR(B190="",C190="",F190="",NOT(ISNUMBER(G190))),"À compléter",IF(OR(G190&lt;0,G190&gt;1),"Incohérent",IF(COUNTIFS($A$6:$A$505,A190,$B$6:$B$505,B190)&gt;1,"Doublon ID",""))))</x:f>
      </x:c>
    </x:row>
    <x:row r="191" ht="23" customHeight="1">
      <x:c r="A191" s="9"/>
      <x:c r="B191" s="9"/>
      <x:c r="C191" s="9"/>
      <x:c r="D191" s="9"/>
      <x:c r="E191" s="9"/>
      <x:c r="F191" s="11"/>
      <x:c r="G191" s="10"/>
      <x:c r="H191" s="9"/>
      <x:c r="I191" s="12" t="str">
        <x:f>IF(A191="","",IF(OR(B191="",C191="",F191="",NOT(ISNUMBER(G191))),"À compléter",IF(OR(G191&lt;0,G191&gt;1),"Incohérent",IF(COUNTIFS($A$6:$A$505,A191,$B$6:$B$505,B191)&gt;1,"Doublon ID",""))))</x:f>
      </x:c>
    </x:row>
    <x:row r="192" ht="23" customHeight="1">
      <x:c r="A192" s="9"/>
      <x:c r="B192" s="9"/>
      <x:c r="C192" s="9"/>
      <x:c r="D192" s="9"/>
      <x:c r="E192" s="9"/>
      <x:c r="F192" s="11"/>
      <x:c r="G192" s="10"/>
      <x:c r="H192" s="9"/>
      <x:c r="I192" s="12" t="str">
        <x:f>IF(A192="","",IF(OR(B192="",C192="",F192="",NOT(ISNUMBER(G192))),"À compléter",IF(OR(G192&lt;0,G192&gt;1),"Incohérent",IF(COUNTIFS($A$6:$A$505,A192,$B$6:$B$505,B192)&gt;1,"Doublon ID",""))))</x:f>
      </x:c>
    </x:row>
    <x:row r="193" ht="23" customHeight="1">
      <x:c r="A193" s="9"/>
      <x:c r="B193" s="9"/>
      <x:c r="C193" s="9"/>
      <x:c r="D193" s="9"/>
      <x:c r="E193" s="9"/>
      <x:c r="F193" s="11"/>
      <x:c r="G193" s="10"/>
      <x:c r="H193" s="9"/>
      <x:c r="I193" s="12" t="str">
        <x:f>IF(A193="","",IF(OR(B193="",C193="",F193="",NOT(ISNUMBER(G193))),"À compléter",IF(OR(G193&lt;0,G193&gt;1),"Incohérent",IF(COUNTIFS($A$6:$A$505,A193,$B$6:$B$505,B193)&gt;1,"Doublon ID",""))))</x:f>
      </x:c>
    </x:row>
    <x:row r="194" ht="23" customHeight="1">
      <x:c r="A194" s="9"/>
      <x:c r="B194" s="9"/>
      <x:c r="C194" s="9"/>
      <x:c r="D194" s="9"/>
      <x:c r="E194" s="9"/>
      <x:c r="F194" s="11"/>
      <x:c r="G194" s="10"/>
      <x:c r="H194" s="9"/>
      <x:c r="I194" s="12" t="str">
        <x:f>IF(A194="","",IF(OR(B194="",C194="",F194="",NOT(ISNUMBER(G194))),"À compléter",IF(OR(G194&lt;0,G194&gt;1),"Incohérent",IF(COUNTIFS($A$6:$A$505,A194,$B$6:$B$505,B194)&gt;1,"Doublon ID",""))))</x:f>
      </x:c>
    </x:row>
    <x:row r="195" ht="23" customHeight="1">
      <x:c r="A195" s="9"/>
      <x:c r="B195" s="9"/>
      <x:c r="C195" s="9"/>
      <x:c r="D195" s="9"/>
      <x:c r="E195" s="9"/>
      <x:c r="F195" s="11"/>
      <x:c r="G195" s="10"/>
      <x:c r="H195" s="9"/>
      <x:c r="I195" s="12" t="str">
        <x:f>IF(A195="","",IF(OR(B195="",C195="",F195="",NOT(ISNUMBER(G195))),"À compléter",IF(OR(G195&lt;0,G195&gt;1),"Incohérent",IF(COUNTIFS($A$6:$A$505,A195,$B$6:$B$505,B195)&gt;1,"Doublon ID",""))))</x:f>
      </x:c>
    </x:row>
    <x:row r="196" ht="23" customHeight="1">
      <x:c r="A196" s="9"/>
      <x:c r="B196" s="9"/>
      <x:c r="C196" s="9"/>
      <x:c r="D196" s="9"/>
      <x:c r="E196" s="9"/>
      <x:c r="F196" s="11"/>
      <x:c r="G196" s="10"/>
      <x:c r="H196" s="9"/>
      <x:c r="I196" s="12" t="str">
        <x:f>IF(A196="","",IF(OR(B196="",C196="",F196="",NOT(ISNUMBER(G196))),"À compléter",IF(OR(G196&lt;0,G196&gt;1),"Incohérent",IF(COUNTIFS($A$6:$A$505,A196,$B$6:$B$505,B196)&gt;1,"Doublon ID",""))))</x:f>
      </x:c>
    </x:row>
    <x:row r="197" ht="23" customHeight="1">
      <x:c r="A197" s="9"/>
      <x:c r="B197" s="9"/>
      <x:c r="C197" s="9"/>
      <x:c r="D197" s="9"/>
      <x:c r="E197" s="9"/>
      <x:c r="F197" s="11"/>
      <x:c r="G197" s="10"/>
      <x:c r="H197" s="9"/>
      <x:c r="I197" s="12" t="str">
        <x:f>IF(A197="","",IF(OR(B197="",C197="",F197="",NOT(ISNUMBER(G197))),"À compléter",IF(OR(G197&lt;0,G197&gt;1),"Incohérent",IF(COUNTIFS($A$6:$A$505,A197,$B$6:$B$505,B197)&gt;1,"Doublon ID",""))))</x:f>
      </x:c>
    </x:row>
    <x:row r="198" ht="23" customHeight="1">
      <x:c r="A198" s="9"/>
      <x:c r="B198" s="9"/>
      <x:c r="C198" s="9"/>
      <x:c r="D198" s="9"/>
      <x:c r="E198" s="9"/>
      <x:c r="F198" s="11"/>
      <x:c r="G198" s="10"/>
      <x:c r="H198" s="9"/>
      <x:c r="I198" s="12" t="str">
        <x:f>IF(A198="","",IF(OR(B198="",C198="",F198="",NOT(ISNUMBER(G198))),"À compléter",IF(OR(G198&lt;0,G198&gt;1),"Incohérent",IF(COUNTIFS($A$6:$A$505,A198,$B$6:$B$505,B198)&gt;1,"Doublon ID",""))))</x:f>
      </x:c>
    </x:row>
    <x:row r="199" ht="23" customHeight="1">
      <x:c r="A199" s="9"/>
      <x:c r="B199" s="9"/>
      <x:c r="C199" s="9"/>
      <x:c r="D199" s="9"/>
      <x:c r="E199" s="9"/>
      <x:c r="F199" s="11"/>
      <x:c r="G199" s="10"/>
      <x:c r="H199" s="9"/>
      <x:c r="I199" s="12" t="str">
        <x:f>IF(A199="","",IF(OR(B199="",C199="",F199="",NOT(ISNUMBER(G199))),"À compléter",IF(OR(G199&lt;0,G199&gt;1),"Incohérent",IF(COUNTIFS($A$6:$A$505,A199,$B$6:$B$505,B199)&gt;1,"Doublon ID",""))))</x:f>
      </x:c>
    </x:row>
    <x:row r="200" ht="23" customHeight="1">
      <x:c r="A200" s="9"/>
      <x:c r="B200" s="9"/>
      <x:c r="C200" s="9"/>
      <x:c r="D200" s="9"/>
      <x:c r="E200" s="9"/>
      <x:c r="F200" s="11"/>
      <x:c r="G200" s="10"/>
      <x:c r="H200" s="9"/>
      <x:c r="I200" s="12" t="str">
        <x:f>IF(A200="","",IF(OR(B200="",C200="",F200="",NOT(ISNUMBER(G200))),"À compléter",IF(OR(G200&lt;0,G200&gt;1),"Incohérent",IF(COUNTIFS($A$6:$A$505,A200,$B$6:$B$505,B200)&gt;1,"Doublon ID",""))))</x:f>
      </x:c>
    </x:row>
    <x:row r="201" ht="23" customHeight="1">
      <x:c r="A201" s="9"/>
      <x:c r="B201" s="9"/>
      <x:c r="C201" s="9"/>
      <x:c r="D201" s="9"/>
      <x:c r="E201" s="9"/>
      <x:c r="F201" s="11"/>
      <x:c r="G201" s="10"/>
      <x:c r="H201" s="9"/>
      <x:c r="I201" s="12" t="str">
        <x:f>IF(A201="","",IF(OR(B201="",C201="",F201="",NOT(ISNUMBER(G201))),"À compléter",IF(OR(G201&lt;0,G201&gt;1),"Incohérent",IF(COUNTIFS($A$6:$A$505,A201,$B$6:$B$505,B201)&gt;1,"Doublon ID",""))))</x:f>
      </x:c>
    </x:row>
    <x:row r="202" ht="23" customHeight="1">
      <x:c r="A202" s="9"/>
      <x:c r="B202" s="9"/>
      <x:c r="C202" s="9"/>
      <x:c r="D202" s="9"/>
      <x:c r="E202" s="9"/>
      <x:c r="F202" s="11"/>
      <x:c r="G202" s="10"/>
      <x:c r="H202" s="9"/>
      <x:c r="I202" s="12" t="str">
        <x:f>IF(A202="","",IF(OR(B202="",C202="",F202="",NOT(ISNUMBER(G202))),"À compléter",IF(OR(G202&lt;0,G202&gt;1),"Incohérent",IF(COUNTIFS($A$6:$A$505,A202,$B$6:$B$505,B202)&gt;1,"Doublon ID",""))))</x:f>
      </x:c>
    </x:row>
    <x:row r="203" ht="23" customHeight="1">
      <x:c r="A203" s="9"/>
      <x:c r="B203" s="9"/>
      <x:c r="C203" s="9"/>
      <x:c r="D203" s="9"/>
      <x:c r="E203" s="9"/>
      <x:c r="F203" s="11"/>
      <x:c r="G203" s="10"/>
      <x:c r="H203" s="9"/>
      <x:c r="I203" s="12" t="str">
        <x:f>IF(A203="","",IF(OR(B203="",C203="",F203="",NOT(ISNUMBER(G203))),"À compléter",IF(OR(G203&lt;0,G203&gt;1),"Incohérent",IF(COUNTIFS($A$6:$A$505,A203,$B$6:$B$505,B203)&gt;1,"Doublon ID",""))))</x:f>
      </x:c>
    </x:row>
    <x:row r="204" ht="23" customHeight="1">
      <x:c r="A204" s="9"/>
      <x:c r="B204" s="9"/>
      <x:c r="C204" s="9"/>
      <x:c r="D204" s="9"/>
      <x:c r="E204" s="9"/>
      <x:c r="F204" s="11"/>
      <x:c r="G204" s="10"/>
      <x:c r="H204" s="9"/>
      <x:c r="I204" s="12" t="str">
        <x:f>IF(A204="","",IF(OR(B204="",C204="",F204="",NOT(ISNUMBER(G204))),"À compléter",IF(OR(G204&lt;0,G204&gt;1),"Incohérent",IF(COUNTIFS($A$6:$A$505,A204,$B$6:$B$505,B204)&gt;1,"Doublon ID",""))))</x:f>
      </x:c>
    </x:row>
    <x:row r="205" ht="23" customHeight="1">
      <x:c r="A205" s="9"/>
      <x:c r="B205" s="9"/>
      <x:c r="C205" s="9"/>
      <x:c r="D205" s="9"/>
      <x:c r="E205" s="9"/>
      <x:c r="F205" s="11"/>
      <x:c r="G205" s="10"/>
      <x:c r="H205" s="9"/>
      <x:c r="I205" s="12" t="str">
        <x:f>IF(A205="","",IF(OR(B205="",C205="",F205="",NOT(ISNUMBER(G205))),"À compléter",IF(OR(G205&lt;0,G205&gt;1),"Incohérent",IF(COUNTIFS($A$6:$A$505,A205,$B$6:$B$505,B205)&gt;1,"Doublon ID",""))))</x:f>
      </x:c>
    </x:row>
    <x:row r="206" ht="23" customHeight="1">
      <x:c r="A206" s="9"/>
      <x:c r="B206" s="9"/>
      <x:c r="C206" s="9"/>
      <x:c r="D206" s="9"/>
      <x:c r="E206" s="9"/>
      <x:c r="F206" s="11"/>
      <x:c r="G206" s="10"/>
      <x:c r="H206" s="9"/>
      <x:c r="I206" s="12" t="str">
        <x:f>IF(A206="","",IF(OR(B206="",C206="",F206="",NOT(ISNUMBER(G206))),"À compléter",IF(OR(G206&lt;0,G206&gt;1),"Incohérent",IF(COUNTIFS($A$6:$A$505,A206,$B$6:$B$505,B206)&gt;1,"Doublon ID",""))))</x:f>
      </x:c>
    </x:row>
    <x:row r="207" ht="23" customHeight="1">
      <x:c r="A207" s="9"/>
      <x:c r="B207" s="9"/>
      <x:c r="C207" s="9"/>
      <x:c r="D207" s="9"/>
      <x:c r="E207" s="9"/>
      <x:c r="F207" s="11"/>
      <x:c r="G207" s="10"/>
      <x:c r="H207" s="9"/>
      <x:c r="I207" s="12" t="str">
        <x:f>IF(A207="","",IF(OR(B207="",C207="",F207="",NOT(ISNUMBER(G207))),"À compléter",IF(OR(G207&lt;0,G207&gt;1),"Incohérent",IF(COUNTIFS($A$6:$A$505,A207,$B$6:$B$505,B207)&gt;1,"Doublon ID",""))))</x:f>
      </x:c>
    </x:row>
    <x:row r="208" ht="23" customHeight="1">
      <x:c r="A208" s="9"/>
      <x:c r="B208" s="9"/>
      <x:c r="C208" s="9"/>
      <x:c r="D208" s="9"/>
      <x:c r="E208" s="9"/>
      <x:c r="F208" s="11"/>
      <x:c r="G208" s="10"/>
      <x:c r="H208" s="9"/>
      <x:c r="I208" s="12" t="str">
        <x:f>IF(A208="","",IF(OR(B208="",C208="",F208="",NOT(ISNUMBER(G208))),"À compléter",IF(OR(G208&lt;0,G208&gt;1),"Incohérent",IF(COUNTIFS($A$6:$A$505,A208,$B$6:$B$505,B208)&gt;1,"Doublon ID",""))))</x:f>
      </x:c>
    </x:row>
    <x:row r="209" ht="23" customHeight="1">
      <x:c r="A209" s="9"/>
      <x:c r="B209" s="9"/>
      <x:c r="C209" s="9"/>
      <x:c r="D209" s="9"/>
      <x:c r="E209" s="9"/>
      <x:c r="F209" s="11"/>
      <x:c r="G209" s="10"/>
      <x:c r="H209" s="9"/>
      <x:c r="I209" s="12" t="str">
        <x:f>IF(A209="","",IF(OR(B209="",C209="",F209="",NOT(ISNUMBER(G209))),"À compléter",IF(OR(G209&lt;0,G209&gt;1),"Incohérent",IF(COUNTIFS($A$6:$A$505,A209,$B$6:$B$505,B209)&gt;1,"Doublon ID",""))))</x:f>
      </x:c>
    </x:row>
    <x:row r="210" ht="23" customHeight="1">
      <x:c r="A210" s="9"/>
      <x:c r="B210" s="9"/>
      <x:c r="C210" s="9"/>
      <x:c r="D210" s="9"/>
      <x:c r="E210" s="9"/>
      <x:c r="F210" s="11"/>
      <x:c r="G210" s="10"/>
      <x:c r="H210" s="9"/>
      <x:c r="I210" s="12" t="str">
        <x:f>IF(A210="","",IF(OR(B210="",C210="",F210="",NOT(ISNUMBER(G210))),"À compléter",IF(OR(G210&lt;0,G210&gt;1),"Incohérent",IF(COUNTIFS($A$6:$A$505,A210,$B$6:$B$505,B210)&gt;1,"Doublon ID",""))))</x:f>
      </x:c>
    </x:row>
    <x:row r="211" ht="23" customHeight="1">
      <x:c r="A211" s="9"/>
      <x:c r="B211" s="9"/>
      <x:c r="C211" s="9"/>
      <x:c r="D211" s="9"/>
      <x:c r="E211" s="9"/>
      <x:c r="F211" s="11"/>
      <x:c r="G211" s="10"/>
      <x:c r="H211" s="9"/>
      <x:c r="I211" s="12" t="str">
        <x:f>IF(A211="","",IF(OR(B211="",C211="",F211="",NOT(ISNUMBER(G211))),"À compléter",IF(OR(G211&lt;0,G211&gt;1),"Incohérent",IF(COUNTIFS($A$6:$A$505,A211,$B$6:$B$505,B211)&gt;1,"Doublon ID",""))))</x:f>
      </x:c>
    </x:row>
    <x:row r="212" ht="23" customHeight="1">
      <x:c r="A212" s="9"/>
      <x:c r="B212" s="9"/>
      <x:c r="C212" s="9"/>
      <x:c r="D212" s="9"/>
      <x:c r="E212" s="9"/>
      <x:c r="F212" s="11"/>
      <x:c r="G212" s="10"/>
      <x:c r="H212" s="9"/>
      <x:c r="I212" s="12" t="str">
        <x:f>IF(A212="","",IF(OR(B212="",C212="",F212="",NOT(ISNUMBER(G212))),"À compléter",IF(OR(G212&lt;0,G212&gt;1),"Incohérent",IF(COUNTIFS($A$6:$A$505,A212,$B$6:$B$505,B212)&gt;1,"Doublon ID",""))))</x:f>
      </x:c>
    </x:row>
    <x:row r="213" ht="23" customHeight="1">
      <x:c r="A213" s="9"/>
      <x:c r="B213" s="9"/>
      <x:c r="C213" s="9"/>
      <x:c r="D213" s="9"/>
      <x:c r="E213" s="9"/>
      <x:c r="F213" s="11"/>
      <x:c r="G213" s="10"/>
      <x:c r="H213" s="9"/>
      <x:c r="I213" s="12" t="str">
        <x:f>IF(A213="","",IF(OR(B213="",C213="",F213="",NOT(ISNUMBER(G213))),"À compléter",IF(OR(G213&lt;0,G213&gt;1),"Incohérent",IF(COUNTIFS($A$6:$A$505,A213,$B$6:$B$505,B213)&gt;1,"Doublon ID",""))))</x:f>
      </x:c>
    </x:row>
    <x:row r="214" ht="23" customHeight="1">
      <x:c r="A214" s="9"/>
      <x:c r="B214" s="9"/>
      <x:c r="C214" s="9"/>
      <x:c r="D214" s="9"/>
      <x:c r="E214" s="9"/>
      <x:c r="F214" s="11"/>
      <x:c r="G214" s="10"/>
      <x:c r="H214" s="9"/>
      <x:c r="I214" s="12" t="str">
        <x:f>IF(A214="","",IF(OR(B214="",C214="",F214="",NOT(ISNUMBER(G214))),"À compléter",IF(OR(G214&lt;0,G214&gt;1),"Incohérent",IF(COUNTIFS($A$6:$A$505,A214,$B$6:$B$505,B214)&gt;1,"Doublon ID",""))))</x:f>
      </x:c>
    </x:row>
    <x:row r="215" ht="23" customHeight="1">
      <x:c r="A215" s="9"/>
      <x:c r="B215" s="9"/>
      <x:c r="C215" s="9"/>
      <x:c r="D215" s="9"/>
      <x:c r="E215" s="9"/>
      <x:c r="F215" s="11"/>
      <x:c r="G215" s="10"/>
      <x:c r="H215" s="9"/>
      <x:c r="I215" s="12" t="str">
        <x:f>IF(A215="","",IF(OR(B215="",C215="",F215="",NOT(ISNUMBER(G215))),"À compléter",IF(OR(G215&lt;0,G215&gt;1),"Incohérent",IF(COUNTIFS($A$6:$A$505,A215,$B$6:$B$505,B215)&gt;1,"Doublon ID",""))))</x:f>
      </x:c>
    </x:row>
    <x:row r="216" ht="23" customHeight="1">
      <x:c r="A216" s="9"/>
      <x:c r="B216" s="9"/>
      <x:c r="C216" s="9"/>
      <x:c r="D216" s="9"/>
      <x:c r="E216" s="9"/>
      <x:c r="F216" s="11"/>
      <x:c r="G216" s="10"/>
      <x:c r="H216" s="9"/>
      <x:c r="I216" s="12" t="str">
        <x:f>IF(A216="","",IF(OR(B216="",C216="",F216="",NOT(ISNUMBER(G216))),"À compléter",IF(OR(G216&lt;0,G216&gt;1),"Incohérent",IF(COUNTIFS($A$6:$A$505,A216,$B$6:$B$505,B216)&gt;1,"Doublon ID",""))))</x:f>
      </x:c>
    </x:row>
    <x:row r="217" ht="23" customHeight="1">
      <x:c r="A217" s="9"/>
      <x:c r="B217" s="9"/>
      <x:c r="C217" s="9"/>
      <x:c r="D217" s="9"/>
      <x:c r="E217" s="9"/>
      <x:c r="F217" s="11"/>
      <x:c r="G217" s="10"/>
      <x:c r="H217" s="9"/>
      <x:c r="I217" s="12" t="str">
        <x:f>IF(A217="","",IF(OR(B217="",C217="",F217="",NOT(ISNUMBER(G217))),"À compléter",IF(OR(G217&lt;0,G217&gt;1),"Incohérent",IF(COUNTIFS($A$6:$A$505,A217,$B$6:$B$505,B217)&gt;1,"Doublon ID",""))))</x:f>
      </x:c>
    </x:row>
    <x:row r="218" ht="23" customHeight="1">
      <x:c r="A218" s="9"/>
      <x:c r="B218" s="9"/>
      <x:c r="C218" s="9"/>
      <x:c r="D218" s="9"/>
      <x:c r="E218" s="9"/>
      <x:c r="F218" s="11"/>
      <x:c r="G218" s="10"/>
      <x:c r="H218" s="9"/>
      <x:c r="I218" s="12" t="str">
        <x:f>IF(A218="","",IF(OR(B218="",C218="",F218="",NOT(ISNUMBER(G218))),"À compléter",IF(OR(G218&lt;0,G218&gt;1),"Incohérent",IF(COUNTIFS($A$6:$A$505,A218,$B$6:$B$505,B218)&gt;1,"Doublon ID",""))))</x:f>
      </x:c>
    </x:row>
    <x:row r="219" ht="23" customHeight="1">
      <x:c r="A219" s="9"/>
      <x:c r="B219" s="9"/>
      <x:c r="C219" s="9"/>
      <x:c r="D219" s="9"/>
      <x:c r="E219" s="9"/>
      <x:c r="F219" s="11"/>
      <x:c r="G219" s="10"/>
      <x:c r="H219" s="9"/>
      <x:c r="I219" s="12" t="str">
        <x:f>IF(A219="","",IF(OR(B219="",C219="",F219="",NOT(ISNUMBER(G219))),"À compléter",IF(OR(G219&lt;0,G219&gt;1),"Incohérent",IF(COUNTIFS($A$6:$A$505,A219,$B$6:$B$505,B219)&gt;1,"Doublon ID",""))))</x:f>
      </x:c>
    </x:row>
    <x:row r="220" ht="23" customHeight="1">
      <x:c r="A220" s="9"/>
      <x:c r="B220" s="9"/>
      <x:c r="C220" s="9"/>
      <x:c r="D220" s="9"/>
      <x:c r="E220" s="9"/>
      <x:c r="F220" s="11"/>
      <x:c r="G220" s="10"/>
      <x:c r="H220" s="9"/>
      <x:c r="I220" s="12" t="str">
        <x:f>IF(A220="","",IF(OR(B220="",C220="",F220="",NOT(ISNUMBER(G220))),"À compléter",IF(OR(G220&lt;0,G220&gt;1),"Incohérent",IF(COUNTIFS($A$6:$A$505,A220,$B$6:$B$505,B220)&gt;1,"Doublon ID",""))))</x:f>
      </x:c>
    </x:row>
    <x:row r="221" ht="23" customHeight="1">
      <x:c r="A221" s="9"/>
      <x:c r="B221" s="9"/>
      <x:c r="C221" s="9"/>
      <x:c r="D221" s="9"/>
      <x:c r="E221" s="9"/>
      <x:c r="F221" s="11"/>
      <x:c r="G221" s="10"/>
      <x:c r="H221" s="9"/>
      <x:c r="I221" s="12" t="str">
        <x:f>IF(A221="","",IF(OR(B221="",C221="",F221="",NOT(ISNUMBER(G221))),"À compléter",IF(OR(G221&lt;0,G221&gt;1),"Incohérent",IF(COUNTIFS($A$6:$A$505,A221,$B$6:$B$505,B221)&gt;1,"Doublon ID",""))))</x:f>
      </x:c>
    </x:row>
    <x:row r="222" ht="23" customHeight="1">
      <x:c r="A222" s="9"/>
      <x:c r="B222" s="9"/>
      <x:c r="C222" s="9"/>
      <x:c r="D222" s="9"/>
      <x:c r="E222" s="9"/>
      <x:c r="F222" s="11"/>
      <x:c r="G222" s="10"/>
      <x:c r="H222" s="9"/>
      <x:c r="I222" s="12" t="str">
        <x:f>IF(A222="","",IF(OR(B222="",C222="",F222="",NOT(ISNUMBER(G222))),"À compléter",IF(OR(G222&lt;0,G222&gt;1),"Incohérent",IF(COUNTIFS($A$6:$A$505,A222,$B$6:$B$505,B222)&gt;1,"Doublon ID",""))))</x:f>
      </x:c>
    </x:row>
    <x:row r="223" ht="23" customHeight="1">
      <x:c r="A223" s="9"/>
      <x:c r="B223" s="9"/>
      <x:c r="C223" s="9"/>
      <x:c r="D223" s="9"/>
      <x:c r="E223" s="9"/>
      <x:c r="F223" s="11"/>
      <x:c r="G223" s="10"/>
      <x:c r="H223" s="9"/>
      <x:c r="I223" s="12" t="str">
        <x:f>IF(A223="","",IF(OR(B223="",C223="",F223="",NOT(ISNUMBER(G223))),"À compléter",IF(OR(G223&lt;0,G223&gt;1),"Incohérent",IF(COUNTIFS($A$6:$A$505,A223,$B$6:$B$505,B223)&gt;1,"Doublon ID",""))))</x:f>
      </x:c>
    </x:row>
    <x:row r="224" ht="23" customHeight="1">
      <x:c r="A224" s="9"/>
      <x:c r="B224" s="9"/>
      <x:c r="C224" s="9"/>
      <x:c r="D224" s="9"/>
      <x:c r="E224" s="9"/>
      <x:c r="F224" s="11"/>
      <x:c r="G224" s="10"/>
      <x:c r="H224" s="9"/>
      <x:c r="I224" s="12" t="str">
        <x:f>IF(A224="","",IF(OR(B224="",C224="",F224="",NOT(ISNUMBER(G224))),"À compléter",IF(OR(G224&lt;0,G224&gt;1),"Incohérent",IF(COUNTIFS($A$6:$A$505,A224,$B$6:$B$505,B224)&gt;1,"Doublon ID",""))))</x:f>
      </x:c>
    </x:row>
    <x:row r="225" ht="23" customHeight="1">
      <x:c r="A225" s="9"/>
      <x:c r="B225" s="9"/>
      <x:c r="C225" s="9"/>
      <x:c r="D225" s="9"/>
      <x:c r="E225" s="9"/>
      <x:c r="F225" s="11"/>
      <x:c r="G225" s="10"/>
      <x:c r="H225" s="9"/>
      <x:c r="I225" s="12" t="str">
        <x:f>IF(A225="","",IF(OR(B225="",C225="",F225="",NOT(ISNUMBER(G225))),"À compléter",IF(OR(G225&lt;0,G225&gt;1),"Incohérent",IF(COUNTIFS($A$6:$A$505,A225,$B$6:$B$505,B225)&gt;1,"Doublon ID",""))))</x:f>
      </x:c>
    </x:row>
    <x:row r="226" ht="23" customHeight="1">
      <x:c r="A226" s="9"/>
      <x:c r="B226" s="9"/>
      <x:c r="C226" s="9"/>
      <x:c r="D226" s="9"/>
      <x:c r="E226" s="9"/>
      <x:c r="F226" s="11"/>
      <x:c r="G226" s="10"/>
      <x:c r="H226" s="9"/>
      <x:c r="I226" s="12" t="str">
        <x:f>IF(A226="","",IF(OR(B226="",C226="",F226="",NOT(ISNUMBER(G226))),"À compléter",IF(OR(G226&lt;0,G226&gt;1),"Incohérent",IF(COUNTIFS($A$6:$A$505,A226,$B$6:$B$505,B226)&gt;1,"Doublon ID",""))))</x:f>
      </x:c>
    </x:row>
    <x:row r="227" ht="23" customHeight="1">
      <x:c r="A227" s="9"/>
      <x:c r="B227" s="9"/>
      <x:c r="C227" s="9"/>
      <x:c r="D227" s="9"/>
      <x:c r="E227" s="9"/>
      <x:c r="F227" s="11"/>
      <x:c r="G227" s="10"/>
      <x:c r="H227" s="9"/>
      <x:c r="I227" s="12" t="str">
        <x:f>IF(A227="","",IF(OR(B227="",C227="",F227="",NOT(ISNUMBER(G227))),"À compléter",IF(OR(G227&lt;0,G227&gt;1),"Incohérent",IF(COUNTIFS($A$6:$A$505,A227,$B$6:$B$505,B227)&gt;1,"Doublon ID",""))))</x:f>
      </x:c>
    </x:row>
    <x:row r="228" ht="23" customHeight="1">
      <x:c r="A228" s="9"/>
      <x:c r="B228" s="9"/>
      <x:c r="C228" s="9"/>
      <x:c r="D228" s="9"/>
      <x:c r="E228" s="9"/>
      <x:c r="F228" s="11"/>
      <x:c r="G228" s="10"/>
      <x:c r="H228" s="9"/>
      <x:c r="I228" s="12" t="str">
        <x:f>IF(A228="","",IF(OR(B228="",C228="",F228="",NOT(ISNUMBER(G228))),"À compléter",IF(OR(G228&lt;0,G228&gt;1),"Incohérent",IF(COUNTIFS($A$6:$A$505,A228,$B$6:$B$505,B228)&gt;1,"Doublon ID",""))))</x:f>
      </x:c>
    </x:row>
    <x:row r="229" ht="23" customHeight="1">
      <x:c r="A229" s="9"/>
      <x:c r="B229" s="9"/>
      <x:c r="C229" s="9"/>
      <x:c r="D229" s="9"/>
      <x:c r="E229" s="9"/>
      <x:c r="F229" s="11"/>
      <x:c r="G229" s="10"/>
      <x:c r="H229" s="9"/>
      <x:c r="I229" s="12" t="str">
        <x:f>IF(A229="","",IF(OR(B229="",C229="",F229="",NOT(ISNUMBER(G229))),"À compléter",IF(OR(G229&lt;0,G229&gt;1),"Incohérent",IF(COUNTIFS($A$6:$A$505,A229,$B$6:$B$505,B229)&gt;1,"Doublon ID",""))))</x:f>
      </x:c>
    </x:row>
    <x:row r="230" ht="23" customHeight="1">
      <x:c r="A230" s="9"/>
      <x:c r="B230" s="9"/>
      <x:c r="C230" s="9"/>
      <x:c r="D230" s="9"/>
      <x:c r="E230" s="9"/>
      <x:c r="F230" s="11"/>
      <x:c r="G230" s="10"/>
      <x:c r="H230" s="9"/>
      <x:c r="I230" s="12" t="str">
        <x:f>IF(A230="","",IF(OR(B230="",C230="",F230="",NOT(ISNUMBER(G230))),"À compléter",IF(OR(G230&lt;0,G230&gt;1),"Incohérent",IF(COUNTIFS($A$6:$A$505,A230,$B$6:$B$505,B230)&gt;1,"Doublon ID",""))))</x:f>
      </x:c>
    </x:row>
    <x:row r="231" ht="23" customHeight="1">
      <x:c r="A231" s="9"/>
      <x:c r="B231" s="9"/>
      <x:c r="C231" s="9"/>
      <x:c r="D231" s="9"/>
      <x:c r="E231" s="9"/>
      <x:c r="F231" s="11"/>
      <x:c r="G231" s="10"/>
      <x:c r="H231" s="9"/>
      <x:c r="I231" s="12" t="str">
        <x:f>IF(A231="","",IF(OR(B231="",C231="",F231="",NOT(ISNUMBER(G231))),"À compléter",IF(OR(G231&lt;0,G231&gt;1),"Incohérent",IF(COUNTIFS($A$6:$A$505,A231,$B$6:$B$505,B231)&gt;1,"Doublon ID",""))))</x:f>
      </x:c>
    </x:row>
    <x:row r="232" ht="23" customHeight="1">
      <x:c r="A232" s="9"/>
      <x:c r="B232" s="9"/>
      <x:c r="C232" s="9"/>
      <x:c r="D232" s="9"/>
      <x:c r="E232" s="9"/>
      <x:c r="F232" s="11"/>
      <x:c r="G232" s="10"/>
      <x:c r="H232" s="9"/>
      <x:c r="I232" s="12" t="str">
        <x:f>IF(A232="","",IF(OR(B232="",C232="",F232="",NOT(ISNUMBER(G232))),"À compléter",IF(OR(G232&lt;0,G232&gt;1),"Incohérent",IF(COUNTIFS($A$6:$A$505,A232,$B$6:$B$505,B232)&gt;1,"Doublon ID",""))))</x:f>
      </x:c>
    </x:row>
    <x:row r="233" ht="23" customHeight="1">
      <x:c r="A233" s="9"/>
      <x:c r="B233" s="9"/>
      <x:c r="C233" s="9"/>
      <x:c r="D233" s="9"/>
      <x:c r="E233" s="9"/>
      <x:c r="F233" s="11"/>
      <x:c r="G233" s="10"/>
      <x:c r="H233" s="9"/>
      <x:c r="I233" s="12" t="str">
        <x:f>IF(A233="","",IF(OR(B233="",C233="",F233="",NOT(ISNUMBER(G233))),"À compléter",IF(OR(G233&lt;0,G233&gt;1),"Incohérent",IF(COUNTIFS($A$6:$A$505,A233,$B$6:$B$505,B233)&gt;1,"Doublon ID",""))))</x:f>
      </x:c>
    </x:row>
    <x:row r="234" ht="23" customHeight="1">
      <x:c r="A234" s="9"/>
      <x:c r="B234" s="9"/>
      <x:c r="C234" s="9"/>
      <x:c r="D234" s="9"/>
      <x:c r="E234" s="9"/>
      <x:c r="F234" s="11"/>
      <x:c r="G234" s="10"/>
      <x:c r="H234" s="9"/>
      <x:c r="I234" s="12" t="str">
        <x:f>IF(A234="","",IF(OR(B234="",C234="",F234="",NOT(ISNUMBER(G234))),"À compléter",IF(OR(G234&lt;0,G234&gt;1),"Incohérent",IF(COUNTIFS($A$6:$A$505,A234,$B$6:$B$505,B234)&gt;1,"Doublon ID",""))))</x:f>
      </x:c>
    </x:row>
    <x:row r="235" ht="23" customHeight="1">
      <x:c r="A235" s="9"/>
      <x:c r="B235" s="9"/>
      <x:c r="C235" s="9"/>
      <x:c r="D235" s="9"/>
      <x:c r="E235" s="9"/>
      <x:c r="F235" s="11"/>
      <x:c r="G235" s="10"/>
      <x:c r="H235" s="9"/>
      <x:c r="I235" s="12" t="str">
        <x:f>IF(A235="","",IF(OR(B235="",C235="",F235="",NOT(ISNUMBER(G235))),"À compléter",IF(OR(G235&lt;0,G235&gt;1),"Incohérent",IF(COUNTIFS($A$6:$A$505,A235,$B$6:$B$505,B235)&gt;1,"Doublon ID",""))))</x:f>
      </x:c>
    </x:row>
    <x:row r="236" ht="23" customHeight="1">
      <x:c r="A236" s="9"/>
      <x:c r="B236" s="9"/>
      <x:c r="C236" s="9"/>
      <x:c r="D236" s="9"/>
      <x:c r="E236" s="9"/>
      <x:c r="F236" s="11"/>
      <x:c r="G236" s="10"/>
      <x:c r="H236" s="9"/>
      <x:c r="I236" s="12" t="str">
        <x:f>IF(A236="","",IF(OR(B236="",C236="",F236="",NOT(ISNUMBER(G236))),"À compléter",IF(OR(G236&lt;0,G236&gt;1),"Incohérent",IF(COUNTIFS($A$6:$A$505,A236,$B$6:$B$505,B236)&gt;1,"Doublon ID",""))))</x:f>
      </x:c>
    </x:row>
    <x:row r="237" ht="23" customHeight="1">
      <x:c r="A237" s="9"/>
      <x:c r="B237" s="9"/>
      <x:c r="C237" s="9"/>
      <x:c r="D237" s="9"/>
      <x:c r="E237" s="9"/>
      <x:c r="F237" s="11"/>
      <x:c r="G237" s="10"/>
      <x:c r="H237" s="9"/>
      <x:c r="I237" s="12" t="str">
        <x:f>IF(A237="","",IF(OR(B237="",C237="",F237="",NOT(ISNUMBER(G237))),"À compléter",IF(OR(G237&lt;0,G237&gt;1),"Incohérent",IF(COUNTIFS($A$6:$A$505,A237,$B$6:$B$505,B237)&gt;1,"Doublon ID",""))))</x:f>
      </x:c>
    </x:row>
    <x:row r="238" ht="23" customHeight="1">
      <x:c r="A238" s="9"/>
      <x:c r="B238" s="9"/>
      <x:c r="C238" s="9"/>
      <x:c r="D238" s="9"/>
      <x:c r="E238" s="9"/>
      <x:c r="F238" s="11"/>
      <x:c r="G238" s="10"/>
      <x:c r="H238" s="9"/>
      <x:c r="I238" s="12" t="str">
        <x:f>IF(A238="","",IF(OR(B238="",C238="",F238="",NOT(ISNUMBER(G238))),"À compléter",IF(OR(G238&lt;0,G238&gt;1),"Incohérent",IF(COUNTIFS($A$6:$A$505,A238,$B$6:$B$505,B238)&gt;1,"Doublon ID",""))))</x:f>
      </x:c>
    </x:row>
    <x:row r="239" ht="23" customHeight="1">
      <x:c r="A239" s="9"/>
      <x:c r="B239" s="9"/>
      <x:c r="C239" s="9"/>
      <x:c r="D239" s="9"/>
      <x:c r="E239" s="9"/>
      <x:c r="F239" s="11"/>
      <x:c r="G239" s="10"/>
      <x:c r="H239" s="9"/>
      <x:c r="I239" s="12" t="str">
        <x:f>IF(A239="","",IF(OR(B239="",C239="",F239="",NOT(ISNUMBER(G239))),"À compléter",IF(OR(G239&lt;0,G239&gt;1),"Incohérent",IF(COUNTIFS($A$6:$A$505,A239,$B$6:$B$505,B239)&gt;1,"Doublon ID",""))))</x:f>
      </x:c>
    </x:row>
    <x:row r="240" ht="23" customHeight="1">
      <x:c r="A240" s="9"/>
      <x:c r="B240" s="9"/>
      <x:c r="C240" s="9"/>
      <x:c r="D240" s="9"/>
      <x:c r="E240" s="9"/>
      <x:c r="F240" s="11"/>
      <x:c r="G240" s="10"/>
      <x:c r="H240" s="9"/>
      <x:c r="I240" s="12" t="str">
        <x:f>IF(A240="","",IF(OR(B240="",C240="",F240="",NOT(ISNUMBER(G240))),"À compléter",IF(OR(G240&lt;0,G240&gt;1),"Incohérent",IF(COUNTIFS($A$6:$A$505,A240,$B$6:$B$505,B240)&gt;1,"Doublon ID",""))))</x:f>
      </x:c>
    </x:row>
    <x:row r="241" ht="23" customHeight="1">
      <x:c r="A241" s="9"/>
      <x:c r="B241" s="9"/>
      <x:c r="C241" s="9"/>
      <x:c r="D241" s="9"/>
      <x:c r="E241" s="9"/>
      <x:c r="F241" s="11"/>
      <x:c r="G241" s="10"/>
      <x:c r="H241" s="9"/>
      <x:c r="I241" s="12" t="str">
        <x:f>IF(A241="","",IF(OR(B241="",C241="",F241="",NOT(ISNUMBER(G241))),"À compléter",IF(OR(G241&lt;0,G241&gt;1),"Incohérent",IF(COUNTIFS($A$6:$A$505,A241,$B$6:$B$505,B241)&gt;1,"Doublon ID",""))))</x:f>
      </x:c>
    </x:row>
    <x:row r="242" ht="23" customHeight="1">
      <x:c r="A242" s="9"/>
      <x:c r="B242" s="9"/>
      <x:c r="C242" s="9"/>
      <x:c r="D242" s="9"/>
      <x:c r="E242" s="9"/>
      <x:c r="F242" s="11"/>
      <x:c r="G242" s="10"/>
      <x:c r="H242" s="9"/>
      <x:c r="I242" s="12" t="str">
        <x:f>IF(A242="","",IF(OR(B242="",C242="",F242="",NOT(ISNUMBER(G242))),"À compléter",IF(OR(G242&lt;0,G242&gt;1),"Incohérent",IF(COUNTIFS($A$6:$A$505,A242,$B$6:$B$505,B242)&gt;1,"Doublon ID",""))))</x:f>
      </x:c>
    </x:row>
    <x:row r="243" ht="23" customHeight="1">
      <x:c r="A243" s="9"/>
      <x:c r="B243" s="9"/>
      <x:c r="C243" s="9"/>
      <x:c r="D243" s="9"/>
      <x:c r="E243" s="9"/>
      <x:c r="F243" s="11"/>
      <x:c r="G243" s="10"/>
      <x:c r="H243" s="9"/>
      <x:c r="I243" s="12" t="str">
        <x:f>IF(A243="","",IF(OR(B243="",C243="",F243="",NOT(ISNUMBER(G243))),"À compléter",IF(OR(G243&lt;0,G243&gt;1),"Incohérent",IF(COUNTIFS($A$6:$A$505,A243,$B$6:$B$505,B243)&gt;1,"Doublon ID",""))))</x:f>
      </x:c>
    </x:row>
    <x:row r="244" ht="23" customHeight="1">
      <x:c r="A244" s="9"/>
      <x:c r="B244" s="9"/>
      <x:c r="C244" s="9"/>
      <x:c r="D244" s="9"/>
      <x:c r="E244" s="9"/>
      <x:c r="F244" s="11"/>
      <x:c r="G244" s="10"/>
      <x:c r="H244" s="9"/>
      <x:c r="I244" s="12" t="str">
        <x:f>IF(A244="","",IF(OR(B244="",C244="",F244="",NOT(ISNUMBER(G244))),"À compléter",IF(OR(G244&lt;0,G244&gt;1),"Incohérent",IF(COUNTIFS($A$6:$A$505,A244,$B$6:$B$505,B244)&gt;1,"Doublon ID",""))))</x:f>
      </x:c>
    </x:row>
    <x:row r="245" ht="23" customHeight="1">
      <x:c r="A245" s="9"/>
      <x:c r="B245" s="9"/>
      <x:c r="C245" s="9"/>
      <x:c r="D245" s="9"/>
      <x:c r="E245" s="9"/>
      <x:c r="F245" s="11"/>
      <x:c r="G245" s="10"/>
      <x:c r="H245" s="9"/>
      <x:c r="I245" s="12" t="str">
        <x:f>IF(A245="","",IF(OR(B245="",C245="",F245="",NOT(ISNUMBER(G245))),"À compléter",IF(OR(G245&lt;0,G245&gt;1),"Incohérent",IF(COUNTIFS($A$6:$A$505,A245,$B$6:$B$505,B245)&gt;1,"Doublon ID",""))))</x:f>
      </x:c>
    </x:row>
    <x:row r="246" ht="23" customHeight="1">
      <x:c r="A246" s="9"/>
      <x:c r="B246" s="9"/>
      <x:c r="C246" s="9"/>
      <x:c r="D246" s="9"/>
      <x:c r="E246" s="9"/>
      <x:c r="F246" s="11"/>
      <x:c r="G246" s="10"/>
      <x:c r="H246" s="9"/>
      <x:c r="I246" s="12" t="str">
        <x:f>IF(A246="","",IF(OR(B246="",C246="",F246="",NOT(ISNUMBER(G246))),"À compléter",IF(OR(G246&lt;0,G246&gt;1),"Incohérent",IF(COUNTIFS($A$6:$A$505,A246,$B$6:$B$505,B246)&gt;1,"Doublon ID",""))))</x:f>
      </x:c>
    </x:row>
    <x:row r="247" ht="23" customHeight="1">
      <x:c r="A247" s="9"/>
      <x:c r="B247" s="9"/>
      <x:c r="C247" s="9"/>
      <x:c r="D247" s="9"/>
      <x:c r="E247" s="9"/>
      <x:c r="F247" s="11"/>
      <x:c r="G247" s="10"/>
      <x:c r="H247" s="9"/>
      <x:c r="I247" s="12" t="str">
        <x:f>IF(A247="","",IF(OR(B247="",C247="",F247="",NOT(ISNUMBER(G247))),"À compléter",IF(OR(G247&lt;0,G247&gt;1),"Incohérent",IF(COUNTIFS($A$6:$A$505,A247,$B$6:$B$505,B247)&gt;1,"Doublon ID",""))))</x:f>
      </x:c>
    </x:row>
    <x:row r="248" ht="23" customHeight="1">
      <x:c r="A248" s="9"/>
      <x:c r="B248" s="9"/>
      <x:c r="C248" s="9"/>
      <x:c r="D248" s="9"/>
      <x:c r="E248" s="9"/>
      <x:c r="F248" s="11"/>
      <x:c r="G248" s="10"/>
      <x:c r="H248" s="9"/>
      <x:c r="I248" s="12" t="str">
        <x:f>IF(A248="","",IF(OR(B248="",C248="",F248="",NOT(ISNUMBER(G248))),"À compléter",IF(OR(G248&lt;0,G248&gt;1),"Incohérent",IF(COUNTIFS($A$6:$A$505,A248,$B$6:$B$505,B248)&gt;1,"Doublon ID",""))))</x:f>
      </x:c>
    </x:row>
    <x:row r="249" ht="23" customHeight="1">
      <x:c r="A249" s="9"/>
      <x:c r="B249" s="9"/>
      <x:c r="C249" s="9"/>
      <x:c r="D249" s="9"/>
      <x:c r="E249" s="9"/>
      <x:c r="F249" s="11"/>
      <x:c r="G249" s="10"/>
      <x:c r="H249" s="9"/>
      <x:c r="I249" s="12" t="str">
        <x:f>IF(A249="","",IF(OR(B249="",C249="",F249="",NOT(ISNUMBER(G249))),"À compléter",IF(OR(G249&lt;0,G249&gt;1),"Incohérent",IF(COUNTIFS($A$6:$A$505,A249,$B$6:$B$505,B249)&gt;1,"Doublon ID",""))))</x:f>
      </x:c>
    </x:row>
    <x:row r="250" ht="23" customHeight="1">
      <x:c r="A250" s="9"/>
      <x:c r="B250" s="9"/>
      <x:c r="C250" s="9"/>
      <x:c r="D250" s="9"/>
      <x:c r="E250" s="9"/>
      <x:c r="F250" s="11"/>
      <x:c r="G250" s="10"/>
      <x:c r="H250" s="9"/>
      <x:c r="I250" s="12" t="str">
        <x:f>IF(A250="","",IF(OR(B250="",C250="",F250="",NOT(ISNUMBER(G250))),"À compléter",IF(OR(G250&lt;0,G250&gt;1),"Incohérent",IF(COUNTIFS($A$6:$A$505,A250,$B$6:$B$505,B250)&gt;1,"Doublon ID",""))))</x:f>
      </x:c>
    </x:row>
    <x:row r="251" ht="23" customHeight="1">
      <x:c r="A251" s="9"/>
      <x:c r="B251" s="9"/>
      <x:c r="C251" s="9"/>
      <x:c r="D251" s="9"/>
      <x:c r="E251" s="9"/>
      <x:c r="F251" s="11"/>
      <x:c r="G251" s="10"/>
      <x:c r="H251" s="9"/>
      <x:c r="I251" s="12" t="str">
        <x:f>IF(A251="","",IF(OR(B251="",C251="",F251="",NOT(ISNUMBER(G251))),"À compléter",IF(OR(G251&lt;0,G251&gt;1),"Incohérent",IF(COUNTIFS($A$6:$A$505,A251,$B$6:$B$505,B251)&gt;1,"Doublon ID",""))))</x:f>
      </x:c>
    </x:row>
    <x:row r="252" ht="23" customHeight="1">
      <x:c r="A252" s="9"/>
      <x:c r="B252" s="9"/>
      <x:c r="C252" s="9"/>
      <x:c r="D252" s="9"/>
      <x:c r="E252" s="9"/>
      <x:c r="F252" s="11"/>
      <x:c r="G252" s="10"/>
      <x:c r="H252" s="9"/>
      <x:c r="I252" s="12" t="str">
        <x:f>IF(A252="","",IF(OR(B252="",C252="",F252="",NOT(ISNUMBER(G252))),"À compléter",IF(OR(G252&lt;0,G252&gt;1),"Incohérent",IF(COUNTIFS($A$6:$A$505,A252,$B$6:$B$505,B252)&gt;1,"Doublon ID",""))))</x:f>
      </x:c>
    </x:row>
    <x:row r="253" ht="23" customHeight="1">
      <x:c r="A253" s="9"/>
      <x:c r="B253" s="9"/>
      <x:c r="C253" s="9"/>
      <x:c r="D253" s="9"/>
      <x:c r="E253" s="9"/>
      <x:c r="F253" s="11"/>
      <x:c r="G253" s="10"/>
      <x:c r="H253" s="9"/>
      <x:c r="I253" s="12" t="str">
        <x:f>IF(A253="","",IF(OR(B253="",C253="",F253="",NOT(ISNUMBER(G253))),"À compléter",IF(OR(G253&lt;0,G253&gt;1),"Incohérent",IF(COUNTIFS($A$6:$A$505,A253,$B$6:$B$505,B253)&gt;1,"Doublon ID",""))))</x:f>
      </x:c>
    </x:row>
    <x:row r="254" ht="23" customHeight="1">
      <x:c r="A254" s="9"/>
      <x:c r="B254" s="9"/>
      <x:c r="C254" s="9"/>
      <x:c r="D254" s="9"/>
      <x:c r="E254" s="9"/>
      <x:c r="F254" s="11"/>
      <x:c r="G254" s="10"/>
      <x:c r="H254" s="9"/>
      <x:c r="I254" s="12" t="str">
        <x:f>IF(A254="","",IF(OR(B254="",C254="",F254="",NOT(ISNUMBER(G254))),"À compléter",IF(OR(G254&lt;0,G254&gt;1),"Incohérent",IF(COUNTIFS($A$6:$A$505,A254,$B$6:$B$505,B254)&gt;1,"Doublon ID",""))))</x:f>
      </x:c>
    </x:row>
    <x:row r="255" ht="23" customHeight="1">
      <x:c r="A255" s="9"/>
      <x:c r="B255" s="9"/>
      <x:c r="C255" s="9"/>
      <x:c r="D255" s="9"/>
      <x:c r="E255" s="9"/>
      <x:c r="F255" s="11"/>
      <x:c r="G255" s="10"/>
      <x:c r="H255" s="9"/>
      <x:c r="I255" s="12" t="str">
        <x:f>IF(A255="","",IF(OR(B255="",C255="",F255="",NOT(ISNUMBER(G255))),"À compléter",IF(OR(G255&lt;0,G255&gt;1),"Incohérent",IF(COUNTIFS($A$6:$A$505,A255,$B$6:$B$505,B255)&gt;1,"Doublon ID",""))))</x:f>
      </x:c>
    </x:row>
    <x:row r="256" ht="23" customHeight="1">
      <x:c r="A256" s="9"/>
      <x:c r="B256" s="9"/>
      <x:c r="C256" s="9"/>
      <x:c r="D256" s="9"/>
      <x:c r="E256" s="9"/>
      <x:c r="F256" s="11"/>
      <x:c r="G256" s="10"/>
      <x:c r="H256" s="9"/>
      <x:c r="I256" s="12" t="str">
        <x:f>IF(A256="","",IF(OR(B256="",C256="",F256="",NOT(ISNUMBER(G256))),"À compléter",IF(OR(G256&lt;0,G256&gt;1),"Incohérent",IF(COUNTIFS($A$6:$A$505,A256,$B$6:$B$505,B256)&gt;1,"Doublon ID",""))))</x:f>
      </x:c>
    </x:row>
    <x:row r="257" ht="23" customHeight="1">
      <x:c r="A257" s="9"/>
      <x:c r="B257" s="9"/>
      <x:c r="C257" s="9"/>
      <x:c r="D257" s="9"/>
      <x:c r="E257" s="9"/>
      <x:c r="F257" s="11"/>
      <x:c r="G257" s="10"/>
      <x:c r="H257" s="9"/>
      <x:c r="I257" s="12" t="str">
        <x:f>IF(A257="","",IF(OR(B257="",C257="",F257="",NOT(ISNUMBER(G257))),"À compléter",IF(OR(G257&lt;0,G257&gt;1),"Incohérent",IF(COUNTIFS($A$6:$A$505,A257,$B$6:$B$505,B257)&gt;1,"Doublon ID",""))))</x:f>
      </x:c>
    </x:row>
    <x:row r="258" ht="23" customHeight="1">
      <x:c r="A258" s="9"/>
      <x:c r="B258" s="9"/>
      <x:c r="C258" s="9"/>
      <x:c r="D258" s="9"/>
      <x:c r="E258" s="9"/>
      <x:c r="F258" s="11"/>
      <x:c r="G258" s="10"/>
      <x:c r="H258" s="9"/>
      <x:c r="I258" s="12" t="str">
        <x:f>IF(A258="","",IF(OR(B258="",C258="",F258="",NOT(ISNUMBER(G258))),"À compléter",IF(OR(G258&lt;0,G258&gt;1),"Incohérent",IF(COUNTIFS($A$6:$A$505,A258,$B$6:$B$505,B258)&gt;1,"Doublon ID",""))))</x:f>
      </x:c>
    </x:row>
    <x:row r="259" ht="23" customHeight="1">
      <x:c r="A259" s="9"/>
      <x:c r="B259" s="9"/>
      <x:c r="C259" s="9"/>
      <x:c r="D259" s="9"/>
      <x:c r="E259" s="9"/>
      <x:c r="F259" s="11"/>
      <x:c r="G259" s="10"/>
      <x:c r="H259" s="9"/>
      <x:c r="I259" s="12" t="str">
        <x:f>IF(A259="","",IF(OR(B259="",C259="",F259="",NOT(ISNUMBER(G259))),"À compléter",IF(OR(G259&lt;0,G259&gt;1),"Incohérent",IF(COUNTIFS($A$6:$A$505,A259,$B$6:$B$505,B259)&gt;1,"Doublon ID",""))))</x:f>
      </x:c>
    </x:row>
    <x:row r="260" ht="23" customHeight="1">
      <x:c r="A260" s="9"/>
      <x:c r="B260" s="9"/>
      <x:c r="C260" s="9"/>
      <x:c r="D260" s="9"/>
      <x:c r="E260" s="9"/>
      <x:c r="F260" s="11"/>
      <x:c r="G260" s="10"/>
      <x:c r="H260" s="9"/>
      <x:c r="I260" s="12" t="str">
        <x:f>IF(A260="","",IF(OR(B260="",C260="",F260="",NOT(ISNUMBER(G260))),"À compléter",IF(OR(G260&lt;0,G260&gt;1),"Incohérent",IF(COUNTIFS($A$6:$A$505,A260,$B$6:$B$505,B260)&gt;1,"Doublon ID",""))))</x:f>
      </x:c>
    </x:row>
    <x:row r="261" ht="23" customHeight="1">
      <x:c r="A261" s="9"/>
      <x:c r="B261" s="9"/>
      <x:c r="C261" s="9"/>
      <x:c r="D261" s="9"/>
      <x:c r="E261" s="9"/>
      <x:c r="F261" s="11"/>
      <x:c r="G261" s="10"/>
      <x:c r="H261" s="9"/>
      <x:c r="I261" s="12" t="str">
        <x:f>IF(A261="","",IF(OR(B261="",C261="",F261="",NOT(ISNUMBER(G261))),"À compléter",IF(OR(G261&lt;0,G261&gt;1),"Incohérent",IF(COUNTIFS($A$6:$A$505,A261,$B$6:$B$505,B261)&gt;1,"Doublon ID",""))))</x:f>
      </x:c>
    </x:row>
    <x:row r="262" ht="23" customHeight="1">
      <x:c r="A262" s="9"/>
      <x:c r="B262" s="9"/>
      <x:c r="C262" s="9"/>
      <x:c r="D262" s="9"/>
      <x:c r="E262" s="9"/>
      <x:c r="F262" s="11"/>
      <x:c r="G262" s="10"/>
      <x:c r="H262" s="9"/>
      <x:c r="I262" s="12" t="str">
        <x:f>IF(A262="","",IF(OR(B262="",C262="",F262="",NOT(ISNUMBER(G262))),"À compléter",IF(OR(G262&lt;0,G262&gt;1),"Incohérent",IF(COUNTIFS($A$6:$A$505,A262,$B$6:$B$505,B262)&gt;1,"Doublon ID",""))))</x:f>
      </x:c>
    </x:row>
    <x:row r="263" ht="23" customHeight="1">
      <x:c r="A263" s="9"/>
      <x:c r="B263" s="9"/>
      <x:c r="C263" s="9"/>
      <x:c r="D263" s="9"/>
      <x:c r="E263" s="9"/>
      <x:c r="F263" s="11"/>
      <x:c r="G263" s="10"/>
      <x:c r="H263" s="9"/>
      <x:c r="I263" s="12" t="str">
        <x:f>IF(A263="","",IF(OR(B263="",C263="",F263="",NOT(ISNUMBER(G263))),"À compléter",IF(OR(G263&lt;0,G263&gt;1),"Incohérent",IF(COUNTIFS($A$6:$A$505,A263,$B$6:$B$505,B263)&gt;1,"Doublon ID",""))))</x:f>
      </x:c>
    </x:row>
    <x:row r="264" ht="23" customHeight="1">
      <x:c r="A264" s="9"/>
      <x:c r="B264" s="9"/>
      <x:c r="C264" s="9"/>
      <x:c r="D264" s="9"/>
      <x:c r="E264" s="9"/>
      <x:c r="F264" s="11"/>
      <x:c r="G264" s="10"/>
      <x:c r="H264" s="9"/>
      <x:c r="I264" s="12" t="str">
        <x:f>IF(A264="","",IF(OR(B264="",C264="",F264="",NOT(ISNUMBER(G264))),"À compléter",IF(OR(G264&lt;0,G264&gt;1),"Incohérent",IF(COUNTIFS($A$6:$A$505,A264,$B$6:$B$505,B264)&gt;1,"Doublon ID",""))))</x:f>
      </x:c>
    </x:row>
    <x:row r="265" ht="23" customHeight="1">
      <x:c r="A265" s="9"/>
      <x:c r="B265" s="9"/>
      <x:c r="C265" s="9"/>
      <x:c r="D265" s="9"/>
      <x:c r="E265" s="9"/>
      <x:c r="F265" s="11"/>
      <x:c r="G265" s="10"/>
      <x:c r="H265" s="9"/>
      <x:c r="I265" s="12" t="str">
        <x:f>IF(A265="","",IF(OR(B265="",C265="",F265="",NOT(ISNUMBER(G265))),"À compléter",IF(OR(G265&lt;0,G265&gt;1),"Incohérent",IF(COUNTIFS($A$6:$A$505,A265,$B$6:$B$505,B265)&gt;1,"Doublon ID",""))))</x:f>
      </x:c>
    </x:row>
    <x:row r="266" ht="23" customHeight="1">
      <x:c r="A266" s="9"/>
      <x:c r="B266" s="9"/>
      <x:c r="C266" s="9"/>
      <x:c r="D266" s="9"/>
      <x:c r="E266" s="9"/>
      <x:c r="F266" s="11"/>
      <x:c r="G266" s="10"/>
      <x:c r="H266" s="9"/>
      <x:c r="I266" s="12" t="str">
        <x:f>IF(A266="","",IF(OR(B266="",C266="",F266="",NOT(ISNUMBER(G266))),"À compléter",IF(OR(G266&lt;0,G266&gt;1),"Incohérent",IF(COUNTIFS($A$6:$A$505,A266,$B$6:$B$505,B266)&gt;1,"Doublon ID",""))))</x:f>
      </x:c>
    </x:row>
    <x:row r="267" ht="23" customHeight="1">
      <x:c r="A267" s="9"/>
      <x:c r="B267" s="9"/>
      <x:c r="C267" s="9"/>
      <x:c r="D267" s="9"/>
      <x:c r="E267" s="9"/>
      <x:c r="F267" s="11"/>
      <x:c r="G267" s="10"/>
      <x:c r="H267" s="9"/>
      <x:c r="I267" s="12" t="str">
        <x:f>IF(A267="","",IF(OR(B267="",C267="",F267="",NOT(ISNUMBER(G267))),"À compléter",IF(OR(G267&lt;0,G267&gt;1),"Incohérent",IF(COUNTIFS($A$6:$A$505,A267,$B$6:$B$505,B267)&gt;1,"Doublon ID",""))))</x:f>
      </x:c>
    </x:row>
    <x:row r="268" ht="23" customHeight="1">
      <x:c r="A268" s="9"/>
      <x:c r="B268" s="9"/>
      <x:c r="C268" s="9"/>
      <x:c r="D268" s="9"/>
      <x:c r="E268" s="9"/>
      <x:c r="F268" s="11"/>
      <x:c r="G268" s="10"/>
      <x:c r="H268" s="9"/>
      <x:c r="I268" s="12" t="str">
        <x:f>IF(A268="","",IF(OR(B268="",C268="",F268="",NOT(ISNUMBER(G268))),"À compléter",IF(OR(G268&lt;0,G268&gt;1),"Incohérent",IF(COUNTIFS($A$6:$A$505,A268,$B$6:$B$505,B268)&gt;1,"Doublon ID",""))))</x:f>
      </x:c>
    </x:row>
    <x:row r="269" ht="23" customHeight="1">
      <x:c r="A269" s="9"/>
      <x:c r="B269" s="9"/>
      <x:c r="C269" s="9"/>
      <x:c r="D269" s="9"/>
      <x:c r="E269" s="9"/>
      <x:c r="F269" s="11"/>
      <x:c r="G269" s="10"/>
      <x:c r="H269" s="9"/>
      <x:c r="I269" s="12" t="str">
        <x:f>IF(A269="","",IF(OR(B269="",C269="",F269="",NOT(ISNUMBER(G269))),"À compléter",IF(OR(G269&lt;0,G269&gt;1),"Incohérent",IF(COUNTIFS($A$6:$A$505,A269,$B$6:$B$505,B269)&gt;1,"Doublon ID",""))))</x:f>
      </x:c>
    </x:row>
    <x:row r="270" ht="23" customHeight="1">
      <x:c r="A270" s="9"/>
      <x:c r="B270" s="9"/>
      <x:c r="C270" s="9"/>
      <x:c r="D270" s="9"/>
      <x:c r="E270" s="9"/>
      <x:c r="F270" s="11"/>
      <x:c r="G270" s="10"/>
      <x:c r="H270" s="9"/>
      <x:c r="I270" s="12" t="str">
        <x:f>IF(A270="","",IF(OR(B270="",C270="",F270="",NOT(ISNUMBER(G270))),"À compléter",IF(OR(G270&lt;0,G270&gt;1),"Incohérent",IF(COUNTIFS($A$6:$A$505,A270,$B$6:$B$505,B270)&gt;1,"Doublon ID",""))))</x:f>
      </x:c>
    </x:row>
    <x:row r="271" ht="23" customHeight="1">
      <x:c r="A271" s="9"/>
      <x:c r="B271" s="9"/>
      <x:c r="C271" s="9"/>
      <x:c r="D271" s="9"/>
      <x:c r="E271" s="9"/>
      <x:c r="F271" s="11"/>
      <x:c r="G271" s="10"/>
      <x:c r="H271" s="9"/>
      <x:c r="I271" s="12" t="str">
        <x:f>IF(A271="","",IF(OR(B271="",C271="",F271="",NOT(ISNUMBER(G271))),"À compléter",IF(OR(G271&lt;0,G271&gt;1),"Incohérent",IF(COUNTIFS($A$6:$A$505,A271,$B$6:$B$505,B271)&gt;1,"Doublon ID",""))))</x:f>
      </x:c>
    </x:row>
    <x:row r="272" ht="23" customHeight="1">
      <x:c r="A272" s="9"/>
      <x:c r="B272" s="9"/>
      <x:c r="C272" s="9"/>
      <x:c r="D272" s="9"/>
      <x:c r="E272" s="9"/>
      <x:c r="F272" s="11"/>
      <x:c r="G272" s="10"/>
      <x:c r="H272" s="9"/>
      <x:c r="I272" s="12" t="str">
        <x:f>IF(A272="","",IF(OR(B272="",C272="",F272="",NOT(ISNUMBER(G272))),"À compléter",IF(OR(G272&lt;0,G272&gt;1),"Incohérent",IF(COUNTIFS($A$6:$A$505,A272,$B$6:$B$505,B272)&gt;1,"Doublon ID",""))))</x:f>
      </x:c>
    </x:row>
    <x:row r="273" ht="23" customHeight="1">
      <x:c r="A273" s="9"/>
      <x:c r="B273" s="9"/>
      <x:c r="C273" s="9"/>
      <x:c r="D273" s="9"/>
      <x:c r="E273" s="9"/>
      <x:c r="F273" s="11"/>
      <x:c r="G273" s="10"/>
      <x:c r="H273" s="9"/>
      <x:c r="I273" s="12" t="str">
        <x:f>IF(A273="","",IF(OR(B273="",C273="",F273="",NOT(ISNUMBER(G273))),"À compléter",IF(OR(G273&lt;0,G273&gt;1),"Incohérent",IF(COUNTIFS($A$6:$A$505,A273,$B$6:$B$505,B273)&gt;1,"Doublon ID",""))))</x:f>
      </x:c>
    </x:row>
    <x:row r="274" ht="23" customHeight="1">
      <x:c r="A274" s="9"/>
      <x:c r="B274" s="9"/>
      <x:c r="C274" s="9"/>
      <x:c r="D274" s="9"/>
      <x:c r="E274" s="9"/>
      <x:c r="F274" s="11"/>
      <x:c r="G274" s="10"/>
      <x:c r="H274" s="9"/>
      <x:c r="I274" s="12" t="str">
        <x:f>IF(A274="","",IF(OR(B274="",C274="",F274="",NOT(ISNUMBER(G274))),"À compléter",IF(OR(G274&lt;0,G274&gt;1),"Incohérent",IF(COUNTIFS($A$6:$A$505,A274,$B$6:$B$505,B274)&gt;1,"Doublon ID",""))))</x:f>
      </x:c>
    </x:row>
    <x:row r="275" ht="23" customHeight="1">
      <x:c r="A275" s="9"/>
      <x:c r="B275" s="9"/>
      <x:c r="C275" s="9"/>
      <x:c r="D275" s="9"/>
      <x:c r="E275" s="9"/>
      <x:c r="F275" s="11"/>
      <x:c r="G275" s="10"/>
      <x:c r="H275" s="9"/>
      <x:c r="I275" s="12" t="str">
        <x:f>IF(A275="","",IF(OR(B275="",C275="",F275="",NOT(ISNUMBER(G275))),"À compléter",IF(OR(G275&lt;0,G275&gt;1),"Incohérent",IF(COUNTIFS($A$6:$A$505,A275,$B$6:$B$505,B275)&gt;1,"Doublon ID",""))))</x:f>
      </x:c>
    </x:row>
    <x:row r="276" ht="23" customHeight="1">
      <x:c r="A276" s="9"/>
      <x:c r="B276" s="9"/>
      <x:c r="C276" s="9"/>
      <x:c r="D276" s="9"/>
      <x:c r="E276" s="9"/>
      <x:c r="F276" s="11"/>
      <x:c r="G276" s="10"/>
      <x:c r="H276" s="9"/>
      <x:c r="I276" s="12" t="str">
        <x:f>IF(A276="","",IF(OR(B276="",C276="",F276="",NOT(ISNUMBER(G276))),"À compléter",IF(OR(G276&lt;0,G276&gt;1),"Incohérent",IF(COUNTIFS($A$6:$A$505,A276,$B$6:$B$505,B276)&gt;1,"Doublon ID",""))))</x:f>
      </x:c>
    </x:row>
    <x:row r="277" ht="23" customHeight="1">
      <x:c r="A277" s="9"/>
      <x:c r="B277" s="9"/>
      <x:c r="C277" s="9"/>
      <x:c r="D277" s="9"/>
      <x:c r="E277" s="9"/>
      <x:c r="F277" s="11"/>
      <x:c r="G277" s="10"/>
      <x:c r="H277" s="9"/>
      <x:c r="I277" s="12" t="str">
        <x:f>IF(A277="","",IF(OR(B277="",C277="",F277="",NOT(ISNUMBER(G277))),"À compléter",IF(OR(G277&lt;0,G277&gt;1),"Incohérent",IF(COUNTIFS($A$6:$A$505,A277,$B$6:$B$505,B277)&gt;1,"Doublon ID",""))))</x:f>
      </x:c>
    </x:row>
    <x:row r="278" ht="23" customHeight="1">
      <x:c r="A278" s="9"/>
      <x:c r="B278" s="9"/>
      <x:c r="C278" s="9"/>
      <x:c r="D278" s="9"/>
      <x:c r="E278" s="9"/>
      <x:c r="F278" s="11"/>
      <x:c r="G278" s="10"/>
      <x:c r="H278" s="9"/>
      <x:c r="I278" s="12" t="str">
        <x:f>IF(A278="","",IF(OR(B278="",C278="",F278="",NOT(ISNUMBER(G278))),"À compléter",IF(OR(G278&lt;0,G278&gt;1),"Incohérent",IF(COUNTIFS($A$6:$A$505,A278,$B$6:$B$505,B278)&gt;1,"Doublon ID",""))))</x:f>
      </x:c>
    </x:row>
    <x:row r="279" ht="23" customHeight="1">
      <x:c r="A279" s="9"/>
      <x:c r="B279" s="9"/>
      <x:c r="C279" s="9"/>
      <x:c r="D279" s="9"/>
      <x:c r="E279" s="9"/>
      <x:c r="F279" s="11"/>
      <x:c r="G279" s="10"/>
      <x:c r="H279" s="9"/>
      <x:c r="I279" s="12" t="str">
        <x:f>IF(A279="","",IF(OR(B279="",C279="",F279="",NOT(ISNUMBER(G279))),"À compléter",IF(OR(G279&lt;0,G279&gt;1),"Incohérent",IF(COUNTIFS($A$6:$A$505,A279,$B$6:$B$505,B279)&gt;1,"Doublon ID",""))))</x:f>
      </x:c>
    </x:row>
    <x:row r="280" ht="23" customHeight="1">
      <x:c r="A280" s="9"/>
      <x:c r="B280" s="9"/>
      <x:c r="C280" s="9"/>
      <x:c r="D280" s="9"/>
      <x:c r="E280" s="9"/>
      <x:c r="F280" s="11"/>
      <x:c r="G280" s="10"/>
      <x:c r="H280" s="9"/>
      <x:c r="I280" s="12" t="str">
        <x:f>IF(A280="","",IF(OR(B280="",C280="",F280="",NOT(ISNUMBER(G280))),"À compléter",IF(OR(G280&lt;0,G280&gt;1),"Incohérent",IF(COUNTIFS($A$6:$A$505,A280,$B$6:$B$505,B280)&gt;1,"Doublon ID",""))))</x:f>
      </x:c>
    </x:row>
    <x:row r="281" ht="23" customHeight="1">
      <x:c r="A281" s="9"/>
      <x:c r="B281" s="9"/>
      <x:c r="C281" s="9"/>
      <x:c r="D281" s="9"/>
      <x:c r="E281" s="9"/>
      <x:c r="F281" s="11"/>
      <x:c r="G281" s="10"/>
      <x:c r="H281" s="9"/>
      <x:c r="I281" s="12" t="str">
        <x:f>IF(A281="","",IF(OR(B281="",C281="",F281="",NOT(ISNUMBER(G281))),"À compléter",IF(OR(G281&lt;0,G281&gt;1),"Incohérent",IF(COUNTIFS($A$6:$A$505,A281,$B$6:$B$505,B281)&gt;1,"Doublon ID",""))))</x:f>
      </x:c>
    </x:row>
    <x:row r="282" ht="23" customHeight="1">
      <x:c r="A282" s="9"/>
      <x:c r="B282" s="9"/>
      <x:c r="C282" s="9"/>
      <x:c r="D282" s="9"/>
      <x:c r="E282" s="9"/>
      <x:c r="F282" s="11"/>
      <x:c r="G282" s="10"/>
      <x:c r="H282" s="9"/>
      <x:c r="I282" s="12" t="str">
        <x:f>IF(A282="","",IF(OR(B282="",C282="",F282="",NOT(ISNUMBER(G282))),"À compléter",IF(OR(G282&lt;0,G282&gt;1),"Incohérent",IF(COUNTIFS($A$6:$A$505,A282,$B$6:$B$505,B282)&gt;1,"Doublon ID",""))))</x:f>
      </x:c>
    </x:row>
    <x:row r="283" ht="23" customHeight="1">
      <x:c r="A283" s="9"/>
      <x:c r="B283" s="9"/>
      <x:c r="C283" s="9"/>
      <x:c r="D283" s="9"/>
      <x:c r="E283" s="9"/>
      <x:c r="F283" s="11"/>
      <x:c r="G283" s="10"/>
      <x:c r="H283" s="9"/>
      <x:c r="I283" s="12" t="str">
        <x:f>IF(A283="","",IF(OR(B283="",C283="",F283="",NOT(ISNUMBER(G283))),"À compléter",IF(OR(G283&lt;0,G283&gt;1),"Incohérent",IF(COUNTIFS($A$6:$A$505,A283,$B$6:$B$505,B283)&gt;1,"Doublon ID",""))))</x:f>
      </x:c>
    </x:row>
    <x:row r="284" ht="23" customHeight="1">
      <x:c r="A284" s="9"/>
      <x:c r="B284" s="9"/>
      <x:c r="C284" s="9"/>
      <x:c r="D284" s="9"/>
      <x:c r="E284" s="9"/>
      <x:c r="F284" s="11"/>
      <x:c r="G284" s="10"/>
      <x:c r="H284" s="9"/>
      <x:c r="I284" s="12" t="str">
        <x:f>IF(A284="","",IF(OR(B284="",C284="",F284="",NOT(ISNUMBER(G284))),"À compléter",IF(OR(G284&lt;0,G284&gt;1),"Incohérent",IF(COUNTIFS($A$6:$A$505,A284,$B$6:$B$505,B284)&gt;1,"Doublon ID",""))))</x:f>
      </x:c>
    </x:row>
    <x:row r="285" ht="23" customHeight="1">
      <x:c r="A285" s="9"/>
      <x:c r="B285" s="9"/>
      <x:c r="C285" s="9"/>
      <x:c r="D285" s="9"/>
      <x:c r="E285" s="9"/>
      <x:c r="F285" s="11"/>
      <x:c r="G285" s="10"/>
      <x:c r="H285" s="9"/>
      <x:c r="I285" s="12" t="str">
        <x:f>IF(A285="","",IF(OR(B285="",C285="",F285="",NOT(ISNUMBER(G285))),"À compléter",IF(OR(G285&lt;0,G285&gt;1),"Incohérent",IF(COUNTIFS($A$6:$A$505,A285,$B$6:$B$505,B285)&gt;1,"Doublon ID",""))))</x:f>
      </x:c>
    </x:row>
    <x:row r="286" ht="23" customHeight="1">
      <x:c r="A286" s="9"/>
      <x:c r="B286" s="9"/>
      <x:c r="C286" s="9"/>
      <x:c r="D286" s="9"/>
      <x:c r="E286" s="9"/>
      <x:c r="F286" s="11"/>
      <x:c r="G286" s="10"/>
      <x:c r="H286" s="9"/>
      <x:c r="I286" s="12" t="str">
        <x:f>IF(A286="","",IF(OR(B286="",C286="",F286="",NOT(ISNUMBER(G286))),"À compléter",IF(OR(G286&lt;0,G286&gt;1),"Incohérent",IF(COUNTIFS($A$6:$A$505,A286,$B$6:$B$505,B286)&gt;1,"Doublon ID",""))))</x:f>
      </x:c>
    </x:row>
    <x:row r="287" ht="23" customHeight="1">
      <x:c r="A287" s="9"/>
      <x:c r="B287" s="9"/>
      <x:c r="C287" s="9"/>
      <x:c r="D287" s="9"/>
      <x:c r="E287" s="9"/>
      <x:c r="F287" s="11"/>
      <x:c r="G287" s="10"/>
      <x:c r="H287" s="9"/>
      <x:c r="I287" s="12" t="str">
        <x:f>IF(A287="","",IF(OR(B287="",C287="",F287="",NOT(ISNUMBER(G287))),"À compléter",IF(OR(G287&lt;0,G287&gt;1),"Incohérent",IF(COUNTIFS($A$6:$A$505,A287,$B$6:$B$505,B287)&gt;1,"Doublon ID",""))))</x:f>
      </x:c>
    </x:row>
    <x:row r="288" ht="23" customHeight="1">
      <x:c r="A288" s="9"/>
      <x:c r="B288" s="9"/>
      <x:c r="C288" s="9"/>
      <x:c r="D288" s="9"/>
      <x:c r="E288" s="9"/>
      <x:c r="F288" s="11"/>
      <x:c r="G288" s="10"/>
      <x:c r="H288" s="9"/>
      <x:c r="I288" s="12" t="str">
        <x:f>IF(A288="","",IF(OR(B288="",C288="",F288="",NOT(ISNUMBER(G288))),"À compléter",IF(OR(G288&lt;0,G288&gt;1),"Incohérent",IF(COUNTIFS($A$6:$A$505,A288,$B$6:$B$505,B288)&gt;1,"Doublon ID",""))))</x:f>
      </x:c>
    </x:row>
    <x:row r="289" ht="23" customHeight="1">
      <x:c r="A289" s="9"/>
      <x:c r="B289" s="9"/>
      <x:c r="C289" s="9"/>
      <x:c r="D289" s="9"/>
      <x:c r="E289" s="9"/>
      <x:c r="F289" s="11"/>
      <x:c r="G289" s="10"/>
      <x:c r="H289" s="9"/>
      <x:c r="I289" s="12" t="str">
        <x:f>IF(A289="","",IF(OR(B289="",C289="",F289="",NOT(ISNUMBER(G289))),"À compléter",IF(OR(G289&lt;0,G289&gt;1),"Incohérent",IF(COUNTIFS($A$6:$A$505,A289,$B$6:$B$505,B289)&gt;1,"Doublon ID",""))))</x:f>
      </x:c>
    </x:row>
    <x:row r="290" ht="23" customHeight="1">
      <x:c r="A290" s="9"/>
      <x:c r="B290" s="9"/>
      <x:c r="C290" s="9"/>
      <x:c r="D290" s="9"/>
      <x:c r="E290" s="9"/>
      <x:c r="F290" s="11"/>
      <x:c r="G290" s="10"/>
      <x:c r="H290" s="9"/>
      <x:c r="I290" s="12" t="str">
        <x:f>IF(A290="","",IF(OR(B290="",C290="",F290="",NOT(ISNUMBER(G290))),"À compléter",IF(OR(G290&lt;0,G290&gt;1),"Incohérent",IF(COUNTIFS($A$6:$A$505,A290,$B$6:$B$505,B290)&gt;1,"Doublon ID",""))))</x:f>
      </x:c>
    </x:row>
    <x:row r="291" ht="23" customHeight="1">
      <x:c r="A291" s="9"/>
      <x:c r="B291" s="9"/>
      <x:c r="C291" s="9"/>
      <x:c r="D291" s="9"/>
      <x:c r="E291" s="9"/>
      <x:c r="F291" s="11"/>
      <x:c r="G291" s="10"/>
      <x:c r="H291" s="9"/>
      <x:c r="I291" s="12" t="str">
        <x:f>IF(A291="","",IF(OR(B291="",C291="",F291="",NOT(ISNUMBER(G291))),"À compléter",IF(OR(G291&lt;0,G291&gt;1),"Incohérent",IF(COUNTIFS($A$6:$A$505,A291,$B$6:$B$505,B291)&gt;1,"Doublon ID",""))))</x:f>
      </x:c>
    </x:row>
    <x:row r="292" ht="23" customHeight="1">
      <x:c r="A292" s="9"/>
      <x:c r="B292" s="9"/>
      <x:c r="C292" s="9"/>
      <x:c r="D292" s="9"/>
      <x:c r="E292" s="9"/>
      <x:c r="F292" s="11"/>
      <x:c r="G292" s="10"/>
      <x:c r="H292" s="9"/>
      <x:c r="I292" s="12" t="str">
        <x:f>IF(A292="","",IF(OR(B292="",C292="",F292="",NOT(ISNUMBER(G292))),"À compléter",IF(OR(G292&lt;0,G292&gt;1),"Incohérent",IF(COUNTIFS($A$6:$A$505,A292,$B$6:$B$505,B292)&gt;1,"Doublon ID",""))))</x:f>
      </x:c>
    </x:row>
    <x:row r="293" ht="23" customHeight="1">
      <x:c r="A293" s="9"/>
      <x:c r="B293" s="9"/>
      <x:c r="C293" s="9"/>
      <x:c r="D293" s="9"/>
      <x:c r="E293" s="9"/>
      <x:c r="F293" s="11"/>
      <x:c r="G293" s="10"/>
      <x:c r="H293" s="9"/>
      <x:c r="I293" s="12" t="str">
        <x:f>IF(A293="","",IF(OR(B293="",C293="",F293="",NOT(ISNUMBER(G293))),"À compléter",IF(OR(G293&lt;0,G293&gt;1),"Incohérent",IF(COUNTIFS($A$6:$A$505,A293,$B$6:$B$505,B293)&gt;1,"Doublon ID",""))))</x:f>
      </x:c>
    </x:row>
    <x:row r="294" ht="23" customHeight="1">
      <x:c r="A294" s="9"/>
      <x:c r="B294" s="9"/>
      <x:c r="C294" s="9"/>
      <x:c r="D294" s="9"/>
      <x:c r="E294" s="9"/>
      <x:c r="F294" s="11"/>
      <x:c r="G294" s="10"/>
      <x:c r="H294" s="9"/>
      <x:c r="I294" s="12" t="str">
        <x:f>IF(A294="","",IF(OR(B294="",C294="",F294="",NOT(ISNUMBER(G294))),"À compléter",IF(OR(G294&lt;0,G294&gt;1),"Incohérent",IF(COUNTIFS($A$6:$A$505,A294,$B$6:$B$505,B294)&gt;1,"Doublon ID",""))))</x:f>
      </x:c>
    </x:row>
    <x:row r="295" ht="23" customHeight="1">
      <x:c r="A295" s="9"/>
      <x:c r="B295" s="9"/>
      <x:c r="C295" s="9"/>
      <x:c r="D295" s="9"/>
      <x:c r="E295" s="9"/>
      <x:c r="F295" s="11"/>
      <x:c r="G295" s="10"/>
      <x:c r="H295" s="9"/>
      <x:c r="I295" s="12" t="str">
        <x:f>IF(A295="","",IF(OR(B295="",C295="",F295="",NOT(ISNUMBER(G295))),"À compléter",IF(OR(G295&lt;0,G295&gt;1),"Incohérent",IF(COUNTIFS($A$6:$A$505,A295,$B$6:$B$505,B295)&gt;1,"Doublon ID",""))))</x:f>
      </x:c>
    </x:row>
    <x:row r="296" ht="23" customHeight="1">
      <x:c r="A296" s="9"/>
      <x:c r="B296" s="9"/>
      <x:c r="C296" s="9"/>
      <x:c r="D296" s="9"/>
      <x:c r="E296" s="9"/>
      <x:c r="F296" s="11"/>
      <x:c r="G296" s="10"/>
      <x:c r="H296" s="9"/>
      <x:c r="I296" s="12" t="str">
        <x:f>IF(A296="","",IF(OR(B296="",C296="",F296="",NOT(ISNUMBER(G296))),"À compléter",IF(OR(G296&lt;0,G296&gt;1),"Incohérent",IF(COUNTIFS($A$6:$A$505,A296,$B$6:$B$505,B296)&gt;1,"Doublon ID",""))))</x:f>
      </x:c>
    </x:row>
    <x:row r="297" ht="23" customHeight="1">
      <x:c r="A297" s="9"/>
      <x:c r="B297" s="9"/>
      <x:c r="C297" s="9"/>
      <x:c r="D297" s="9"/>
      <x:c r="E297" s="9"/>
      <x:c r="F297" s="11"/>
      <x:c r="G297" s="10"/>
      <x:c r="H297" s="9"/>
      <x:c r="I297" s="12" t="str">
        <x:f>IF(A297="","",IF(OR(B297="",C297="",F297="",NOT(ISNUMBER(G297))),"À compléter",IF(OR(G297&lt;0,G297&gt;1),"Incohérent",IF(COUNTIFS($A$6:$A$505,A297,$B$6:$B$505,B297)&gt;1,"Doublon ID",""))))</x:f>
      </x:c>
    </x:row>
    <x:row r="298" ht="23" customHeight="1">
      <x:c r="A298" s="9"/>
      <x:c r="B298" s="9"/>
      <x:c r="C298" s="9"/>
      <x:c r="D298" s="9"/>
      <x:c r="E298" s="9"/>
      <x:c r="F298" s="11"/>
      <x:c r="G298" s="10"/>
      <x:c r="H298" s="9"/>
      <x:c r="I298" s="12" t="str">
        <x:f>IF(A298="","",IF(OR(B298="",C298="",F298="",NOT(ISNUMBER(G298))),"À compléter",IF(OR(G298&lt;0,G298&gt;1),"Incohérent",IF(COUNTIFS($A$6:$A$505,A298,$B$6:$B$505,B298)&gt;1,"Doublon ID",""))))</x:f>
      </x:c>
    </x:row>
    <x:row r="299" ht="23" customHeight="1">
      <x:c r="A299" s="9"/>
      <x:c r="B299" s="9"/>
      <x:c r="C299" s="9"/>
      <x:c r="D299" s="9"/>
      <x:c r="E299" s="9"/>
      <x:c r="F299" s="11"/>
      <x:c r="G299" s="10"/>
      <x:c r="H299" s="9"/>
      <x:c r="I299" s="12" t="str">
        <x:f>IF(A299="","",IF(OR(B299="",C299="",F299="",NOT(ISNUMBER(G299))),"À compléter",IF(OR(G299&lt;0,G299&gt;1),"Incohérent",IF(COUNTIFS($A$6:$A$505,A299,$B$6:$B$505,B299)&gt;1,"Doublon ID",""))))</x:f>
      </x:c>
    </x:row>
    <x:row r="300" ht="23" customHeight="1">
      <x:c r="A300" s="9"/>
      <x:c r="B300" s="9"/>
      <x:c r="C300" s="9"/>
      <x:c r="D300" s="9"/>
      <x:c r="E300" s="9"/>
      <x:c r="F300" s="11"/>
      <x:c r="G300" s="10"/>
      <x:c r="H300" s="9"/>
      <x:c r="I300" s="12" t="str">
        <x:f>IF(A300="","",IF(OR(B300="",C300="",F300="",NOT(ISNUMBER(G300))),"À compléter",IF(OR(G300&lt;0,G300&gt;1),"Incohérent",IF(COUNTIFS($A$6:$A$505,A300,$B$6:$B$505,B300)&gt;1,"Doublon ID",""))))</x:f>
      </x:c>
    </x:row>
    <x:row r="301" ht="23" customHeight="1">
      <x:c r="A301" s="9"/>
      <x:c r="B301" s="9"/>
      <x:c r="C301" s="9"/>
      <x:c r="D301" s="9"/>
      <x:c r="E301" s="9"/>
      <x:c r="F301" s="11"/>
      <x:c r="G301" s="10"/>
      <x:c r="H301" s="9"/>
      <x:c r="I301" s="12" t="str">
        <x:f>IF(A301="","",IF(OR(B301="",C301="",F301="",NOT(ISNUMBER(G301))),"À compléter",IF(OR(G301&lt;0,G301&gt;1),"Incohérent",IF(COUNTIFS($A$6:$A$505,A301,$B$6:$B$505,B301)&gt;1,"Doublon ID",""))))</x:f>
      </x:c>
    </x:row>
    <x:row r="302" ht="23" customHeight="1">
      <x:c r="A302" s="9"/>
      <x:c r="B302" s="9"/>
      <x:c r="C302" s="9"/>
      <x:c r="D302" s="9"/>
      <x:c r="E302" s="9"/>
      <x:c r="F302" s="11"/>
      <x:c r="G302" s="10"/>
      <x:c r="H302" s="9"/>
      <x:c r="I302" s="12" t="str">
        <x:f>IF(A302="","",IF(OR(B302="",C302="",F302="",NOT(ISNUMBER(G302))),"À compléter",IF(OR(G302&lt;0,G302&gt;1),"Incohérent",IF(COUNTIFS($A$6:$A$505,A302,$B$6:$B$505,B302)&gt;1,"Doublon ID",""))))</x:f>
      </x:c>
    </x:row>
    <x:row r="303" ht="23" customHeight="1">
      <x:c r="A303" s="9"/>
      <x:c r="B303" s="9"/>
      <x:c r="C303" s="9"/>
      <x:c r="D303" s="9"/>
      <x:c r="E303" s="9"/>
      <x:c r="F303" s="11"/>
      <x:c r="G303" s="10"/>
      <x:c r="H303" s="9"/>
      <x:c r="I303" s="12" t="str">
        <x:f>IF(A303="","",IF(OR(B303="",C303="",F303="",NOT(ISNUMBER(G303))),"À compléter",IF(OR(G303&lt;0,G303&gt;1),"Incohérent",IF(COUNTIFS($A$6:$A$505,A303,$B$6:$B$505,B303)&gt;1,"Doublon ID",""))))</x:f>
      </x:c>
    </x:row>
    <x:row r="304" ht="23" customHeight="1">
      <x:c r="A304" s="9"/>
      <x:c r="B304" s="9"/>
      <x:c r="C304" s="9"/>
      <x:c r="D304" s="9"/>
      <x:c r="E304" s="9"/>
      <x:c r="F304" s="11"/>
      <x:c r="G304" s="10"/>
      <x:c r="H304" s="9"/>
      <x:c r="I304" s="12" t="str">
        <x:f>IF(A304="","",IF(OR(B304="",C304="",F304="",NOT(ISNUMBER(G304))),"À compléter",IF(OR(G304&lt;0,G304&gt;1),"Incohérent",IF(COUNTIFS($A$6:$A$505,A304,$B$6:$B$505,B304)&gt;1,"Doublon ID",""))))</x:f>
      </x:c>
    </x:row>
    <x:row r="305" ht="23" customHeight="1">
      <x:c r="A305" s="9"/>
      <x:c r="B305" s="9"/>
      <x:c r="C305" s="9"/>
      <x:c r="D305" s="9"/>
      <x:c r="E305" s="9"/>
      <x:c r="F305" s="11"/>
      <x:c r="G305" s="10"/>
      <x:c r="H305" s="9"/>
      <x:c r="I305" s="12" t="str">
        <x:f>IF(A305="","",IF(OR(B305="",C305="",F305="",NOT(ISNUMBER(G305))),"À compléter",IF(OR(G305&lt;0,G305&gt;1),"Incohérent",IF(COUNTIFS($A$6:$A$505,A305,$B$6:$B$505,B305)&gt;1,"Doublon ID",""))))</x:f>
      </x:c>
    </x:row>
    <x:row r="306" ht="23" customHeight="1">
      <x:c r="A306" s="9"/>
      <x:c r="B306" s="9"/>
      <x:c r="C306" s="9"/>
      <x:c r="D306" s="9"/>
      <x:c r="E306" s="9"/>
      <x:c r="F306" s="11"/>
      <x:c r="G306" s="10"/>
      <x:c r="H306" s="9"/>
      <x:c r="I306" s="12" t="str">
        <x:f>IF(A306="","",IF(OR(B306="",C306="",F306="",NOT(ISNUMBER(G306))),"À compléter",IF(OR(G306&lt;0,G306&gt;1),"Incohérent",IF(COUNTIFS($A$6:$A$505,A306,$B$6:$B$505,B306)&gt;1,"Doublon ID",""))))</x:f>
      </x:c>
    </x:row>
    <x:row r="307" ht="23" customHeight="1">
      <x:c r="A307" s="9"/>
      <x:c r="B307" s="9"/>
      <x:c r="C307" s="9"/>
      <x:c r="D307" s="9"/>
      <x:c r="E307" s="9"/>
      <x:c r="F307" s="11"/>
      <x:c r="G307" s="10"/>
      <x:c r="H307" s="9"/>
      <x:c r="I307" s="12" t="str">
        <x:f>IF(A307="","",IF(OR(B307="",C307="",F307="",NOT(ISNUMBER(G307))),"À compléter",IF(OR(G307&lt;0,G307&gt;1),"Incohérent",IF(COUNTIFS($A$6:$A$505,A307,$B$6:$B$505,B307)&gt;1,"Doublon ID",""))))</x:f>
      </x:c>
    </x:row>
    <x:row r="308" ht="23" customHeight="1">
      <x:c r="A308" s="9"/>
      <x:c r="B308" s="9"/>
      <x:c r="C308" s="9"/>
      <x:c r="D308" s="9"/>
      <x:c r="E308" s="9"/>
      <x:c r="F308" s="11"/>
      <x:c r="G308" s="10"/>
      <x:c r="H308" s="9"/>
      <x:c r="I308" s="12" t="str">
        <x:f>IF(A308="","",IF(OR(B308="",C308="",F308="",NOT(ISNUMBER(G308))),"À compléter",IF(OR(G308&lt;0,G308&gt;1),"Incohérent",IF(COUNTIFS($A$6:$A$505,A308,$B$6:$B$505,B308)&gt;1,"Doublon ID",""))))</x:f>
      </x:c>
    </x:row>
    <x:row r="309" ht="23" customHeight="1">
      <x:c r="A309" s="9"/>
      <x:c r="B309" s="9"/>
      <x:c r="C309" s="9"/>
      <x:c r="D309" s="9"/>
      <x:c r="E309" s="9"/>
      <x:c r="F309" s="11"/>
      <x:c r="G309" s="10"/>
      <x:c r="H309" s="9"/>
      <x:c r="I309" s="12" t="str">
        <x:f>IF(A309="","",IF(OR(B309="",C309="",F309="",NOT(ISNUMBER(G309))),"À compléter",IF(OR(G309&lt;0,G309&gt;1),"Incohérent",IF(COUNTIFS($A$6:$A$505,A309,$B$6:$B$505,B309)&gt;1,"Doublon ID",""))))</x:f>
      </x:c>
    </x:row>
    <x:row r="310" ht="23" customHeight="1">
      <x:c r="A310" s="9"/>
      <x:c r="B310" s="9"/>
      <x:c r="C310" s="9"/>
      <x:c r="D310" s="9"/>
      <x:c r="E310" s="9"/>
      <x:c r="F310" s="11"/>
      <x:c r="G310" s="10"/>
      <x:c r="H310" s="9"/>
      <x:c r="I310" s="12" t="str">
        <x:f>IF(A310="","",IF(OR(B310="",C310="",F310="",NOT(ISNUMBER(G310))),"À compléter",IF(OR(G310&lt;0,G310&gt;1),"Incohérent",IF(COUNTIFS($A$6:$A$505,A310,$B$6:$B$505,B310)&gt;1,"Doublon ID",""))))</x:f>
      </x:c>
    </x:row>
    <x:row r="311" ht="23" customHeight="1">
      <x:c r="A311" s="9"/>
      <x:c r="B311" s="9"/>
      <x:c r="C311" s="9"/>
      <x:c r="D311" s="9"/>
      <x:c r="E311" s="9"/>
      <x:c r="F311" s="11"/>
      <x:c r="G311" s="10"/>
      <x:c r="H311" s="9"/>
      <x:c r="I311" s="12" t="str">
        <x:f>IF(A311="","",IF(OR(B311="",C311="",F311="",NOT(ISNUMBER(G311))),"À compléter",IF(OR(G311&lt;0,G311&gt;1),"Incohérent",IF(COUNTIFS($A$6:$A$505,A311,$B$6:$B$505,B311)&gt;1,"Doublon ID",""))))</x:f>
      </x:c>
    </x:row>
    <x:row r="312" ht="23" customHeight="1">
      <x:c r="A312" s="9"/>
      <x:c r="B312" s="9"/>
      <x:c r="C312" s="9"/>
      <x:c r="D312" s="9"/>
      <x:c r="E312" s="9"/>
      <x:c r="F312" s="11"/>
      <x:c r="G312" s="10"/>
      <x:c r="H312" s="9"/>
      <x:c r="I312" s="12" t="str">
        <x:f>IF(A312="","",IF(OR(B312="",C312="",F312="",NOT(ISNUMBER(G312))),"À compléter",IF(OR(G312&lt;0,G312&gt;1),"Incohérent",IF(COUNTIFS($A$6:$A$505,A312,$B$6:$B$505,B312)&gt;1,"Doublon ID",""))))</x:f>
      </x:c>
    </x:row>
    <x:row r="313" ht="23" customHeight="1">
      <x:c r="A313" s="9"/>
      <x:c r="B313" s="9"/>
      <x:c r="C313" s="9"/>
      <x:c r="D313" s="9"/>
      <x:c r="E313" s="9"/>
      <x:c r="F313" s="11"/>
      <x:c r="G313" s="10"/>
      <x:c r="H313" s="9"/>
      <x:c r="I313" s="12" t="str">
        <x:f>IF(A313="","",IF(OR(B313="",C313="",F313="",NOT(ISNUMBER(G313))),"À compléter",IF(OR(G313&lt;0,G313&gt;1),"Incohérent",IF(COUNTIFS($A$6:$A$505,A313,$B$6:$B$505,B313)&gt;1,"Doublon ID",""))))</x:f>
      </x:c>
    </x:row>
    <x:row r="314" ht="23" customHeight="1">
      <x:c r="A314" s="9"/>
      <x:c r="B314" s="9"/>
      <x:c r="C314" s="9"/>
      <x:c r="D314" s="9"/>
      <x:c r="E314" s="9"/>
      <x:c r="F314" s="11"/>
      <x:c r="G314" s="10"/>
      <x:c r="H314" s="9"/>
      <x:c r="I314" s="12" t="str">
        <x:f>IF(A314="","",IF(OR(B314="",C314="",F314="",NOT(ISNUMBER(G314))),"À compléter",IF(OR(G314&lt;0,G314&gt;1),"Incohérent",IF(COUNTIFS($A$6:$A$505,A314,$B$6:$B$505,B314)&gt;1,"Doublon ID",""))))</x:f>
      </x:c>
    </x:row>
    <x:row r="315" ht="23" customHeight="1">
      <x:c r="A315" s="9"/>
      <x:c r="B315" s="9"/>
      <x:c r="C315" s="9"/>
      <x:c r="D315" s="9"/>
      <x:c r="E315" s="9"/>
      <x:c r="F315" s="11"/>
      <x:c r="G315" s="10"/>
      <x:c r="H315" s="9"/>
      <x:c r="I315" s="12" t="str">
        <x:f>IF(A315="","",IF(OR(B315="",C315="",F315="",NOT(ISNUMBER(G315))),"À compléter",IF(OR(G315&lt;0,G315&gt;1),"Incohérent",IF(COUNTIFS($A$6:$A$505,A315,$B$6:$B$505,B315)&gt;1,"Doublon ID",""))))</x:f>
      </x:c>
    </x:row>
    <x:row r="316" ht="23" customHeight="1">
      <x:c r="A316" s="9"/>
      <x:c r="B316" s="9"/>
      <x:c r="C316" s="9"/>
      <x:c r="D316" s="9"/>
      <x:c r="E316" s="9"/>
      <x:c r="F316" s="11"/>
      <x:c r="G316" s="10"/>
      <x:c r="H316" s="9"/>
      <x:c r="I316" s="12" t="str">
        <x:f>IF(A316="","",IF(OR(B316="",C316="",F316="",NOT(ISNUMBER(G316))),"À compléter",IF(OR(G316&lt;0,G316&gt;1),"Incohérent",IF(COUNTIFS($A$6:$A$505,A316,$B$6:$B$505,B316)&gt;1,"Doublon ID",""))))</x:f>
      </x:c>
    </x:row>
    <x:row r="317" ht="23" customHeight="1">
      <x:c r="A317" s="9"/>
      <x:c r="B317" s="9"/>
      <x:c r="C317" s="9"/>
      <x:c r="D317" s="9"/>
      <x:c r="E317" s="9"/>
      <x:c r="F317" s="11"/>
      <x:c r="G317" s="10"/>
      <x:c r="H317" s="9"/>
      <x:c r="I317" s="12" t="str">
        <x:f>IF(A317="","",IF(OR(B317="",C317="",F317="",NOT(ISNUMBER(G317))),"À compléter",IF(OR(G317&lt;0,G317&gt;1),"Incohérent",IF(COUNTIFS($A$6:$A$505,A317,$B$6:$B$505,B317)&gt;1,"Doublon ID",""))))</x:f>
      </x:c>
    </x:row>
    <x:row r="318" ht="23" customHeight="1">
      <x:c r="A318" s="9"/>
      <x:c r="B318" s="9"/>
      <x:c r="C318" s="9"/>
      <x:c r="D318" s="9"/>
      <x:c r="E318" s="9"/>
      <x:c r="F318" s="11"/>
      <x:c r="G318" s="10"/>
      <x:c r="H318" s="9"/>
      <x:c r="I318" s="12" t="str">
        <x:f>IF(A318="","",IF(OR(B318="",C318="",F318="",NOT(ISNUMBER(G318))),"À compléter",IF(OR(G318&lt;0,G318&gt;1),"Incohérent",IF(COUNTIFS($A$6:$A$505,A318,$B$6:$B$505,B318)&gt;1,"Doublon ID",""))))</x:f>
      </x:c>
    </x:row>
    <x:row r="319" ht="23" customHeight="1">
      <x:c r="A319" s="9"/>
      <x:c r="B319" s="9"/>
      <x:c r="C319" s="9"/>
      <x:c r="D319" s="9"/>
      <x:c r="E319" s="9"/>
      <x:c r="F319" s="11"/>
      <x:c r="G319" s="10"/>
      <x:c r="H319" s="9"/>
      <x:c r="I319" s="12" t="str">
        <x:f>IF(A319="","",IF(OR(B319="",C319="",F319="",NOT(ISNUMBER(G319))),"À compléter",IF(OR(G319&lt;0,G319&gt;1),"Incohérent",IF(COUNTIFS($A$6:$A$505,A319,$B$6:$B$505,B319)&gt;1,"Doublon ID",""))))</x:f>
      </x:c>
    </x:row>
    <x:row r="320" ht="23" customHeight="1">
      <x:c r="A320" s="9"/>
      <x:c r="B320" s="9"/>
      <x:c r="C320" s="9"/>
      <x:c r="D320" s="9"/>
      <x:c r="E320" s="9"/>
      <x:c r="F320" s="11"/>
      <x:c r="G320" s="10"/>
      <x:c r="H320" s="9"/>
      <x:c r="I320" s="12" t="str">
        <x:f>IF(A320="","",IF(OR(B320="",C320="",F320="",NOT(ISNUMBER(G320))),"À compléter",IF(OR(G320&lt;0,G320&gt;1),"Incohérent",IF(COUNTIFS($A$6:$A$505,A320,$B$6:$B$505,B320)&gt;1,"Doublon ID",""))))</x:f>
      </x:c>
    </x:row>
    <x:row r="321" ht="23" customHeight="1">
      <x:c r="A321" s="9"/>
      <x:c r="B321" s="9"/>
      <x:c r="C321" s="9"/>
      <x:c r="D321" s="9"/>
      <x:c r="E321" s="9"/>
      <x:c r="F321" s="11"/>
      <x:c r="G321" s="10"/>
      <x:c r="H321" s="9"/>
      <x:c r="I321" s="12" t="str">
        <x:f>IF(A321="","",IF(OR(B321="",C321="",F321="",NOT(ISNUMBER(G321))),"À compléter",IF(OR(G321&lt;0,G321&gt;1),"Incohérent",IF(COUNTIFS($A$6:$A$505,A321,$B$6:$B$505,B321)&gt;1,"Doublon ID",""))))</x:f>
      </x:c>
    </x:row>
    <x:row r="322" ht="23" customHeight="1">
      <x:c r="A322" s="9"/>
      <x:c r="B322" s="9"/>
      <x:c r="C322" s="9"/>
      <x:c r="D322" s="9"/>
      <x:c r="E322" s="9"/>
      <x:c r="F322" s="11"/>
      <x:c r="G322" s="10"/>
      <x:c r="H322" s="9"/>
      <x:c r="I322" s="12" t="str">
        <x:f>IF(A322="","",IF(OR(B322="",C322="",F322="",NOT(ISNUMBER(G322))),"À compléter",IF(OR(G322&lt;0,G322&gt;1),"Incohérent",IF(COUNTIFS($A$6:$A$505,A322,$B$6:$B$505,B322)&gt;1,"Doublon ID",""))))</x:f>
      </x:c>
    </x:row>
    <x:row r="323" ht="23" customHeight="1">
      <x:c r="A323" s="9"/>
      <x:c r="B323" s="9"/>
      <x:c r="C323" s="9"/>
      <x:c r="D323" s="9"/>
      <x:c r="E323" s="9"/>
      <x:c r="F323" s="11"/>
      <x:c r="G323" s="10"/>
      <x:c r="H323" s="9"/>
      <x:c r="I323" s="12" t="str">
        <x:f>IF(A323="","",IF(OR(B323="",C323="",F323="",NOT(ISNUMBER(G323))),"À compléter",IF(OR(G323&lt;0,G323&gt;1),"Incohérent",IF(COUNTIFS($A$6:$A$505,A323,$B$6:$B$505,B323)&gt;1,"Doublon ID",""))))</x:f>
      </x:c>
    </x:row>
    <x:row r="324" ht="23" customHeight="1">
      <x:c r="A324" s="9"/>
      <x:c r="B324" s="9"/>
      <x:c r="C324" s="9"/>
      <x:c r="D324" s="9"/>
      <x:c r="E324" s="9"/>
      <x:c r="F324" s="11"/>
      <x:c r="G324" s="10"/>
      <x:c r="H324" s="9"/>
      <x:c r="I324" s="12" t="str">
        <x:f>IF(A324="","",IF(OR(B324="",C324="",F324="",NOT(ISNUMBER(G324))),"À compléter",IF(OR(G324&lt;0,G324&gt;1),"Incohérent",IF(COUNTIFS($A$6:$A$505,A324,$B$6:$B$505,B324)&gt;1,"Doublon ID",""))))</x:f>
      </x:c>
    </x:row>
    <x:row r="325" ht="23" customHeight="1">
      <x:c r="A325" s="9"/>
      <x:c r="B325" s="9"/>
      <x:c r="C325" s="9"/>
      <x:c r="D325" s="9"/>
      <x:c r="E325" s="9"/>
      <x:c r="F325" s="11"/>
      <x:c r="G325" s="10"/>
      <x:c r="H325" s="9"/>
      <x:c r="I325" s="12" t="str">
        <x:f>IF(A325="","",IF(OR(B325="",C325="",F325="",NOT(ISNUMBER(G325))),"À compléter",IF(OR(G325&lt;0,G325&gt;1),"Incohérent",IF(COUNTIFS($A$6:$A$505,A325,$B$6:$B$505,B325)&gt;1,"Doublon ID",""))))</x:f>
      </x:c>
    </x:row>
    <x:row r="326" ht="23" customHeight="1">
      <x:c r="A326" s="9"/>
      <x:c r="B326" s="9"/>
      <x:c r="C326" s="9"/>
      <x:c r="D326" s="9"/>
      <x:c r="E326" s="9"/>
      <x:c r="F326" s="11"/>
      <x:c r="G326" s="10"/>
      <x:c r="H326" s="9"/>
      <x:c r="I326" s="12" t="str">
        <x:f>IF(A326="","",IF(OR(B326="",C326="",F326="",NOT(ISNUMBER(G326))),"À compléter",IF(OR(G326&lt;0,G326&gt;1),"Incohérent",IF(COUNTIFS($A$6:$A$505,A326,$B$6:$B$505,B326)&gt;1,"Doublon ID",""))))</x:f>
      </x:c>
    </x:row>
    <x:row r="327" ht="23" customHeight="1">
      <x:c r="A327" s="9"/>
      <x:c r="B327" s="9"/>
      <x:c r="C327" s="9"/>
      <x:c r="D327" s="9"/>
      <x:c r="E327" s="9"/>
      <x:c r="F327" s="11"/>
      <x:c r="G327" s="10"/>
      <x:c r="H327" s="9"/>
      <x:c r="I327" s="12" t="str">
        <x:f>IF(A327="","",IF(OR(B327="",C327="",F327="",NOT(ISNUMBER(G327))),"À compléter",IF(OR(G327&lt;0,G327&gt;1),"Incohérent",IF(COUNTIFS($A$6:$A$505,A327,$B$6:$B$505,B327)&gt;1,"Doublon ID",""))))</x:f>
      </x:c>
    </x:row>
    <x:row r="328" ht="23" customHeight="1">
      <x:c r="A328" s="9"/>
      <x:c r="B328" s="9"/>
      <x:c r="C328" s="9"/>
      <x:c r="D328" s="9"/>
      <x:c r="E328" s="9"/>
      <x:c r="F328" s="11"/>
      <x:c r="G328" s="10"/>
      <x:c r="H328" s="9"/>
      <x:c r="I328" s="12" t="str">
        <x:f>IF(A328="","",IF(OR(B328="",C328="",F328="",NOT(ISNUMBER(G328))),"À compléter",IF(OR(G328&lt;0,G328&gt;1),"Incohérent",IF(COUNTIFS($A$6:$A$505,A328,$B$6:$B$505,B328)&gt;1,"Doublon ID",""))))</x:f>
      </x:c>
    </x:row>
    <x:row r="329" ht="23" customHeight="1">
      <x:c r="A329" s="9"/>
      <x:c r="B329" s="9"/>
      <x:c r="C329" s="9"/>
      <x:c r="D329" s="9"/>
      <x:c r="E329" s="9"/>
      <x:c r="F329" s="11"/>
      <x:c r="G329" s="10"/>
      <x:c r="H329" s="9"/>
      <x:c r="I329" s="12" t="str">
        <x:f>IF(A329="","",IF(OR(B329="",C329="",F329="",NOT(ISNUMBER(G329))),"À compléter",IF(OR(G329&lt;0,G329&gt;1),"Incohérent",IF(COUNTIFS($A$6:$A$505,A329,$B$6:$B$505,B329)&gt;1,"Doublon ID",""))))</x:f>
      </x:c>
    </x:row>
    <x:row r="330" ht="23" customHeight="1">
      <x:c r="A330" s="9"/>
      <x:c r="B330" s="9"/>
      <x:c r="C330" s="9"/>
      <x:c r="D330" s="9"/>
      <x:c r="E330" s="9"/>
      <x:c r="F330" s="11"/>
      <x:c r="G330" s="10"/>
      <x:c r="H330" s="9"/>
      <x:c r="I330" s="12" t="str">
        <x:f>IF(A330="","",IF(OR(B330="",C330="",F330="",NOT(ISNUMBER(G330))),"À compléter",IF(OR(G330&lt;0,G330&gt;1),"Incohérent",IF(COUNTIFS($A$6:$A$505,A330,$B$6:$B$505,B330)&gt;1,"Doublon ID",""))))</x:f>
      </x:c>
    </x:row>
    <x:row r="331" ht="23" customHeight="1">
      <x:c r="A331" s="9"/>
      <x:c r="B331" s="9"/>
      <x:c r="C331" s="9"/>
      <x:c r="D331" s="9"/>
      <x:c r="E331" s="9"/>
      <x:c r="F331" s="11"/>
      <x:c r="G331" s="10"/>
      <x:c r="H331" s="9"/>
      <x:c r="I331" s="12" t="str">
        <x:f>IF(A331="","",IF(OR(B331="",C331="",F331="",NOT(ISNUMBER(G331))),"À compléter",IF(OR(G331&lt;0,G331&gt;1),"Incohérent",IF(COUNTIFS($A$6:$A$505,A331,$B$6:$B$505,B331)&gt;1,"Doublon ID",""))))</x:f>
      </x:c>
    </x:row>
    <x:row r="332" ht="23" customHeight="1">
      <x:c r="A332" s="9"/>
      <x:c r="B332" s="9"/>
      <x:c r="C332" s="9"/>
      <x:c r="D332" s="9"/>
      <x:c r="E332" s="9"/>
      <x:c r="F332" s="11"/>
      <x:c r="G332" s="10"/>
      <x:c r="H332" s="9"/>
      <x:c r="I332" s="12" t="str">
        <x:f>IF(A332="","",IF(OR(B332="",C332="",F332="",NOT(ISNUMBER(G332))),"À compléter",IF(OR(G332&lt;0,G332&gt;1),"Incohérent",IF(COUNTIFS($A$6:$A$505,A332,$B$6:$B$505,B332)&gt;1,"Doublon ID",""))))</x:f>
      </x:c>
    </x:row>
    <x:row r="333" ht="23" customHeight="1">
      <x:c r="A333" s="9"/>
      <x:c r="B333" s="9"/>
      <x:c r="C333" s="9"/>
      <x:c r="D333" s="9"/>
      <x:c r="E333" s="9"/>
      <x:c r="F333" s="11"/>
      <x:c r="G333" s="10"/>
      <x:c r="H333" s="9"/>
      <x:c r="I333" s="12" t="str">
        <x:f>IF(A333="","",IF(OR(B333="",C333="",F333="",NOT(ISNUMBER(G333))),"À compléter",IF(OR(G333&lt;0,G333&gt;1),"Incohérent",IF(COUNTIFS($A$6:$A$505,A333,$B$6:$B$505,B333)&gt;1,"Doublon ID",""))))</x:f>
      </x:c>
    </x:row>
    <x:row r="334" ht="23" customHeight="1">
      <x:c r="A334" s="9"/>
      <x:c r="B334" s="9"/>
      <x:c r="C334" s="9"/>
      <x:c r="D334" s="9"/>
      <x:c r="E334" s="9"/>
      <x:c r="F334" s="11"/>
      <x:c r="G334" s="10"/>
      <x:c r="H334" s="9"/>
      <x:c r="I334" s="12" t="str">
        <x:f>IF(A334="","",IF(OR(B334="",C334="",F334="",NOT(ISNUMBER(G334))),"À compléter",IF(OR(G334&lt;0,G334&gt;1),"Incohérent",IF(COUNTIFS($A$6:$A$505,A334,$B$6:$B$505,B334)&gt;1,"Doublon ID",""))))</x:f>
      </x:c>
    </x:row>
    <x:row r="335" ht="23" customHeight="1">
      <x:c r="A335" s="9"/>
      <x:c r="B335" s="9"/>
      <x:c r="C335" s="9"/>
      <x:c r="D335" s="9"/>
      <x:c r="E335" s="9"/>
      <x:c r="F335" s="11"/>
      <x:c r="G335" s="10"/>
      <x:c r="H335" s="9"/>
      <x:c r="I335" s="12" t="str">
        <x:f>IF(A335="","",IF(OR(B335="",C335="",F335="",NOT(ISNUMBER(G335))),"À compléter",IF(OR(G335&lt;0,G335&gt;1),"Incohérent",IF(COUNTIFS($A$6:$A$505,A335,$B$6:$B$505,B335)&gt;1,"Doublon ID",""))))</x:f>
      </x:c>
    </x:row>
    <x:row r="336" ht="23" customHeight="1">
      <x:c r="A336" s="9"/>
      <x:c r="B336" s="9"/>
      <x:c r="C336" s="9"/>
      <x:c r="D336" s="9"/>
      <x:c r="E336" s="9"/>
      <x:c r="F336" s="11"/>
      <x:c r="G336" s="10"/>
      <x:c r="H336" s="9"/>
      <x:c r="I336" s="12" t="str">
        <x:f>IF(A336="","",IF(OR(B336="",C336="",F336="",NOT(ISNUMBER(G336))),"À compléter",IF(OR(G336&lt;0,G336&gt;1),"Incohérent",IF(COUNTIFS($A$6:$A$505,A336,$B$6:$B$505,B336)&gt;1,"Doublon ID",""))))</x:f>
      </x:c>
    </x:row>
    <x:row r="337" ht="23" customHeight="1">
      <x:c r="A337" s="9"/>
      <x:c r="B337" s="9"/>
      <x:c r="C337" s="9"/>
      <x:c r="D337" s="9"/>
      <x:c r="E337" s="9"/>
      <x:c r="F337" s="11"/>
      <x:c r="G337" s="10"/>
      <x:c r="H337" s="9"/>
      <x:c r="I337" s="12" t="str">
        <x:f>IF(A337="","",IF(OR(B337="",C337="",F337="",NOT(ISNUMBER(G337))),"À compléter",IF(OR(G337&lt;0,G337&gt;1),"Incohérent",IF(COUNTIFS($A$6:$A$505,A337,$B$6:$B$505,B337)&gt;1,"Doublon ID",""))))</x:f>
      </x:c>
    </x:row>
    <x:row r="338" ht="23" customHeight="1">
      <x:c r="A338" s="9"/>
      <x:c r="B338" s="9"/>
      <x:c r="C338" s="9"/>
      <x:c r="D338" s="9"/>
      <x:c r="E338" s="9"/>
      <x:c r="F338" s="11"/>
      <x:c r="G338" s="10"/>
      <x:c r="H338" s="9"/>
      <x:c r="I338" s="12" t="str">
        <x:f>IF(A338="","",IF(OR(B338="",C338="",F338="",NOT(ISNUMBER(G338))),"À compléter",IF(OR(G338&lt;0,G338&gt;1),"Incohérent",IF(COUNTIFS($A$6:$A$505,A338,$B$6:$B$505,B338)&gt;1,"Doublon ID",""))))</x:f>
      </x:c>
    </x:row>
    <x:row r="339" ht="23" customHeight="1">
      <x:c r="A339" s="9"/>
      <x:c r="B339" s="9"/>
      <x:c r="C339" s="9"/>
      <x:c r="D339" s="9"/>
      <x:c r="E339" s="9"/>
      <x:c r="F339" s="11"/>
      <x:c r="G339" s="10"/>
      <x:c r="H339" s="9"/>
      <x:c r="I339" s="12" t="str">
        <x:f>IF(A339="","",IF(OR(B339="",C339="",F339="",NOT(ISNUMBER(G339))),"À compléter",IF(OR(G339&lt;0,G339&gt;1),"Incohérent",IF(COUNTIFS($A$6:$A$505,A339,$B$6:$B$505,B339)&gt;1,"Doublon ID",""))))</x:f>
      </x:c>
    </x:row>
    <x:row r="340" ht="23" customHeight="1">
      <x:c r="A340" s="9"/>
      <x:c r="B340" s="9"/>
      <x:c r="C340" s="9"/>
      <x:c r="D340" s="9"/>
      <x:c r="E340" s="9"/>
      <x:c r="F340" s="11"/>
      <x:c r="G340" s="10"/>
      <x:c r="H340" s="9"/>
      <x:c r="I340" s="12" t="str">
        <x:f>IF(A340="","",IF(OR(B340="",C340="",F340="",NOT(ISNUMBER(G340))),"À compléter",IF(OR(G340&lt;0,G340&gt;1),"Incohérent",IF(COUNTIFS($A$6:$A$505,A340,$B$6:$B$505,B340)&gt;1,"Doublon ID",""))))</x:f>
      </x:c>
    </x:row>
    <x:row r="341" ht="23" customHeight="1">
      <x:c r="A341" s="9"/>
      <x:c r="B341" s="9"/>
      <x:c r="C341" s="9"/>
      <x:c r="D341" s="9"/>
      <x:c r="E341" s="9"/>
      <x:c r="F341" s="11"/>
      <x:c r="G341" s="10"/>
      <x:c r="H341" s="9"/>
      <x:c r="I341" s="12" t="str">
        <x:f>IF(A341="","",IF(OR(B341="",C341="",F341="",NOT(ISNUMBER(G341))),"À compléter",IF(OR(G341&lt;0,G341&gt;1),"Incohérent",IF(COUNTIFS($A$6:$A$505,A341,$B$6:$B$505,B341)&gt;1,"Doublon ID",""))))</x:f>
      </x:c>
    </x:row>
    <x:row r="342" ht="23" customHeight="1">
      <x:c r="A342" s="9"/>
      <x:c r="B342" s="9"/>
      <x:c r="C342" s="9"/>
      <x:c r="D342" s="9"/>
      <x:c r="E342" s="9"/>
      <x:c r="F342" s="11"/>
      <x:c r="G342" s="10"/>
      <x:c r="H342" s="9"/>
      <x:c r="I342" s="12" t="str">
        <x:f>IF(A342="","",IF(OR(B342="",C342="",F342="",NOT(ISNUMBER(G342))),"À compléter",IF(OR(G342&lt;0,G342&gt;1),"Incohérent",IF(COUNTIFS($A$6:$A$505,A342,$B$6:$B$505,B342)&gt;1,"Doublon ID",""))))</x:f>
      </x:c>
    </x:row>
    <x:row r="343" ht="23" customHeight="1">
      <x:c r="A343" s="9"/>
      <x:c r="B343" s="9"/>
      <x:c r="C343" s="9"/>
      <x:c r="D343" s="9"/>
      <x:c r="E343" s="9"/>
      <x:c r="F343" s="11"/>
      <x:c r="G343" s="10"/>
      <x:c r="H343" s="9"/>
      <x:c r="I343" s="12" t="str">
        <x:f>IF(A343="","",IF(OR(B343="",C343="",F343="",NOT(ISNUMBER(G343))),"À compléter",IF(OR(G343&lt;0,G343&gt;1),"Incohérent",IF(COUNTIFS($A$6:$A$505,A343,$B$6:$B$505,B343)&gt;1,"Doublon ID",""))))</x:f>
      </x:c>
    </x:row>
    <x:row r="344" ht="23" customHeight="1">
      <x:c r="A344" s="9"/>
      <x:c r="B344" s="9"/>
      <x:c r="C344" s="9"/>
      <x:c r="D344" s="9"/>
      <x:c r="E344" s="9"/>
      <x:c r="F344" s="11"/>
      <x:c r="G344" s="10"/>
      <x:c r="H344" s="9"/>
      <x:c r="I344" s="12" t="str">
        <x:f>IF(A344="","",IF(OR(B344="",C344="",F344="",NOT(ISNUMBER(G344))),"À compléter",IF(OR(G344&lt;0,G344&gt;1),"Incohérent",IF(COUNTIFS($A$6:$A$505,A344,$B$6:$B$505,B344)&gt;1,"Doublon ID",""))))</x:f>
      </x:c>
    </x:row>
    <x:row r="345" ht="23" customHeight="1">
      <x:c r="A345" s="9"/>
      <x:c r="B345" s="9"/>
      <x:c r="C345" s="9"/>
      <x:c r="D345" s="9"/>
      <x:c r="E345" s="9"/>
      <x:c r="F345" s="11"/>
      <x:c r="G345" s="10"/>
      <x:c r="H345" s="9"/>
      <x:c r="I345" s="12" t="str">
        <x:f>IF(A345="","",IF(OR(B345="",C345="",F345="",NOT(ISNUMBER(G345))),"À compléter",IF(OR(G345&lt;0,G345&gt;1),"Incohérent",IF(COUNTIFS($A$6:$A$505,A345,$B$6:$B$505,B345)&gt;1,"Doublon ID",""))))</x:f>
      </x:c>
    </x:row>
    <x:row r="346" ht="23" customHeight="1">
      <x:c r="A346" s="9"/>
      <x:c r="B346" s="9"/>
      <x:c r="C346" s="9"/>
      <x:c r="D346" s="9"/>
      <x:c r="E346" s="9"/>
      <x:c r="F346" s="11"/>
      <x:c r="G346" s="10"/>
      <x:c r="H346" s="9"/>
      <x:c r="I346" s="12" t="str">
        <x:f>IF(A346="","",IF(OR(B346="",C346="",F346="",NOT(ISNUMBER(G346))),"À compléter",IF(OR(G346&lt;0,G346&gt;1),"Incohérent",IF(COUNTIFS($A$6:$A$505,A346,$B$6:$B$505,B346)&gt;1,"Doublon ID",""))))</x:f>
      </x:c>
    </x:row>
    <x:row r="347" ht="23" customHeight="1">
      <x:c r="A347" s="9"/>
      <x:c r="B347" s="9"/>
      <x:c r="C347" s="9"/>
      <x:c r="D347" s="9"/>
      <x:c r="E347" s="9"/>
      <x:c r="F347" s="11"/>
      <x:c r="G347" s="10"/>
      <x:c r="H347" s="9"/>
      <x:c r="I347" s="12" t="str">
        <x:f>IF(A347="","",IF(OR(B347="",C347="",F347="",NOT(ISNUMBER(G347))),"À compléter",IF(OR(G347&lt;0,G347&gt;1),"Incohérent",IF(COUNTIFS($A$6:$A$505,A347,$B$6:$B$505,B347)&gt;1,"Doublon ID",""))))</x:f>
      </x:c>
    </x:row>
    <x:row r="348" ht="23" customHeight="1">
      <x:c r="A348" s="9"/>
      <x:c r="B348" s="9"/>
      <x:c r="C348" s="9"/>
      <x:c r="D348" s="9"/>
      <x:c r="E348" s="9"/>
      <x:c r="F348" s="11"/>
      <x:c r="G348" s="10"/>
      <x:c r="H348" s="9"/>
      <x:c r="I348" s="12" t="str">
        <x:f>IF(A348="","",IF(OR(B348="",C348="",F348="",NOT(ISNUMBER(G348))),"À compléter",IF(OR(G348&lt;0,G348&gt;1),"Incohérent",IF(COUNTIFS($A$6:$A$505,A348,$B$6:$B$505,B348)&gt;1,"Doublon ID",""))))</x:f>
      </x:c>
    </x:row>
    <x:row r="349" ht="23" customHeight="1">
      <x:c r="A349" s="9"/>
      <x:c r="B349" s="9"/>
      <x:c r="C349" s="9"/>
      <x:c r="D349" s="9"/>
      <x:c r="E349" s="9"/>
      <x:c r="F349" s="11"/>
      <x:c r="G349" s="10"/>
      <x:c r="H349" s="9"/>
      <x:c r="I349" s="12" t="str">
        <x:f>IF(A349="","",IF(OR(B349="",C349="",F349="",NOT(ISNUMBER(G349))),"À compléter",IF(OR(G349&lt;0,G349&gt;1),"Incohérent",IF(COUNTIFS($A$6:$A$505,A349,$B$6:$B$505,B349)&gt;1,"Doublon ID",""))))</x:f>
      </x:c>
    </x:row>
    <x:row r="350" ht="23" customHeight="1">
      <x:c r="A350" s="9"/>
      <x:c r="B350" s="9"/>
      <x:c r="C350" s="9"/>
      <x:c r="D350" s="9"/>
      <x:c r="E350" s="9"/>
      <x:c r="F350" s="11"/>
      <x:c r="G350" s="10"/>
      <x:c r="H350" s="9"/>
      <x:c r="I350" s="12" t="str">
        <x:f>IF(A350="","",IF(OR(B350="",C350="",F350="",NOT(ISNUMBER(G350))),"À compléter",IF(OR(G350&lt;0,G350&gt;1),"Incohérent",IF(COUNTIFS($A$6:$A$505,A350,$B$6:$B$505,B350)&gt;1,"Doublon ID",""))))</x:f>
      </x:c>
    </x:row>
    <x:row r="351" ht="23" customHeight="1">
      <x:c r="A351" s="9"/>
      <x:c r="B351" s="9"/>
      <x:c r="C351" s="9"/>
      <x:c r="D351" s="9"/>
      <x:c r="E351" s="9"/>
      <x:c r="F351" s="11"/>
      <x:c r="G351" s="10"/>
      <x:c r="H351" s="9"/>
      <x:c r="I351" s="12" t="str">
        <x:f>IF(A351="","",IF(OR(B351="",C351="",F351="",NOT(ISNUMBER(G351))),"À compléter",IF(OR(G351&lt;0,G351&gt;1),"Incohérent",IF(COUNTIFS($A$6:$A$505,A351,$B$6:$B$505,B351)&gt;1,"Doublon ID",""))))</x:f>
      </x:c>
    </x:row>
    <x:row r="352" ht="23" customHeight="1">
      <x:c r="A352" s="9"/>
      <x:c r="B352" s="9"/>
      <x:c r="C352" s="9"/>
      <x:c r="D352" s="9"/>
      <x:c r="E352" s="9"/>
      <x:c r="F352" s="11"/>
      <x:c r="G352" s="10"/>
      <x:c r="H352" s="9"/>
      <x:c r="I352" s="12" t="str">
        <x:f>IF(A352="","",IF(OR(B352="",C352="",F352="",NOT(ISNUMBER(G352))),"À compléter",IF(OR(G352&lt;0,G352&gt;1),"Incohérent",IF(COUNTIFS($A$6:$A$505,A352,$B$6:$B$505,B352)&gt;1,"Doublon ID",""))))</x:f>
      </x:c>
    </x:row>
    <x:row r="353" ht="23" customHeight="1">
      <x:c r="A353" s="9"/>
      <x:c r="B353" s="9"/>
      <x:c r="C353" s="9"/>
      <x:c r="D353" s="9"/>
      <x:c r="E353" s="9"/>
      <x:c r="F353" s="11"/>
      <x:c r="G353" s="10"/>
      <x:c r="H353" s="9"/>
      <x:c r="I353" s="12" t="str">
        <x:f>IF(A353="","",IF(OR(B353="",C353="",F353="",NOT(ISNUMBER(G353))),"À compléter",IF(OR(G353&lt;0,G353&gt;1),"Incohérent",IF(COUNTIFS($A$6:$A$505,A353,$B$6:$B$505,B353)&gt;1,"Doublon ID",""))))</x:f>
      </x:c>
    </x:row>
    <x:row r="354" ht="23" customHeight="1">
      <x:c r="A354" s="9"/>
      <x:c r="B354" s="9"/>
      <x:c r="C354" s="9"/>
      <x:c r="D354" s="9"/>
      <x:c r="E354" s="9"/>
      <x:c r="F354" s="11"/>
      <x:c r="G354" s="10"/>
      <x:c r="H354" s="9"/>
      <x:c r="I354" s="12" t="str">
        <x:f>IF(A354="","",IF(OR(B354="",C354="",F354="",NOT(ISNUMBER(G354))),"À compléter",IF(OR(G354&lt;0,G354&gt;1),"Incohérent",IF(COUNTIFS($A$6:$A$505,A354,$B$6:$B$505,B354)&gt;1,"Doublon ID",""))))</x:f>
      </x:c>
    </x:row>
    <x:row r="355" ht="23" customHeight="1">
      <x:c r="A355" s="9"/>
      <x:c r="B355" s="9"/>
      <x:c r="C355" s="9"/>
      <x:c r="D355" s="9"/>
      <x:c r="E355" s="9"/>
      <x:c r="F355" s="11"/>
      <x:c r="G355" s="10"/>
      <x:c r="H355" s="9"/>
      <x:c r="I355" s="12" t="str">
        <x:f>IF(A355="","",IF(OR(B355="",C355="",F355="",NOT(ISNUMBER(G355))),"À compléter",IF(OR(G355&lt;0,G355&gt;1),"Incohérent",IF(COUNTIFS($A$6:$A$505,A355,$B$6:$B$505,B355)&gt;1,"Doublon ID",""))))</x:f>
      </x:c>
    </x:row>
    <x:row r="356" ht="23" customHeight="1">
      <x:c r="A356" s="9"/>
      <x:c r="B356" s="9"/>
      <x:c r="C356" s="9"/>
      <x:c r="D356" s="9"/>
      <x:c r="E356" s="9"/>
      <x:c r="F356" s="11"/>
      <x:c r="G356" s="10"/>
      <x:c r="H356" s="9"/>
      <x:c r="I356" s="12" t="str">
        <x:f>IF(A356="","",IF(OR(B356="",C356="",F356="",NOT(ISNUMBER(G356))),"À compléter",IF(OR(G356&lt;0,G356&gt;1),"Incohérent",IF(COUNTIFS($A$6:$A$505,A356,$B$6:$B$505,B356)&gt;1,"Doublon ID",""))))</x:f>
      </x:c>
    </x:row>
    <x:row r="357" ht="23" customHeight="1">
      <x:c r="A357" s="9"/>
      <x:c r="B357" s="9"/>
      <x:c r="C357" s="9"/>
      <x:c r="D357" s="9"/>
      <x:c r="E357" s="9"/>
      <x:c r="F357" s="11"/>
      <x:c r="G357" s="10"/>
      <x:c r="H357" s="9"/>
      <x:c r="I357" s="12" t="str">
        <x:f>IF(A357="","",IF(OR(B357="",C357="",F357="",NOT(ISNUMBER(G357))),"À compléter",IF(OR(G357&lt;0,G357&gt;1),"Incohérent",IF(COUNTIFS($A$6:$A$505,A357,$B$6:$B$505,B357)&gt;1,"Doublon ID",""))))</x:f>
      </x:c>
    </x:row>
    <x:row r="358" ht="23" customHeight="1">
      <x:c r="A358" s="9"/>
      <x:c r="B358" s="9"/>
      <x:c r="C358" s="9"/>
      <x:c r="D358" s="9"/>
      <x:c r="E358" s="9"/>
      <x:c r="F358" s="11"/>
      <x:c r="G358" s="10"/>
      <x:c r="H358" s="9"/>
      <x:c r="I358" s="12" t="str">
        <x:f>IF(A358="","",IF(OR(B358="",C358="",F358="",NOT(ISNUMBER(G358))),"À compléter",IF(OR(G358&lt;0,G358&gt;1),"Incohérent",IF(COUNTIFS($A$6:$A$505,A358,$B$6:$B$505,B358)&gt;1,"Doublon ID",""))))</x:f>
      </x:c>
    </x:row>
    <x:row r="359" ht="23" customHeight="1">
      <x:c r="A359" s="9"/>
      <x:c r="B359" s="9"/>
      <x:c r="C359" s="9"/>
      <x:c r="D359" s="9"/>
      <x:c r="E359" s="9"/>
      <x:c r="F359" s="11"/>
      <x:c r="G359" s="10"/>
      <x:c r="H359" s="9"/>
      <x:c r="I359" s="12" t="str">
        <x:f>IF(A359="","",IF(OR(B359="",C359="",F359="",NOT(ISNUMBER(G359))),"À compléter",IF(OR(G359&lt;0,G359&gt;1),"Incohérent",IF(COUNTIFS($A$6:$A$505,A359,$B$6:$B$505,B359)&gt;1,"Doublon ID",""))))</x:f>
      </x:c>
    </x:row>
    <x:row r="360" ht="23" customHeight="1">
      <x:c r="A360" s="9"/>
      <x:c r="B360" s="9"/>
      <x:c r="C360" s="9"/>
      <x:c r="D360" s="9"/>
      <x:c r="E360" s="9"/>
      <x:c r="F360" s="11"/>
      <x:c r="G360" s="10"/>
      <x:c r="H360" s="9"/>
      <x:c r="I360" s="12" t="str">
        <x:f>IF(A360="","",IF(OR(B360="",C360="",F360="",NOT(ISNUMBER(G360))),"À compléter",IF(OR(G360&lt;0,G360&gt;1),"Incohérent",IF(COUNTIFS($A$6:$A$505,A360,$B$6:$B$505,B360)&gt;1,"Doublon ID",""))))</x:f>
      </x:c>
    </x:row>
    <x:row r="361" ht="23" customHeight="1">
      <x:c r="A361" s="9"/>
      <x:c r="B361" s="9"/>
      <x:c r="C361" s="9"/>
      <x:c r="D361" s="9"/>
      <x:c r="E361" s="9"/>
      <x:c r="F361" s="11"/>
      <x:c r="G361" s="10"/>
      <x:c r="H361" s="9"/>
      <x:c r="I361" s="12" t="str">
        <x:f>IF(A361="","",IF(OR(B361="",C361="",F361="",NOT(ISNUMBER(G361))),"À compléter",IF(OR(G361&lt;0,G361&gt;1),"Incohérent",IF(COUNTIFS($A$6:$A$505,A361,$B$6:$B$505,B361)&gt;1,"Doublon ID",""))))</x:f>
      </x:c>
    </x:row>
    <x:row r="362" ht="23" customHeight="1">
      <x:c r="A362" s="9"/>
      <x:c r="B362" s="9"/>
      <x:c r="C362" s="9"/>
      <x:c r="D362" s="9"/>
      <x:c r="E362" s="9"/>
      <x:c r="F362" s="11"/>
      <x:c r="G362" s="10"/>
      <x:c r="H362" s="9"/>
      <x:c r="I362" s="12" t="str">
        <x:f>IF(A362="","",IF(OR(B362="",C362="",F362="",NOT(ISNUMBER(G362))),"À compléter",IF(OR(G362&lt;0,G362&gt;1),"Incohérent",IF(COUNTIFS($A$6:$A$505,A362,$B$6:$B$505,B362)&gt;1,"Doublon ID",""))))</x:f>
      </x:c>
    </x:row>
    <x:row r="363" ht="23" customHeight="1">
      <x:c r="A363" s="9"/>
      <x:c r="B363" s="9"/>
      <x:c r="C363" s="9"/>
      <x:c r="D363" s="9"/>
      <x:c r="E363" s="9"/>
      <x:c r="F363" s="11"/>
      <x:c r="G363" s="10"/>
      <x:c r="H363" s="9"/>
      <x:c r="I363" s="12" t="str">
        <x:f>IF(A363="","",IF(OR(B363="",C363="",F363="",NOT(ISNUMBER(G363))),"À compléter",IF(OR(G363&lt;0,G363&gt;1),"Incohérent",IF(COUNTIFS($A$6:$A$505,A363,$B$6:$B$505,B363)&gt;1,"Doublon ID",""))))</x:f>
      </x:c>
    </x:row>
    <x:row r="364" ht="23" customHeight="1">
      <x:c r="A364" s="9"/>
      <x:c r="B364" s="9"/>
      <x:c r="C364" s="9"/>
      <x:c r="D364" s="9"/>
      <x:c r="E364" s="9"/>
      <x:c r="F364" s="11"/>
      <x:c r="G364" s="10"/>
      <x:c r="H364" s="9"/>
      <x:c r="I364" s="12" t="str">
        <x:f>IF(A364="","",IF(OR(B364="",C364="",F364="",NOT(ISNUMBER(G364))),"À compléter",IF(OR(G364&lt;0,G364&gt;1),"Incohérent",IF(COUNTIFS($A$6:$A$505,A364,$B$6:$B$505,B364)&gt;1,"Doublon ID",""))))</x:f>
      </x:c>
    </x:row>
    <x:row r="365" ht="23" customHeight="1">
      <x:c r="A365" s="9"/>
      <x:c r="B365" s="9"/>
      <x:c r="C365" s="9"/>
      <x:c r="D365" s="9"/>
      <x:c r="E365" s="9"/>
      <x:c r="F365" s="11"/>
      <x:c r="G365" s="10"/>
      <x:c r="H365" s="9"/>
      <x:c r="I365" s="12" t="str">
        <x:f>IF(A365="","",IF(OR(B365="",C365="",F365="",NOT(ISNUMBER(G365))),"À compléter",IF(OR(G365&lt;0,G365&gt;1),"Incohérent",IF(COUNTIFS($A$6:$A$505,A365,$B$6:$B$505,B365)&gt;1,"Doublon ID",""))))</x:f>
      </x:c>
    </x:row>
    <x:row r="366" ht="23" customHeight="1">
      <x:c r="A366" s="9"/>
      <x:c r="B366" s="9"/>
      <x:c r="C366" s="9"/>
      <x:c r="D366" s="9"/>
      <x:c r="E366" s="9"/>
      <x:c r="F366" s="11"/>
      <x:c r="G366" s="10"/>
      <x:c r="H366" s="9"/>
      <x:c r="I366" s="12" t="str">
        <x:f>IF(A366="","",IF(OR(B366="",C366="",F366="",NOT(ISNUMBER(G366))),"À compléter",IF(OR(G366&lt;0,G366&gt;1),"Incohérent",IF(COUNTIFS($A$6:$A$505,A366,$B$6:$B$505,B366)&gt;1,"Doublon ID",""))))</x:f>
      </x:c>
    </x:row>
    <x:row r="367" ht="23" customHeight="1">
      <x:c r="A367" s="9"/>
      <x:c r="B367" s="9"/>
      <x:c r="C367" s="9"/>
      <x:c r="D367" s="9"/>
      <x:c r="E367" s="9"/>
      <x:c r="F367" s="11"/>
      <x:c r="G367" s="10"/>
      <x:c r="H367" s="9"/>
      <x:c r="I367" s="12" t="str">
        <x:f>IF(A367="","",IF(OR(B367="",C367="",F367="",NOT(ISNUMBER(G367))),"À compléter",IF(OR(G367&lt;0,G367&gt;1),"Incohérent",IF(COUNTIFS($A$6:$A$505,A367,$B$6:$B$505,B367)&gt;1,"Doublon ID",""))))</x:f>
      </x:c>
    </x:row>
    <x:row r="368" ht="23" customHeight="1">
      <x:c r="A368" s="9"/>
      <x:c r="B368" s="9"/>
      <x:c r="C368" s="9"/>
      <x:c r="D368" s="9"/>
      <x:c r="E368" s="9"/>
      <x:c r="F368" s="11"/>
      <x:c r="G368" s="10"/>
      <x:c r="H368" s="9"/>
      <x:c r="I368" s="12" t="str">
        <x:f>IF(A368="","",IF(OR(B368="",C368="",F368="",NOT(ISNUMBER(G368))),"À compléter",IF(OR(G368&lt;0,G368&gt;1),"Incohérent",IF(COUNTIFS($A$6:$A$505,A368,$B$6:$B$505,B368)&gt;1,"Doublon ID",""))))</x:f>
      </x:c>
    </x:row>
    <x:row r="369" ht="23" customHeight="1">
      <x:c r="A369" s="9"/>
      <x:c r="B369" s="9"/>
      <x:c r="C369" s="9"/>
      <x:c r="D369" s="9"/>
      <x:c r="E369" s="9"/>
      <x:c r="F369" s="11"/>
      <x:c r="G369" s="10"/>
      <x:c r="H369" s="9"/>
      <x:c r="I369" s="12" t="str">
        <x:f>IF(A369="","",IF(OR(B369="",C369="",F369="",NOT(ISNUMBER(G369))),"À compléter",IF(OR(G369&lt;0,G369&gt;1),"Incohérent",IF(COUNTIFS($A$6:$A$505,A369,$B$6:$B$505,B369)&gt;1,"Doublon ID",""))))</x:f>
      </x:c>
    </x:row>
    <x:row r="370" ht="23" customHeight="1">
      <x:c r="A370" s="9"/>
      <x:c r="B370" s="9"/>
      <x:c r="C370" s="9"/>
      <x:c r="D370" s="9"/>
      <x:c r="E370" s="9"/>
      <x:c r="F370" s="11"/>
      <x:c r="G370" s="10"/>
      <x:c r="H370" s="9"/>
      <x:c r="I370" s="12" t="str">
        <x:f>IF(A370="","",IF(OR(B370="",C370="",F370="",NOT(ISNUMBER(G370))),"À compléter",IF(OR(G370&lt;0,G370&gt;1),"Incohérent",IF(COUNTIFS($A$6:$A$505,A370,$B$6:$B$505,B370)&gt;1,"Doublon ID",""))))</x:f>
      </x:c>
    </x:row>
    <x:row r="371" ht="23" customHeight="1">
      <x:c r="A371" s="9"/>
      <x:c r="B371" s="9"/>
      <x:c r="C371" s="9"/>
      <x:c r="D371" s="9"/>
      <x:c r="E371" s="9"/>
      <x:c r="F371" s="11"/>
      <x:c r="G371" s="10"/>
      <x:c r="H371" s="9"/>
      <x:c r="I371" s="12" t="str">
        <x:f>IF(A371="","",IF(OR(B371="",C371="",F371="",NOT(ISNUMBER(G371))),"À compléter",IF(OR(G371&lt;0,G371&gt;1),"Incohérent",IF(COUNTIFS($A$6:$A$505,A371,$B$6:$B$505,B371)&gt;1,"Doublon ID",""))))</x:f>
      </x:c>
    </x:row>
    <x:row r="372" ht="23" customHeight="1">
      <x:c r="A372" s="9"/>
      <x:c r="B372" s="9"/>
      <x:c r="C372" s="9"/>
      <x:c r="D372" s="9"/>
      <x:c r="E372" s="9"/>
      <x:c r="F372" s="11"/>
      <x:c r="G372" s="10"/>
      <x:c r="H372" s="9"/>
      <x:c r="I372" s="12" t="str">
        <x:f>IF(A372="","",IF(OR(B372="",C372="",F372="",NOT(ISNUMBER(G372))),"À compléter",IF(OR(G372&lt;0,G372&gt;1),"Incohérent",IF(COUNTIFS($A$6:$A$505,A372,$B$6:$B$505,B372)&gt;1,"Doublon ID",""))))</x:f>
      </x:c>
    </x:row>
    <x:row r="373" ht="23" customHeight="1">
      <x:c r="A373" s="9"/>
      <x:c r="B373" s="9"/>
      <x:c r="C373" s="9"/>
      <x:c r="D373" s="9"/>
      <x:c r="E373" s="9"/>
      <x:c r="F373" s="11"/>
      <x:c r="G373" s="10"/>
      <x:c r="H373" s="9"/>
      <x:c r="I373" s="12" t="str">
        <x:f>IF(A373="","",IF(OR(B373="",C373="",F373="",NOT(ISNUMBER(G373))),"À compléter",IF(OR(G373&lt;0,G373&gt;1),"Incohérent",IF(COUNTIFS($A$6:$A$505,A373,$B$6:$B$505,B373)&gt;1,"Doublon ID",""))))</x:f>
      </x:c>
    </x:row>
    <x:row r="374" ht="23" customHeight="1">
      <x:c r="A374" s="9"/>
      <x:c r="B374" s="9"/>
      <x:c r="C374" s="9"/>
      <x:c r="D374" s="9"/>
      <x:c r="E374" s="9"/>
      <x:c r="F374" s="11"/>
      <x:c r="G374" s="10"/>
      <x:c r="H374" s="9"/>
      <x:c r="I374" s="12" t="str">
        <x:f>IF(A374="","",IF(OR(B374="",C374="",F374="",NOT(ISNUMBER(G374))),"À compléter",IF(OR(G374&lt;0,G374&gt;1),"Incohérent",IF(COUNTIFS($A$6:$A$505,A374,$B$6:$B$505,B374)&gt;1,"Doublon ID",""))))</x:f>
      </x:c>
    </x:row>
    <x:row r="375" ht="23" customHeight="1">
      <x:c r="A375" s="9"/>
      <x:c r="B375" s="9"/>
      <x:c r="C375" s="9"/>
      <x:c r="D375" s="9"/>
      <x:c r="E375" s="9"/>
      <x:c r="F375" s="11"/>
      <x:c r="G375" s="10"/>
      <x:c r="H375" s="9"/>
      <x:c r="I375" s="12" t="str">
        <x:f>IF(A375="","",IF(OR(B375="",C375="",F375="",NOT(ISNUMBER(G375))),"À compléter",IF(OR(G375&lt;0,G375&gt;1),"Incohérent",IF(COUNTIFS($A$6:$A$505,A375,$B$6:$B$505,B375)&gt;1,"Doublon ID",""))))</x:f>
      </x:c>
    </x:row>
    <x:row r="376" ht="23" customHeight="1">
      <x:c r="A376" s="9"/>
      <x:c r="B376" s="9"/>
      <x:c r="C376" s="9"/>
      <x:c r="D376" s="9"/>
      <x:c r="E376" s="9"/>
      <x:c r="F376" s="11"/>
      <x:c r="G376" s="10"/>
      <x:c r="H376" s="9"/>
      <x:c r="I376" s="12" t="str">
        <x:f>IF(A376="","",IF(OR(B376="",C376="",F376="",NOT(ISNUMBER(G376))),"À compléter",IF(OR(G376&lt;0,G376&gt;1),"Incohérent",IF(COUNTIFS($A$6:$A$505,A376,$B$6:$B$505,B376)&gt;1,"Doublon ID",""))))</x:f>
      </x:c>
    </x:row>
    <x:row r="377" ht="23" customHeight="1">
      <x:c r="A377" s="9"/>
      <x:c r="B377" s="9"/>
      <x:c r="C377" s="9"/>
      <x:c r="D377" s="9"/>
      <x:c r="E377" s="9"/>
      <x:c r="F377" s="11"/>
      <x:c r="G377" s="10"/>
      <x:c r="H377" s="9"/>
      <x:c r="I377" s="12" t="str">
        <x:f>IF(A377="","",IF(OR(B377="",C377="",F377="",NOT(ISNUMBER(G377))),"À compléter",IF(OR(G377&lt;0,G377&gt;1),"Incohérent",IF(COUNTIFS($A$6:$A$505,A377,$B$6:$B$505,B377)&gt;1,"Doublon ID",""))))</x:f>
      </x:c>
    </x:row>
    <x:row r="378" ht="23" customHeight="1">
      <x:c r="A378" s="9"/>
      <x:c r="B378" s="9"/>
      <x:c r="C378" s="9"/>
      <x:c r="D378" s="9"/>
      <x:c r="E378" s="9"/>
      <x:c r="F378" s="11"/>
      <x:c r="G378" s="10"/>
      <x:c r="H378" s="9"/>
      <x:c r="I378" s="12" t="str">
        <x:f>IF(A378="","",IF(OR(B378="",C378="",F378="",NOT(ISNUMBER(G378))),"À compléter",IF(OR(G378&lt;0,G378&gt;1),"Incohérent",IF(COUNTIFS($A$6:$A$505,A378,$B$6:$B$505,B378)&gt;1,"Doublon ID",""))))</x:f>
      </x:c>
    </x:row>
    <x:row r="379" ht="23" customHeight="1">
      <x:c r="A379" s="9"/>
      <x:c r="B379" s="9"/>
      <x:c r="C379" s="9"/>
      <x:c r="D379" s="9"/>
      <x:c r="E379" s="9"/>
      <x:c r="F379" s="11"/>
      <x:c r="G379" s="10"/>
      <x:c r="H379" s="9"/>
      <x:c r="I379" s="12" t="str">
        <x:f>IF(A379="","",IF(OR(B379="",C379="",F379="",NOT(ISNUMBER(G379))),"À compléter",IF(OR(G379&lt;0,G379&gt;1),"Incohérent",IF(COUNTIFS($A$6:$A$505,A379,$B$6:$B$505,B379)&gt;1,"Doublon ID",""))))</x:f>
      </x:c>
    </x:row>
    <x:row r="380" ht="23" customHeight="1">
      <x:c r="A380" s="9"/>
      <x:c r="B380" s="9"/>
      <x:c r="C380" s="9"/>
      <x:c r="D380" s="9"/>
      <x:c r="E380" s="9"/>
      <x:c r="F380" s="11"/>
      <x:c r="G380" s="10"/>
      <x:c r="H380" s="9"/>
      <x:c r="I380" s="12" t="str">
        <x:f>IF(A380="","",IF(OR(B380="",C380="",F380="",NOT(ISNUMBER(G380))),"À compléter",IF(OR(G380&lt;0,G380&gt;1),"Incohérent",IF(COUNTIFS($A$6:$A$505,A380,$B$6:$B$505,B380)&gt;1,"Doublon ID",""))))</x:f>
      </x:c>
    </x:row>
    <x:row r="381" ht="23" customHeight="1">
      <x:c r="A381" s="9"/>
      <x:c r="B381" s="9"/>
      <x:c r="C381" s="9"/>
      <x:c r="D381" s="9"/>
      <x:c r="E381" s="9"/>
      <x:c r="F381" s="11"/>
      <x:c r="G381" s="10"/>
      <x:c r="H381" s="9"/>
      <x:c r="I381" s="12" t="str">
        <x:f>IF(A381="","",IF(OR(B381="",C381="",F381="",NOT(ISNUMBER(G381))),"À compléter",IF(OR(G381&lt;0,G381&gt;1),"Incohérent",IF(COUNTIFS($A$6:$A$505,A381,$B$6:$B$505,B381)&gt;1,"Doublon ID",""))))</x:f>
      </x:c>
    </x:row>
    <x:row r="382" ht="23" customHeight="1">
      <x:c r="A382" s="9"/>
      <x:c r="B382" s="9"/>
      <x:c r="C382" s="9"/>
      <x:c r="D382" s="9"/>
      <x:c r="E382" s="9"/>
      <x:c r="F382" s="11"/>
      <x:c r="G382" s="10"/>
      <x:c r="H382" s="9"/>
      <x:c r="I382" s="12" t="str">
        <x:f>IF(A382="","",IF(OR(B382="",C382="",F382="",NOT(ISNUMBER(G382))),"À compléter",IF(OR(G382&lt;0,G382&gt;1),"Incohérent",IF(COUNTIFS($A$6:$A$505,A382,$B$6:$B$505,B382)&gt;1,"Doublon ID",""))))</x:f>
      </x:c>
    </x:row>
    <x:row r="383" ht="23" customHeight="1">
      <x:c r="A383" s="9"/>
      <x:c r="B383" s="9"/>
      <x:c r="C383" s="9"/>
      <x:c r="D383" s="9"/>
      <x:c r="E383" s="9"/>
      <x:c r="F383" s="11"/>
      <x:c r="G383" s="10"/>
      <x:c r="H383" s="9"/>
      <x:c r="I383" s="12" t="str">
        <x:f>IF(A383="","",IF(OR(B383="",C383="",F383="",NOT(ISNUMBER(G383))),"À compléter",IF(OR(G383&lt;0,G383&gt;1),"Incohérent",IF(COUNTIFS($A$6:$A$505,A383,$B$6:$B$505,B383)&gt;1,"Doublon ID",""))))</x:f>
      </x:c>
    </x:row>
    <x:row r="384" ht="23" customHeight="1">
      <x:c r="A384" s="9"/>
      <x:c r="B384" s="9"/>
      <x:c r="C384" s="9"/>
      <x:c r="D384" s="9"/>
      <x:c r="E384" s="9"/>
      <x:c r="F384" s="11"/>
      <x:c r="G384" s="10"/>
      <x:c r="H384" s="9"/>
      <x:c r="I384" s="12" t="str">
        <x:f>IF(A384="","",IF(OR(B384="",C384="",F384="",NOT(ISNUMBER(G384))),"À compléter",IF(OR(G384&lt;0,G384&gt;1),"Incohérent",IF(COUNTIFS($A$6:$A$505,A384,$B$6:$B$505,B384)&gt;1,"Doublon ID",""))))</x:f>
      </x:c>
    </x:row>
    <x:row r="385" ht="23" customHeight="1">
      <x:c r="A385" s="9"/>
      <x:c r="B385" s="9"/>
      <x:c r="C385" s="9"/>
      <x:c r="D385" s="9"/>
      <x:c r="E385" s="9"/>
      <x:c r="F385" s="11"/>
      <x:c r="G385" s="10"/>
      <x:c r="H385" s="9"/>
      <x:c r="I385" s="12" t="str">
        <x:f>IF(A385="","",IF(OR(B385="",C385="",F385="",NOT(ISNUMBER(G385))),"À compléter",IF(OR(G385&lt;0,G385&gt;1),"Incohérent",IF(COUNTIFS($A$6:$A$505,A385,$B$6:$B$505,B385)&gt;1,"Doublon ID",""))))</x:f>
      </x:c>
    </x:row>
    <x:row r="386" ht="23" customHeight="1">
      <x:c r="A386" s="9"/>
      <x:c r="B386" s="9"/>
      <x:c r="C386" s="9"/>
      <x:c r="D386" s="9"/>
      <x:c r="E386" s="9"/>
      <x:c r="F386" s="11"/>
      <x:c r="G386" s="10"/>
      <x:c r="H386" s="9"/>
      <x:c r="I386" s="12" t="str">
        <x:f>IF(A386="","",IF(OR(B386="",C386="",F386="",NOT(ISNUMBER(G386))),"À compléter",IF(OR(G386&lt;0,G386&gt;1),"Incohérent",IF(COUNTIFS($A$6:$A$505,A386,$B$6:$B$505,B386)&gt;1,"Doublon ID",""))))</x:f>
      </x:c>
    </x:row>
    <x:row r="387" ht="23" customHeight="1">
      <x:c r="A387" s="9"/>
      <x:c r="B387" s="9"/>
      <x:c r="C387" s="9"/>
      <x:c r="D387" s="9"/>
      <x:c r="E387" s="9"/>
      <x:c r="F387" s="11"/>
      <x:c r="G387" s="10"/>
      <x:c r="H387" s="9"/>
      <x:c r="I387" s="12" t="str">
        <x:f>IF(A387="","",IF(OR(B387="",C387="",F387="",NOT(ISNUMBER(G387))),"À compléter",IF(OR(G387&lt;0,G387&gt;1),"Incohérent",IF(COUNTIFS($A$6:$A$505,A387,$B$6:$B$505,B387)&gt;1,"Doublon ID",""))))</x:f>
      </x:c>
    </x:row>
    <x:row r="388" ht="23" customHeight="1">
      <x:c r="A388" s="9"/>
      <x:c r="B388" s="9"/>
      <x:c r="C388" s="9"/>
      <x:c r="D388" s="9"/>
      <x:c r="E388" s="9"/>
      <x:c r="F388" s="11"/>
      <x:c r="G388" s="10"/>
      <x:c r="H388" s="9"/>
      <x:c r="I388" s="12" t="str">
        <x:f>IF(A388="","",IF(OR(B388="",C388="",F388="",NOT(ISNUMBER(G388))),"À compléter",IF(OR(G388&lt;0,G388&gt;1),"Incohérent",IF(COUNTIFS($A$6:$A$505,A388,$B$6:$B$505,B388)&gt;1,"Doublon ID",""))))</x:f>
      </x:c>
    </x:row>
    <x:row r="389" ht="23" customHeight="1">
      <x:c r="A389" s="9"/>
      <x:c r="B389" s="9"/>
      <x:c r="C389" s="9"/>
      <x:c r="D389" s="9"/>
      <x:c r="E389" s="9"/>
      <x:c r="F389" s="11"/>
      <x:c r="G389" s="10"/>
      <x:c r="H389" s="9"/>
      <x:c r="I389" s="12" t="str">
        <x:f>IF(A389="","",IF(OR(B389="",C389="",F389="",NOT(ISNUMBER(G389))),"À compléter",IF(OR(G389&lt;0,G389&gt;1),"Incohérent",IF(COUNTIFS($A$6:$A$505,A389,$B$6:$B$505,B389)&gt;1,"Doublon ID",""))))</x:f>
      </x:c>
    </x:row>
    <x:row r="390" ht="23" customHeight="1">
      <x:c r="A390" s="9"/>
      <x:c r="B390" s="9"/>
      <x:c r="C390" s="9"/>
      <x:c r="D390" s="9"/>
      <x:c r="E390" s="9"/>
      <x:c r="F390" s="11"/>
      <x:c r="G390" s="10"/>
      <x:c r="H390" s="9"/>
      <x:c r="I390" s="12" t="str">
        <x:f>IF(A390="","",IF(OR(B390="",C390="",F390="",NOT(ISNUMBER(G390))),"À compléter",IF(OR(G390&lt;0,G390&gt;1),"Incohérent",IF(COUNTIFS($A$6:$A$505,A390,$B$6:$B$505,B390)&gt;1,"Doublon ID",""))))</x:f>
      </x:c>
    </x:row>
    <x:row r="391" ht="23" customHeight="1">
      <x:c r="A391" s="9"/>
      <x:c r="B391" s="9"/>
      <x:c r="C391" s="9"/>
      <x:c r="D391" s="9"/>
      <x:c r="E391" s="9"/>
      <x:c r="F391" s="11"/>
      <x:c r="G391" s="10"/>
      <x:c r="H391" s="9"/>
      <x:c r="I391" s="12" t="str">
        <x:f>IF(A391="","",IF(OR(B391="",C391="",F391="",NOT(ISNUMBER(G391))),"À compléter",IF(OR(G391&lt;0,G391&gt;1),"Incohérent",IF(COUNTIFS($A$6:$A$505,A391,$B$6:$B$505,B391)&gt;1,"Doublon ID",""))))</x:f>
      </x:c>
    </x:row>
    <x:row r="392" ht="23" customHeight="1">
      <x:c r="A392" s="9"/>
      <x:c r="B392" s="9"/>
      <x:c r="C392" s="9"/>
      <x:c r="D392" s="9"/>
      <x:c r="E392" s="9"/>
      <x:c r="F392" s="11"/>
      <x:c r="G392" s="10"/>
      <x:c r="H392" s="9"/>
      <x:c r="I392" s="12" t="str">
        <x:f>IF(A392="","",IF(OR(B392="",C392="",F392="",NOT(ISNUMBER(G392))),"À compléter",IF(OR(G392&lt;0,G392&gt;1),"Incohérent",IF(COUNTIFS($A$6:$A$505,A392,$B$6:$B$505,B392)&gt;1,"Doublon ID",""))))</x:f>
      </x:c>
    </x:row>
    <x:row r="393" ht="23" customHeight="1">
      <x:c r="A393" s="9"/>
      <x:c r="B393" s="9"/>
      <x:c r="C393" s="9"/>
      <x:c r="D393" s="9"/>
      <x:c r="E393" s="9"/>
      <x:c r="F393" s="11"/>
      <x:c r="G393" s="10"/>
      <x:c r="H393" s="9"/>
      <x:c r="I393" s="12" t="str">
        <x:f>IF(A393="","",IF(OR(B393="",C393="",F393="",NOT(ISNUMBER(G393))),"À compléter",IF(OR(G393&lt;0,G393&gt;1),"Incohérent",IF(COUNTIFS($A$6:$A$505,A393,$B$6:$B$505,B393)&gt;1,"Doublon ID",""))))</x:f>
      </x:c>
    </x:row>
    <x:row r="394" ht="23" customHeight="1">
      <x:c r="A394" s="9"/>
      <x:c r="B394" s="9"/>
      <x:c r="C394" s="9"/>
      <x:c r="D394" s="9"/>
      <x:c r="E394" s="9"/>
      <x:c r="F394" s="11"/>
      <x:c r="G394" s="10"/>
      <x:c r="H394" s="9"/>
      <x:c r="I394" s="12" t="str">
        <x:f>IF(A394="","",IF(OR(B394="",C394="",F394="",NOT(ISNUMBER(G394))),"À compléter",IF(OR(G394&lt;0,G394&gt;1),"Incohérent",IF(COUNTIFS($A$6:$A$505,A394,$B$6:$B$505,B394)&gt;1,"Doublon ID",""))))</x:f>
      </x:c>
    </x:row>
    <x:row r="395" ht="23" customHeight="1">
      <x:c r="A395" s="9"/>
      <x:c r="B395" s="9"/>
      <x:c r="C395" s="9"/>
      <x:c r="D395" s="9"/>
      <x:c r="E395" s="9"/>
      <x:c r="F395" s="11"/>
      <x:c r="G395" s="10"/>
      <x:c r="H395" s="9"/>
      <x:c r="I395" s="12" t="str">
        <x:f>IF(A395="","",IF(OR(B395="",C395="",F395="",NOT(ISNUMBER(G395))),"À compléter",IF(OR(G395&lt;0,G395&gt;1),"Incohérent",IF(COUNTIFS($A$6:$A$505,A395,$B$6:$B$505,B395)&gt;1,"Doublon ID",""))))</x:f>
      </x:c>
    </x:row>
    <x:row r="396" ht="23" customHeight="1">
      <x:c r="A396" s="9"/>
      <x:c r="B396" s="9"/>
      <x:c r="C396" s="9"/>
      <x:c r="D396" s="9"/>
      <x:c r="E396" s="9"/>
      <x:c r="F396" s="11"/>
      <x:c r="G396" s="10"/>
      <x:c r="H396" s="9"/>
      <x:c r="I396" s="12" t="str">
        <x:f>IF(A396="","",IF(OR(B396="",C396="",F396="",NOT(ISNUMBER(G396))),"À compléter",IF(OR(G396&lt;0,G396&gt;1),"Incohérent",IF(COUNTIFS($A$6:$A$505,A396,$B$6:$B$505,B396)&gt;1,"Doublon ID",""))))</x:f>
      </x:c>
    </x:row>
    <x:row r="397" ht="23" customHeight="1">
      <x:c r="A397" s="9"/>
      <x:c r="B397" s="9"/>
      <x:c r="C397" s="9"/>
      <x:c r="D397" s="9"/>
      <x:c r="E397" s="9"/>
      <x:c r="F397" s="11"/>
      <x:c r="G397" s="10"/>
      <x:c r="H397" s="9"/>
      <x:c r="I397" s="12" t="str">
        <x:f>IF(A397="","",IF(OR(B397="",C397="",F397="",NOT(ISNUMBER(G397))),"À compléter",IF(OR(G397&lt;0,G397&gt;1),"Incohérent",IF(COUNTIFS($A$6:$A$505,A397,$B$6:$B$505,B397)&gt;1,"Doublon ID",""))))</x:f>
      </x:c>
    </x:row>
    <x:row r="398" ht="23" customHeight="1">
      <x:c r="A398" s="9"/>
      <x:c r="B398" s="9"/>
      <x:c r="C398" s="9"/>
      <x:c r="D398" s="9"/>
      <x:c r="E398" s="9"/>
      <x:c r="F398" s="11"/>
      <x:c r="G398" s="10"/>
      <x:c r="H398" s="9"/>
      <x:c r="I398" s="12" t="str">
        <x:f>IF(A398="","",IF(OR(B398="",C398="",F398="",NOT(ISNUMBER(G398))),"À compléter",IF(OR(G398&lt;0,G398&gt;1),"Incohérent",IF(COUNTIFS($A$6:$A$505,A398,$B$6:$B$505,B398)&gt;1,"Doublon ID",""))))</x:f>
      </x:c>
    </x:row>
    <x:row r="399" ht="23" customHeight="1">
      <x:c r="A399" s="9"/>
      <x:c r="B399" s="9"/>
      <x:c r="C399" s="9"/>
      <x:c r="D399" s="9"/>
      <x:c r="E399" s="9"/>
      <x:c r="F399" s="11"/>
      <x:c r="G399" s="10"/>
      <x:c r="H399" s="9"/>
      <x:c r="I399" s="12" t="str">
        <x:f>IF(A399="","",IF(OR(B399="",C399="",F399="",NOT(ISNUMBER(G399))),"À compléter",IF(OR(G399&lt;0,G399&gt;1),"Incohérent",IF(COUNTIFS($A$6:$A$505,A399,$B$6:$B$505,B399)&gt;1,"Doublon ID",""))))</x:f>
      </x:c>
    </x:row>
    <x:row r="400" ht="23" customHeight="1">
      <x:c r="A400" s="9"/>
      <x:c r="B400" s="9"/>
      <x:c r="C400" s="9"/>
      <x:c r="D400" s="9"/>
      <x:c r="E400" s="9"/>
      <x:c r="F400" s="11"/>
      <x:c r="G400" s="10"/>
      <x:c r="H400" s="9"/>
      <x:c r="I400" s="12" t="str">
        <x:f>IF(A400="","",IF(OR(B400="",C400="",F400="",NOT(ISNUMBER(G400))),"À compléter",IF(OR(G400&lt;0,G400&gt;1),"Incohérent",IF(COUNTIFS($A$6:$A$505,A400,$B$6:$B$505,B400)&gt;1,"Doublon ID",""))))</x:f>
      </x:c>
    </x:row>
    <x:row r="401" ht="23" customHeight="1">
      <x:c r="A401" s="9"/>
      <x:c r="B401" s="9"/>
      <x:c r="C401" s="9"/>
      <x:c r="D401" s="9"/>
      <x:c r="E401" s="9"/>
      <x:c r="F401" s="11"/>
      <x:c r="G401" s="10"/>
      <x:c r="H401" s="9"/>
      <x:c r="I401" s="12" t="str">
        <x:f>IF(A401="","",IF(OR(B401="",C401="",F401="",NOT(ISNUMBER(G401))),"À compléter",IF(OR(G401&lt;0,G401&gt;1),"Incohérent",IF(COUNTIFS($A$6:$A$505,A401,$B$6:$B$505,B401)&gt;1,"Doublon ID",""))))</x:f>
      </x:c>
    </x:row>
    <x:row r="402" ht="23" customHeight="1">
      <x:c r="A402" s="9"/>
      <x:c r="B402" s="9"/>
      <x:c r="C402" s="9"/>
      <x:c r="D402" s="9"/>
      <x:c r="E402" s="9"/>
      <x:c r="F402" s="11"/>
      <x:c r="G402" s="10"/>
      <x:c r="H402" s="9"/>
      <x:c r="I402" s="12" t="str">
        <x:f>IF(A402="","",IF(OR(B402="",C402="",F402="",NOT(ISNUMBER(G402))),"À compléter",IF(OR(G402&lt;0,G402&gt;1),"Incohérent",IF(COUNTIFS($A$6:$A$505,A402,$B$6:$B$505,B402)&gt;1,"Doublon ID",""))))</x:f>
      </x:c>
    </x:row>
    <x:row r="403" ht="23" customHeight="1">
      <x:c r="A403" s="9"/>
      <x:c r="B403" s="9"/>
      <x:c r="C403" s="9"/>
      <x:c r="D403" s="9"/>
      <x:c r="E403" s="9"/>
      <x:c r="F403" s="11"/>
      <x:c r="G403" s="10"/>
      <x:c r="H403" s="9"/>
      <x:c r="I403" s="12" t="str">
        <x:f>IF(A403="","",IF(OR(B403="",C403="",F403="",NOT(ISNUMBER(G403))),"À compléter",IF(OR(G403&lt;0,G403&gt;1),"Incohérent",IF(COUNTIFS($A$6:$A$505,A403,$B$6:$B$505,B403)&gt;1,"Doublon ID",""))))</x:f>
      </x:c>
    </x:row>
    <x:row r="404" ht="23" customHeight="1">
      <x:c r="A404" s="9"/>
      <x:c r="B404" s="9"/>
      <x:c r="C404" s="9"/>
      <x:c r="D404" s="9"/>
      <x:c r="E404" s="9"/>
      <x:c r="F404" s="11"/>
      <x:c r="G404" s="10"/>
      <x:c r="H404" s="9"/>
      <x:c r="I404" s="12" t="str">
        <x:f>IF(A404="","",IF(OR(B404="",C404="",F404="",NOT(ISNUMBER(G404))),"À compléter",IF(OR(G404&lt;0,G404&gt;1),"Incohérent",IF(COUNTIFS($A$6:$A$505,A404,$B$6:$B$505,B404)&gt;1,"Doublon ID",""))))</x:f>
      </x:c>
    </x:row>
    <x:row r="405" ht="23" customHeight="1">
      <x:c r="A405" s="9"/>
      <x:c r="B405" s="9"/>
      <x:c r="C405" s="9"/>
      <x:c r="D405" s="9"/>
      <x:c r="E405" s="9"/>
      <x:c r="F405" s="11"/>
      <x:c r="G405" s="10"/>
      <x:c r="H405" s="9"/>
      <x:c r="I405" s="12" t="str">
        <x:f>IF(A405="","",IF(OR(B405="",C405="",F405="",NOT(ISNUMBER(G405))),"À compléter",IF(OR(G405&lt;0,G405&gt;1),"Incohérent",IF(COUNTIFS($A$6:$A$505,A405,$B$6:$B$505,B405)&gt;1,"Doublon ID",""))))</x:f>
      </x:c>
    </x:row>
    <x:row r="406" ht="23" customHeight="1">
      <x:c r="A406" s="9"/>
      <x:c r="B406" s="9"/>
      <x:c r="C406" s="9"/>
      <x:c r="D406" s="9"/>
      <x:c r="E406" s="9"/>
      <x:c r="F406" s="11"/>
      <x:c r="G406" s="10"/>
      <x:c r="H406" s="9"/>
      <x:c r="I406" s="12" t="str">
        <x:f>IF(A406="","",IF(OR(B406="",C406="",F406="",NOT(ISNUMBER(G406))),"À compléter",IF(OR(G406&lt;0,G406&gt;1),"Incohérent",IF(COUNTIFS($A$6:$A$505,A406,$B$6:$B$505,B406)&gt;1,"Doublon ID",""))))</x:f>
      </x:c>
    </x:row>
    <x:row r="407" ht="23" customHeight="1">
      <x:c r="A407" s="9"/>
      <x:c r="B407" s="9"/>
      <x:c r="C407" s="9"/>
      <x:c r="D407" s="9"/>
      <x:c r="E407" s="9"/>
      <x:c r="F407" s="11"/>
      <x:c r="G407" s="10"/>
      <x:c r="H407" s="9"/>
      <x:c r="I407" s="12" t="str">
        <x:f>IF(A407="","",IF(OR(B407="",C407="",F407="",NOT(ISNUMBER(G407))),"À compléter",IF(OR(G407&lt;0,G407&gt;1),"Incohérent",IF(COUNTIFS($A$6:$A$505,A407,$B$6:$B$505,B407)&gt;1,"Doublon ID",""))))</x:f>
      </x:c>
    </x:row>
    <x:row r="408" ht="23" customHeight="1">
      <x:c r="A408" s="9"/>
      <x:c r="B408" s="9"/>
      <x:c r="C408" s="9"/>
      <x:c r="D408" s="9"/>
      <x:c r="E408" s="9"/>
      <x:c r="F408" s="11"/>
      <x:c r="G408" s="10"/>
      <x:c r="H408" s="9"/>
      <x:c r="I408" s="12" t="str">
        <x:f>IF(A408="","",IF(OR(B408="",C408="",F408="",NOT(ISNUMBER(G408))),"À compléter",IF(OR(G408&lt;0,G408&gt;1),"Incohérent",IF(COUNTIFS($A$6:$A$505,A408,$B$6:$B$505,B408)&gt;1,"Doublon ID",""))))</x:f>
      </x:c>
    </x:row>
    <x:row r="409" ht="23" customHeight="1">
      <x:c r="A409" s="9"/>
      <x:c r="B409" s="9"/>
      <x:c r="C409" s="9"/>
      <x:c r="D409" s="9"/>
      <x:c r="E409" s="9"/>
      <x:c r="F409" s="11"/>
      <x:c r="G409" s="10"/>
      <x:c r="H409" s="9"/>
      <x:c r="I409" s="12" t="str">
        <x:f>IF(A409="","",IF(OR(B409="",C409="",F409="",NOT(ISNUMBER(G409))),"À compléter",IF(OR(G409&lt;0,G409&gt;1),"Incohérent",IF(COUNTIFS($A$6:$A$505,A409,$B$6:$B$505,B409)&gt;1,"Doublon ID",""))))</x:f>
      </x:c>
    </x:row>
    <x:row r="410" ht="23" customHeight="1">
      <x:c r="A410" s="9"/>
      <x:c r="B410" s="9"/>
      <x:c r="C410" s="9"/>
      <x:c r="D410" s="9"/>
      <x:c r="E410" s="9"/>
      <x:c r="F410" s="11"/>
      <x:c r="G410" s="10"/>
      <x:c r="H410" s="9"/>
      <x:c r="I410" s="12" t="str">
        <x:f>IF(A410="","",IF(OR(B410="",C410="",F410="",NOT(ISNUMBER(G410))),"À compléter",IF(OR(G410&lt;0,G410&gt;1),"Incohérent",IF(COUNTIFS($A$6:$A$505,A410,$B$6:$B$505,B410)&gt;1,"Doublon ID",""))))</x:f>
      </x:c>
    </x:row>
    <x:row r="411" ht="23" customHeight="1">
      <x:c r="A411" s="9"/>
      <x:c r="B411" s="9"/>
      <x:c r="C411" s="9"/>
      <x:c r="D411" s="9"/>
      <x:c r="E411" s="9"/>
      <x:c r="F411" s="11"/>
      <x:c r="G411" s="10"/>
      <x:c r="H411" s="9"/>
      <x:c r="I411" s="12" t="str">
        <x:f>IF(A411="","",IF(OR(B411="",C411="",F411="",NOT(ISNUMBER(G411))),"À compléter",IF(OR(G411&lt;0,G411&gt;1),"Incohérent",IF(COUNTIFS($A$6:$A$505,A411,$B$6:$B$505,B411)&gt;1,"Doublon ID",""))))</x:f>
      </x:c>
    </x:row>
    <x:row r="412" ht="23" customHeight="1">
      <x:c r="A412" s="9"/>
      <x:c r="B412" s="9"/>
      <x:c r="C412" s="9"/>
      <x:c r="D412" s="9"/>
      <x:c r="E412" s="9"/>
      <x:c r="F412" s="11"/>
      <x:c r="G412" s="10"/>
      <x:c r="H412" s="9"/>
      <x:c r="I412" s="12" t="str">
        <x:f>IF(A412="","",IF(OR(B412="",C412="",F412="",NOT(ISNUMBER(G412))),"À compléter",IF(OR(G412&lt;0,G412&gt;1),"Incohérent",IF(COUNTIFS($A$6:$A$505,A412,$B$6:$B$505,B412)&gt;1,"Doublon ID",""))))</x:f>
      </x:c>
    </x:row>
    <x:row r="413" ht="23" customHeight="1">
      <x:c r="A413" s="9"/>
      <x:c r="B413" s="9"/>
      <x:c r="C413" s="9"/>
      <x:c r="D413" s="9"/>
      <x:c r="E413" s="9"/>
      <x:c r="F413" s="11"/>
      <x:c r="G413" s="10"/>
      <x:c r="H413" s="9"/>
      <x:c r="I413" s="12" t="str">
        <x:f>IF(A413="","",IF(OR(B413="",C413="",F413="",NOT(ISNUMBER(G413))),"À compléter",IF(OR(G413&lt;0,G413&gt;1),"Incohérent",IF(COUNTIFS($A$6:$A$505,A413,$B$6:$B$505,B413)&gt;1,"Doublon ID",""))))</x:f>
      </x:c>
    </x:row>
    <x:row r="414" ht="23" customHeight="1">
      <x:c r="A414" s="9"/>
      <x:c r="B414" s="9"/>
      <x:c r="C414" s="9"/>
      <x:c r="D414" s="9"/>
      <x:c r="E414" s="9"/>
      <x:c r="F414" s="11"/>
      <x:c r="G414" s="10"/>
      <x:c r="H414" s="9"/>
      <x:c r="I414" s="12" t="str">
        <x:f>IF(A414="","",IF(OR(B414="",C414="",F414="",NOT(ISNUMBER(G414))),"À compléter",IF(OR(G414&lt;0,G414&gt;1),"Incohérent",IF(COUNTIFS($A$6:$A$505,A414,$B$6:$B$505,B414)&gt;1,"Doublon ID",""))))</x:f>
      </x:c>
    </x:row>
    <x:row r="415" ht="23" customHeight="1">
      <x:c r="A415" s="9"/>
      <x:c r="B415" s="9"/>
      <x:c r="C415" s="9"/>
      <x:c r="D415" s="9"/>
      <x:c r="E415" s="9"/>
      <x:c r="F415" s="11"/>
      <x:c r="G415" s="10"/>
      <x:c r="H415" s="9"/>
      <x:c r="I415" s="12" t="str">
        <x:f>IF(A415="","",IF(OR(B415="",C415="",F415="",NOT(ISNUMBER(G415))),"À compléter",IF(OR(G415&lt;0,G415&gt;1),"Incohérent",IF(COUNTIFS($A$6:$A$505,A415,$B$6:$B$505,B415)&gt;1,"Doublon ID",""))))</x:f>
      </x:c>
    </x:row>
    <x:row r="416" ht="23" customHeight="1">
      <x:c r="A416" s="9"/>
      <x:c r="B416" s="9"/>
      <x:c r="C416" s="9"/>
      <x:c r="D416" s="9"/>
      <x:c r="E416" s="9"/>
      <x:c r="F416" s="11"/>
      <x:c r="G416" s="10"/>
      <x:c r="H416" s="9"/>
      <x:c r="I416" s="12" t="str">
        <x:f>IF(A416="","",IF(OR(B416="",C416="",F416="",NOT(ISNUMBER(G416))),"À compléter",IF(OR(G416&lt;0,G416&gt;1),"Incohérent",IF(COUNTIFS($A$6:$A$505,A416,$B$6:$B$505,B416)&gt;1,"Doublon ID",""))))</x:f>
      </x:c>
    </x:row>
    <x:row r="417" ht="23" customHeight="1">
      <x:c r="A417" s="9"/>
      <x:c r="B417" s="9"/>
      <x:c r="C417" s="9"/>
      <x:c r="D417" s="9"/>
      <x:c r="E417" s="9"/>
      <x:c r="F417" s="11"/>
      <x:c r="G417" s="10"/>
      <x:c r="H417" s="9"/>
      <x:c r="I417" s="12" t="str">
        <x:f>IF(A417="","",IF(OR(B417="",C417="",F417="",NOT(ISNUMBER(G417))),"À compléter",IF(OR(G417&lt;0,G417&gt;1),"Incohérent",IF(COUNTIFS($A$6:$A$505,A417,$B$6:$B$505,B417)&gt;1,"Doublon ID",""))))</x:f>
      </x:c>
    </x:row>
    <x:row r="418" ht="23" customHeight="1">
      <x:c r="A418" s="9"/>
      <x:c r="B418" s="9"/>
      <x:c r="C418" s="9"/>
      <x:c r="D418" s="9"/>
      <x:c r="E418" s="9"/>
      <x:c r="F418" s="11"/>
      <x:c r="G418" s="10"/>
      <x:c r="H418" s="9"/>
      <x:c r="I418" s="12" t="str">
        <x:f>IF(A418="","",IF(OR(B418="",C418="",F418="",NOT(ISNUMBER(G418))),"À compléter",IF(OR(G418&lt;0,G418&gt;1),"Incohérent",IF(COUNTIFS($A$6:$A$505,A418,$B$6:$B$505,B418)&gt;1,"Doublon ID",""))))</x:f>
      </x:c>
    </x:row>
    <x:row r="419" ht="23" customHeight="1">
      <x:c r="A419" s="9"/>
      <x:c r="B419" s="9"/>
      <x:c r="C419" s="9"/>
      <x:c r="D419" s="9"/>
      <x:c r="E419" s="9"/>
      <x:c r="F419" s="11"/>
      <x:c r="G419" s="10"/>
      <x:c r="H419" s="9"/>
      <x:c r="I419" s="12" t="str">
        <x:f>IF(A419="","",IF(OR(B419="",C419="",F419="",NOT(ISNUMBER(G419))),"À compléter",IF(OR(G419&lt;0,G419&gt;1),"Incohérent",IF(COUNTIFS($A$6:$A$505,A419,$B$6:$B$505,B419)&gt;1,"Doublon ID",""))))</x:f>
      </x:c>
    </x:row>
    <x:row r="420" ht="23" customHeight="1">
      <x:c r="A420" s="9"/>
      <x:c r="B420" s="9"/>
      <x:c r="C420" s="9"/>
      <x:c r="D420" s="9"/>
      <x:c r="E420" s="9"/>
      <x:c r="F420" s="11"/>
      <x:c r="G420" s="10"/>
      <x:c r="H420" s="9"/>
      <x:c r="I420" s="12" t="str">
        <x:f>IF(A420="","",IF(OR(B420="",C420="",F420="",NOT(ISNUMBER(G420))),"À compléter",IF(OR(G420&lt;0,G420&gt;1),"Incohérent",IF(COUNTIFS($A$6:$A$505,A420,$B$6:$B$505,B420)&gt;1,"Doublon ID",""))))</x:f>
      </x:c>
    </x:row>
    <x:row r="421" ht="23" customHeight="1">
      <x:c r="A421" s="9"/>
      <x:c r="B421" s="9"/>
      <x:c r="C421" s="9"/>
      <x:c r="D421" s="9"/>
      <x:c r="E421" s="9"/>
      <x:c r="F421" s="11"/>
      <x:c r="G421" s="10"/>
      <x:c r="H421" s="9"/>
      <x:c r="I421" s="12" t="str">
        <x:f>IF(A421="","",IF(OR(B421="",C421="",F421="",NOT(ISNUMBER(G421))),"À compléter",IF(OR(G421&lt;0,G421&gt;1),"Incohérent",IF(COUNTIFS($A$6:$A$505,A421,$B$6:$B$505,B421)&gt;1,"Doublon ID",""))))</x:f>
      </x:c>
    </x:row>
    <x:row r="422" ht="23" customHeight="1">
      <x:c r="A422" s="9"/>
      <x:c r="B422" s="9"/>
      <x:c r="C422" s="9"/>
      <x:c r="D422" s="9"/>
      <x:c r="E422" s="9"/>
      <x:c r="F422" s="11"/>
      <x:c r="G422" s="10"/>
      <x:c r="H422" s="9"/>
      <x:c r="I422" s="12" t="str">
        <x:f>IF(A422="","",IF(OR(B422="",C422="",F422="",NOT(ISNUMBER(G422))),"À compléter",IF(OR(G422&lt;0,G422&gt;1),"Incohérent",IF(COUNTIFS($A$6:$A$505,A422,$B$6:$B$505,B422)&gt;1,"Doublon ID",""))))</x:f>
      </x:c>
    </x:row>
    <x:row r="423" ht="23" customHeight="1">
      <x:c r="A423" s="9"/>
      <x:c r="B423" s="9"/>
      <x:c r="C423" s="9"/>
      <x:c r="D423" s="9"/>
      <x:c r="E423" s="9"/>
      <x:c r="F423" s="11"/>
      <x:c r="G423" s="10"/>
      <x:c r="H423" s="9"/>
      <x:c r="I423" s="12" t="str">
        <x:f>IF(A423="","",IF(OR(B423="",C423="",F423="",NOT(ISNUMBER(G423))),"À compléter",IF(OR(G423&lt;0,G423&gt;1),"Incohérent",IF(COUNTIFS($A$6:$A$505,A423,$B$6:$B$505,B423)&gt;1,"Doublon ID",""))))</x:f>
      </x:c>
    </x:row>
    <x:row r="424" ht="23" customHeight="1">
      <x:c r="A424" s="9"/>
      <x:c r="B424" s="9"/>
      <x:c r="C424" s="9"/>
      <x:c r="D424" s="9"/>
      <x:c r="E424" s="9"/>
      <x:c r="F424" s="11"/>
      <x:c r="G424" s="10"/>
      <x:c r="H424" s="9"/>
      <x:c r="I424" s="12" t="str">
        <x:f>IF(A424="","",IF(OR(B424="",C424="",F424="",NOT(ISNUMBER(G424))),"À compléter",IF(OR(G424&lt;0,G424&gt;1),"Incohérent",IF(COUNTIFS($A$6:$A$505,A424,$B$6:$B$505,B424)&gt;1,"Doublon ID",""))))</x:f>
      </x:c>
    </x:row>
    <x:row r="425" ht="23" customHeight="1">
      <x:c r="A425" s="9"/>
      <x:c r="B425" s="9"/>
      <x:c r="C425" s="9"/>
      <x:c r="D425" s="9"/>
      <x:c r="E425" s="9"/>
      <x:c r="F425" s="11"/>
      <x:c r="G425" s="10"/>
      <x:c r="H425" s="9"/>
      <x:c r="I425" s="12" t="str">
        <x:f>IF(A425="","",IF(OR(B425="",C425="",F425="",NOT(ISNUMBER(G425))),"À compléter",IF(OR(G425&lt;0,G425&gt;1),"Incohérent",IF(COUNTIFS($A$6:$A$505,A425,$B$6:$B$505,B425)&gt;1,"Doublon ID",""))))</x:f>
      </x:c>
    </x:row>
    <x:row r="426" ht="23" customHeight="1">
      <x:c r="A426" s="9"/>
      <x:c r="B426" s="9"/>
      <x:c r="C426" s="9"/>
      <x:c r="D426" s="9"/>
      <x:c r="E426" s="9"/>
      <x:c r="F426" s="11"/>
      <x:c r="G426" s="10"/>
      <x:c r="H426" s="9"/>
      <x:c r="I426" s="12" t="str">
        <x:f>IF(A426="","",IF(OR(B426="",C426="",F426="",NOT(ISNUMBER(G426))),"À compléter",IF(OR(G426&lt;0,G426&gt;1),"Incohérent",IF(COUNTIFS($A$6:$A$505,A426,$B$6:$B$505,B426)&gt;1,"Doublon ID",""))))</x:f>
      </x:c>
    </x:row>
    <x:row r="427" ht="23" customHeight="1">
      <x:c r="A427" s="9"/>
      <x:c r="B427" s="9"/>
      <x:c r="C427" s="9"/>
      <x:c r="D427" s="9"/>
      <x:c r="E427" s="9"/>
      <x:c r="F427" s="11"/>
      <x:c r="G427" s="10"/>
      <x:c r="H427" s="9"/>
      <x:c r="I427" s="12" t="str">
        <x:f>IF(A427="","",IF(OR(B427="",C427="",F427="",NOT(ISNUMBER(G427))),"À compléter",IF(OR(G427&lt;0,G427&gt;1),"Incohérent",IF(COUNTIFS($A$6:$A$505,A427,$B$6:$B$505,B427)&gt;1,"Doublon ID",""))))</x:f>
      </x:c>
    </x:row>
    <x:row r="428" ht="23" customHeight="1">
      <x:c r="A428" s="9"/>
      <x:c r="B428" s="9"/>
      <x:c r="C428" s="9"/>
      <x:c r="D428" s="9"/>
      <x:c r="E428" s="9"/>
      <x:c r="F428" s="11"/>
      <x:c r="G428" s="10"/>
      <x:c r="H428" s="9"/>
      <x:c r="I428" s="12" t="str">
        <x:f>IF(A428="","",IF(OR(B428="",C428="",F428="",NOT(ISNUMBER(G428))),"À compléter",IF(OR(G428&lt;0,G428&gt;1),"Incohérent",IF(COUNTIFS($A$6:$A$505,A428,$B$6:$B$505,B428)&gt;1,"Doublon ID",""))))</x:f>
      </x:c>
    </x:row>
    <x:row r="429" ht="23" customHeight="1">
      <x:c r="A429" s="9"/>
      <x:c r="B429" s="9"/>
      <x:c r="C429" s="9"/>
      <x:c r="D429" s="9"/>
      <x:c r="E429" s="9"/>
      <x:c r="F429" s="11"/>
      <x:c r="G429" s="10"/>
      <x:c r="H429" s="9"/>
      <x:c r="I429" s="12" t="str">
        <x:f>IF(A429="","",IF(OR(B429="",C429="",F429="",NOT(ISNUMBER(G429))),"À compléter",IF(OR(G429&lt;0,G429&gt;1),"Incohérent",IF(COUNTIFS($A$6:$A$505,A429,$B$6:$B$505,B429)&gt;1,"Doublon ID",""))))</x:f>
      </x:c>
    </x:row>
    <x:row r="430" ht="23" customHeight="1">
      <x:c r="A430" s="9"/>
      <x:c r="B430" s="9"/>
      <x:c r="C430" s="9"/>
      <x:c r="D430" s="9"/>
      <x:c r="E430" s="9"/>
      <x:c r="F430" s="11"/>
      <x:c r="G430" s="10"/>
      <x:c r="H430" s="9"/>
      <x:c r="I430" s="12" t="str">
        <x:f>IF(A430="","",IF(OR(B430="",C430="",F430="",NOT(ISNUMBER(G430))),"À compléter",IF(OR(G430&lt;0,G430&gt;1),"Incohérent",IF(COUNTIFS($A$6:$A$505,A430,$B$6:$B$505,B430)&gt;1,"Doublon ID",""))))</x:f>
      </x:c>
    </x:row>
    <x:row r="431" ht="23" customHeight="1">
      <x:c r="A431" s="9"/>
      <x:c r="B431" s="9"/>
      <x:c r="C431" s="9"/>
      <x:c r="D431" s="9"/>
      <x:c r="E431" s="9"/>
      <x:c r="F431" s="11"/>
      <x:c r="G431" s="10"/>
      <x:c r="H431" s="9"/>
      <x:c r="I431" s="12" t="str">
        <x:f>IF(A431="","",IF(OR(B431="",C431="",F431="",NOT(ISNUMBER(G431))),"À compléter",IF(OR(G431&lt;0,G431&gt;1),"Incohérent",IF(COUNTIFS($A$6:$A$505,A431,$B$6:$B$505,B431)&gt;1,"Doublon ID",""))))</x:f>
      </x:c>
    </x:row>
    <x:row r="432" ht="23" customHeight="1">
      <x:c r="A432" s="9"/>
      <x:c r="B432" s="9"/>
      <x:c r="C432" s="9"/>
      <x:c r="D432" s="9"/>
      <x:c r="E432" s="9"/>
      <x:c r="F432" s="11"/>
      <x:c r="G432" s="10"/>
      <x:c r="H432" s="9"/>
      <x:c r="I432" s="12" t="str">
        <x:f>IF(A432="","",IF(OR(B432="",C432="",F432="",NOT(ISNUMBER(G432))),"À compléter",IF(OR(G432&lt;0,G432&gt;1),"Incohérent",IF(COUNTIFS($A$6:$A$505,A432,$B$6:$B$505,B432)&gt;1,"Doublon ID",""))))</x:f>
      </x:c>
    </x:row>
    <x:row r="433" ht="23" customHeight="1">
      <x:c r="A433" s="9"/>
      <x:c r="B433" s="9"/>
      <x:c r="C433" s="9"/>
      <x:c r="D433" s="9"/>
      <x:c r="E433" s="9"/>
      <x:c r="F433" s="11"/>
      <x:c r="G433" s="10"/>
      <x:c r="H433" s="9"/>
      <x:c r="I433" s="12" t="str">
        <x:f>IF(A433="","",IF(OR(B433="",C433="",F433="",NOT(ISNUMBER(G433))),"À compléter",IF(OR(G433&lt;0,G433&gt;1),"Incohérent",IF(COUNTIFS($A$6:$A$505,A433,$B$6:$B$505,B433)&gt;1,"Doublon ID",""))))</x:f>
      </x:c>
    </x:row>
    <x:row r="434" ht="23" customHeight="1">
      <x:c r="A434" s="9"/>
      <x:c r="B434" s="9"/>
      <x:c r="C434" s="9"/>
      <x:c r="D434" s="9"/>
      <x:c r="E434" s="9"/>
      <x:c r="F434" s="11"/>
      <x:c r="G434" s="10"/>
      <x:c r="H434" s="9"/>
      <x:c r="I434" s="12" t="str">
        <x:f>IF(A434="","",IF(OR(B434="",C434="",F434="",NOT(ISNUMBER(G434))),"À compléter",IF(OR(G434&lt;0,G434&gt;1),"Incohérent",IF(COUNTIFS($A$6:$A$505,A434,$B$6:$B$505,B434)&gt;1,"Doublon ID",""))))</x:f>
      </x:c>
    </x:row>
    <x:row r="435" ht="23" customHeight="1">
      <x:c r="A435" s="9"/>
      <x:c r="B435" s="9"/>
      <x:c r="C435" s="9"/>
      <x:c r="D435" s="9"/>
      <x:c r="E435" s="9"/>
      <x:c r="F435" s="11"/>
      <x:c r="G435" s="10"/>
      <x:c r="H435" s="9"/>
      <x:c r="I435" s="12" t="str">
        <x:f>IF(A435="","",IF(OR(B435="",C435="",F435="",NOT(ISNUMBER(G435))),"À compléter",IF(OR(G435&lt;0,G435&gt;1),"Incohérent",IF(COUNTIFS($A$6:$A$505,A435,$B$6:$B$505,B435)&gt;1,"Doublon ID",""))))</x:f>
      </x:c>
    </x:row>
    <x:row r="436" ht="23" customHeight="1">
      <x:c r="A436" s="9"/>
      <x:c r="B436" s="9"/>
      <x:c r="C436" s="9"/>
      <x:c r="D436" s="9"/>
      <x:c r="E436" s="9"/>
      <x:c r="F436" s="11"/>
      <x:c r="G436" s="10"/>
      <x:c r="H436" s="9"/>
      <x:c r="I436" s="12" t="str">
        <x:f>IF(A436="","",IF(OR(B436="",C436="",F436="",NOT(ISNUMBER(G436))),"À compléter",IF(OR(G436&lt;0,G436&gt;1),"Incohérent",IF(COUNTIFS($A$6:$A$505,A436,$B$6:$B$505,B436)&gt;1,"Doublon ID",""))))</x:f>
      </x:c>
    </x:row>
    <x:row r="437" ht="23" customHeight="1">
      <x:c r="A437" s="9"/>
      <x:c r="B437" s="9"/>
      <x:c r="C437" s="9"/>
      <x:c r="D437" s="9"/>
      <x:c r="E437" s="9"/>
      <x:c r="F437" s="11"/>
      <x:c r="G437" s="10"/>
      <x:c r="H437" s="9"/>
      <x:c r="I437" s="12" t="str">
        <x:f>IF(A437="","",IF(OR(B437="",C437="",F437="",NOT(ISNUMBER(G437))),"À compléter",IF(OR(G437&lt;0,G437&gt;1),"Incohérent",IF(COUNTIFS($A$6:$A$505,A437,$B$6:$B$505,B437)&gt;1,"Doublon ID",""))))</x:f>
      </x:c>
    </x:row>
    <x:row r="438" ht="23" customHeight="1">
      <x:c r="A438" s="9"/>
      <x:c r="B438" s="9"/>
      <x:c r="C438" s="9"/>
      <x:c r="D438" s="9"/>
      <x:c r="E438" s="9"/>
      <x:c r="F438" s="11"/>
      <x:c r="G438" s="10"/>
      <x:c r="H438" s="9"/>
      <x:c r="I438" s="12" t="str">
        <x:f>IF(A438="","",IF(OR(B438="",C438="",F438="",NOT(ISNUMBER(G438))),"À compléter",IF(OR(G438&lt;0,G438&gt;1),"Incohérent",IF(COUNTIFS($A$6:$A$505,A438,$B$6:$B$505,B438)&gt;1,"Doublon ID",""))))</x:f>
      </x:c>
    </x:row>
    <x:row r="439" ht="23" customHeight="1">
      <x:c r="A439" s="9"/>
      <x:c r="B439" s="9"/>
      <x:c r="C439" s="9"/>
      <x:c r="D439" s="9"/>
      <x:c r="E439" s="9"/>
      <x:c r="F439" s="11"/>
      <x:c r="G439" s="10"/>
      <x:c r="H439" s="9"/>
      <x:c r="I439" s="12" t="str">
        <x:f>IF(A439="","",IF(OR(B439="",C439="",F439="",NOT(ISNUMBER(G439))),"À compléter",IF(OR(G439&lt;0,G439&gt;1),"Incohérent",IF(COUNTIFS($A$6:$A$505,A439,$B$6:$B$505,B439)&gt;1,"Doublon ID",""))))</x:f>
      </x:c>
    </x:row>
    <x:row r="440" ht="23" customHeight="1">
      <x:c r="A440" s="9"/>
      <x:c r="B440" s="9"/>
      <x:c r="C440" s="9"/>
      <x:c r="D440" s="9"/>
      <x:c r="E440" s="9"/>
      <x:c r="F440" s="11"/>
      <x:c r="G440" s="10"/>
      <x:c r="H440" s="9"/>
      <x:c r="I440" s="12" t="str">
        <x:f>IF(A440="","",IF(OR(B440="",C440="",F440="",NOT(ISNUMBER(G440))),"À compléter",IF(OR(G440&lt;0,G440&gt;1),"Incohérent",IF(COUNTIFS($A$6:$A$505,A440,$B$6:$B$505,B440)&gt;1,"Doublon ID",""))))</x:f>
      </x:c>
    </x:row>
    <x:row r="441" ht="23" customHeight="1">
      <x:c r="A441" s="9"/>
      <x:c r="B441" s="9"/>
      <x:c r="C441" s="9"/>
      <x:c r="D441" s="9"/>
      <x:c r="E441" s="9"/>
      <x:c r="F441" s="11"/>
      <x:c r="G441" s="10"/>
      <x:c r="H441" s="9"/>
      <x:c r="I441" s="12" t="str">
        <x:f>IF(A441="","",IF(OR(B441="",C441="",F441="",NOT(ISNUMBER(G441))),"À compléter",IF(OR(G441&lt;0,G441&gt;1),"Incohérent",IF(COUNTIFS($A$6:$A$505,A441,$B$6:$B$505,B441)&gt;1,"Doublon ID",""))))</x:f>
      </x:c>
    </x:row>
    <x:row r="442" ht="23" customHeight="1">
      <x:c r="A442" s="9"/>
      <x:c r="B442" s="9"/>
      <x:c r="C442" s="9"/>
      <x:c r="D442" s="9"/>
      <x:c r="E442" s="9"/>
      <x:c r="F442" s="11"/>
      <x:c r="G442" s="10"/>
      <x:c r="H442" s="9"/>
      <x:c r="I442" s="12" t="str">
        <x:f>IF(A442="","",IF(OR(B442="",C442="",F442="",NOT(ISNUMBER(G442))),"À compléter",IF(OR(G442&lt;0,G442&gt;1),"Incohérent",IF(COUNTIFS($A$6:$A$505,A442,$B$6:$B$505,B442)&gt;1,"Doublon ID",""))))</x:f>
      </x:c>
    </x:row>
    <x:row r="443" ht="23" customHeight="1">
      <x:c r="A443" s="9"/>
      <x:c r="B443" s="9"/>
      <x:c r="C443" s="9"/>
      <x:c r="D443" s="9"/>
      <x:c r="E443" s="9"/>
      <x:c r="F443" s="11"/>
      <x:c r="G443" s="10"/>
      <x:c r="H443" s="9"/>
      <x:c r="I443" s="12" t="str">
        <x:f>IF(A443="","",IF(OR(B443="",C443="",F443="",NOT(ISNUMBER(G443))),"À compléter",IF(OR(G443&lt;0,G443&gt;1),"Incohérent",IF(COUNTIFS($A$6:$A$505,A443,$B$6:$B$505,B443)&gt;1,"Doublon ID",""))))</x:f>
      </x:c>
    </x:row>
    <x:row r="444" ht="23" customHeight="1">
      <x:c r="A444" s="9"/>
      <x:c r="B444" s="9"/>
      <x:c r="C444" s="9"/>
      <x:c r="D444" s="9"/>
      <x:c r="E444" s="9"/>
      <x:c r="F444" s="11"/>
      <x:c r="G444" s="10"/>
      <x:c r="H444" s="9"/>
      <x:c r="I444" s="12" t="str">
        <x:f>IF(A444="","",IF(OR(B444="",C444="",F444="",NOT(ISNUMBER(G444))),"À compléter",IF(OR(G444&lt;0,G444&gt;1),"Incohérent",IF(COUNTIFS($A$6:$A$505,A444,$B$6:$B$505,B444)&gt;1,"Doublon ID",""))))</x:f>
      </x:c>
    </x:row>
    <x:row r="445" ht="23" customHeight="1">
      <x:c r="A445" s="9"/>
      <x:c r="B445" s="9"/>
      <x:c r="C445" s="9"/>
      <x:c r="D445" s="9"/>
      <x:c r="E445" s="9"/>
      <x:c r="F445" s="11"/>
      <x:c r="G445" s="10"/>
      <x:c r="H445" s="9"/>
      <x:c r="I445" s="12" t="str">
        <x:f>IF(A445="","",IF(OR(B445="",C445="",F445="",NOT(ISNUMBER(G445))),"À compléter",IF(OR(G445&lt;0,G445&gt;1),"Incohérent",IF(COUNTIFS($A$6:$A$505,A445,$B$6:$B$505,B445)&gt;1,"Doublon ID",""))))</x:f>
      </x:c>
    </x:row>
    <x:row r="446" ht="23" customHeight="1">
      <x:c r="A446" s="9"/>
      <x:c r="B446" s="9"/>
      <x:c r="C446" s="9"/>
      <x:c r="D446" s="9"/>
      <x:c r="E446" s="9"/>
      <x:c r="F446" s="11"/>
      <x:c r="G446" s="10"/>
      <x:c r="H446" s="9"/>
      <x:c r="I446" s="12" t="str">
        <x:f>IF(A446="","",IF(OR(B446="",C446="",F446="",NOT(ISNUMBER(G446))),"À compléter",IF(OR(G446&lt;0,G446&gt;1),"Incohérent",IF(COUNTIFS($A$6:$A$505,A446,$B$6:$B$505,B446)&gt;1,"Doublon ID",""))))</x:f>
      </x:c>
    </x:row>
    <x:row r="447" ht="23" customHeight="1">
      <x:c r="A447" s="9"/>
      <x:c r="B447" s="9"/>
      <x:c r="C447" s="9"/>
      <x:c r="D447" s="9"/>
      <x:c r="E447" s="9"/>
      <x:c r="F447" s="11"/>
      <x:c r="G447" s="10"/>
      <x:c r="H447" s="9"/>
      <x:c r="I447" s="12" t="str">
        <x:f>IF(A447="","",IF(OR(B447="",C447="",F447="",NOT(ISNUMBER(G447))),"À compléter",IF(OR(G447&lt;0,G447&gt;1),"Incohérent",IF(COUNTIFS($A$6:$A$505,A447,$B$6:$B$505,B447)&gt;1,"Doublon ID",""))))</x:f>
      </x:c>
    </x:row>
    <x:row r="448" ht="23" customHeight="1">
      <x:c r="A448" s="9"/>
      <x:c r="B448" s="9"/>
      <x:c r="C448" s="9"/>
      <x:c r="D448" s="9"/>
      <x:c r="E448" s="9"/>
      <x:c r="F448" s="11"/>
      <x:c r="G448" s="10"/>
      <x:c r="H448" s="9"/>
      <x:c r="I448" s="12" t="str">
        <x:f>IF(A448="","",IF(OR(B448="",C448="",F448="",NOT(ISNUMBER(G448))),"À compléter",IF(OR(G448&lt;0,G448&gt;1),"Incohérent",IF(COUNTIFS($A$6:$A$505,A448,$B$6:$B$505,B448)&gt;1,"Doublon ID",""))))</x:f>
      </x:c>
    </x:row>
    <x:row r="449" ht="23" customHeight="1">
      <x:c r="A449" s="9"/>
      <x:c r="B449" s="9"/>
      <x:c r="C449" s="9"/>
      <x:c r="D449" s="9"/>
      <x:c r="E449" s="9"/>
      <x:c r="F449" s="11"/>
      <x:c r="G449" s="10"/>
      <x:c r="H449" s="9"/>
      <x:c r="I449" s="12" t="str">
        <x:f>IF(A449="","",IF(OR(B449="",C449="",F449="",NOT(ISNUMBER(G449))),"À compléter",IF(OR(G449&lt;0,G449&gt;1),"Incohérent",IF(COUNTIFS($A$6:$A$505,A449,$B$6:$B$505,B449)&gt;1,"Doublon ID",""))))</x:f>
      </x:c>
    </x:row>
    <x:row r="450" ht="23" customHeight="1">
      <x:c r="A450" s="9"/>
      <x:c r="B450" s="9"/>
      <x:c r="C450" s="9"/>
      <x:c r="D450" s="9"/>
      <x:c r="E450" s="9"/>
      <x:c r="F450" s="11"/>
      <x:c r="G450" s="10"/>
      <x:c r="H450" s="9"/>
      <x:c r="I450" s="12" t="str">
        <x:f>IF(A450="","",IF(OR(B450="",C450="",F450="",NOT(ISNUMBER(G450))),"À compléter",IF(OR(G450&lt;0,G450&gt;1),"Incohérent",IF(COUNTIFS($A$6:$A$505,A450,$B$6:$B$505,B450)&gt;1,"Doublon ID",""))))</x:f>
      </x:c>
    </x:row>
    <x:row r="451" ht="23" customHeight="1">
      <x:c r="A451" s="9"/>
      <x:c r="B451" s="9"/>
      <x:c r="C451" s="9"/>
      <x:c r="D451" s="9"/>
      <x:c r="E451" s="9"/>
      <x:c r="F451" s="11"/>
      <x:c r="G451" s="10"/>
      <x:c r="H451" s="9"/>
      <x:c r="I451" s="12" t="str">
        <x:f>IF(A451="","",IF(OR(B451="",C451="",F451="",NOT(ISNUMBER(G451))),"À compléter",IF(OR(G451&lt;0,G451&gt;1),"Incohérent",IF(COUNTIFS($A$6:$A$505,A451,$B$6:$B$505,B451)&gt;1,"Doublon ID",""))))</x:f>
      </x:c>
    </x:row>
    <x:row r="452" ht="23" customHeight="1">
      <x:c r="A452" s="9"/>
      <x:c r="B452" s="9"/>
      <x:c r="C452" s="9"/>
      <x:c r="D452" s="9"/>
      <x:c r="E452" s="9"/>
      <x:c r="F452" s="11"/>
      <x:c r="G452" s="10"/>
      <x:c r="H452" s="9"/>
      <x:c r="I452" s="12" t="str">
        <x:f>IF(A452="","",IF(OR(B452="",C452="",F452="",NOT(ISNUMBER(G452))),"À compléter",IF(OR(G452&lt;0,G452&gt;1),"Incohérent",IF(COUNTIFS($A$6:$A$505,A452,$B$6:$B$505,B452)&gt;1,"Doublon ID",""))))</x:f>
      </x:c>
    </x:row>
    <x:row r="453" ht="23" customHeight="1">
      <x:c r="A453" s="9"/>
      <x:c r="B453" s="9"/>
      <x:c r="C453" s="9"/>
      <x:c r="D453" s="9"/>
      <x:c r="E453" s="9"/>
      <x:c r="F453" s="11"/>
      <x:c r="G453" s="10"/>
      <x:c r="H453" s="9"/>
      <x:c r="I453" s="12" t="str">
        <x:f>IF(A453="","",IF(OR(B453="",C453="",F453="",NOT(ISNUMBER(G453))),"À compléter",IF(OR(G453&lt;0,G453&gt;1),"Incohérent",IF(COUNTIFS($A$6:$A$505,A453,$B$6:$B$505,B453)&gt;1,"Doublon ID",""))))</x:f>
      </x:c>
    </x:row>
    <x:row r="454" ht="23" customHeight="1">
      <x:c r="A454" s="9"/>
      <x:c r="B454" s="9"/>
      <x:c r="C454" s="9"/>
      <x:c r="D454" s="9"/>
      <x:c r="E454" s="9"/>
      <x:c r="F454" s="11"/>
      <x:c r="G454" s="10"/>
      <x:c r="H454" s="9"/>
      <x:c r="I454" s="12" t="str">
        <x:f>IF(A454="","",IF(OR(B454="",C454="",F454="",NOT(ISNUMBER(G454))),"À compléter",IF(OR(G454&lt;0,G454&gt;1),"Incohérent",IF(COUNTIFS($A$6:$A$505,A454,$B$6:$B$505,B454)&gt;1,"Doublon ID",""))))</x:f>
      </x:c>
    </x:row>
    <x:row r="455" ht="23" customHeight="1">
      <x:c r="A455" s="9"/>
      <x:c r="B455" s="9"/>
      <x:c r="C455" s="9"/>
      <x:c r="D455" s="9"/>
      <x:c r="E455" s="9"/>
      <x:c r="F455" s="11"/>
      <x:c r="G455" s="10"/>
      <x:c r="H455" s="9"/>
      <x:c r="I455" s="12" t="str">
        <x:f>IF(A455="","",IF(OR(B455="",C455="",F455="",NOT(ISNUMBER(G455))),"À compléter",IF(OR(G455&lt;0,G455&gt;1),"Incohérent",IF(COUNTIFS($A$6:$A$505,A455,$B$6:$B$505,B455)&gt;1,"Doublon ID",""))))</x:f>
      </x:c>
    </x:row>
    <x:row r="456" ht="23" customHeight="1">
      <x:c r="A456" s="9"/>
      <x:c r="B456" s="9"/>
      <x:c r="C456" s="9"/>
      <x:c r="D456" s="9"/>
      <x:c r="E456" s="9"/>
      <x:c r="F456" s="11"/>
      <x:c r="G456" s="10"/>
      <x:c r="H456" s="9"/>
      <x:c r="I456" s="12" t="str">
        <x:f>IF(A456="","",IF(OR(B456="",C456="",F456="",NOT(ISNUMBER(G456))),"À compléter",IF(OR(G456&lt;0,G456&gt;1),"Incohérent",IF(COUNTIFS($A$6:$A$505,A456,$B$6:$B$505,B456)&gt;1,"Doublon ID",""))))</x:f>
      </x:c>
    </x:row>
    <x:row r="457" ht="23" customHeight="1">
      <x:c r="A457" s="9"/>
      <x:c r="B457" s="9"/>
      <x:c r="C457" s="9"/>
      <x:c r="D457" s="9"/>
      <x:c r="E457" s="9"/>
      <x:c r="F457" s="11"/>
      <x:c r="G457" s="10"/>
      <x:c r="H457" s="9"/>
      <x:c r="I457" s="12" t="str">
        <x:f>IF(A457="","",IF(OR(B457="",C457="",F457="",NOT(ISNUMBER(G457))),"À compléter",IF(OR(G457&lt;0,G457&gt;1),"Incohérent",IF(COUNTIFS($A$6:$A$505,A457,$B$6:$B$505,B457)&gt;1,"Doublon ID",""))))</x:f>
      </x:c>
    </x:row>
    <x:row r="458" ht="23" customHeight="1">
      <x:c r="A458" s="9"/>
      <x:c r="B458" s="9"/>
      <x:c r="C458" s="9"/>
      <x:c r="D458" s="9"/>
      <x:c r="E458" s="9"/>
      <x:c r="F458" s="11"/>
      <x:c r="G458" s="10"/>
      <x:c r="H458" s="9"/>
      <x:c r="I458" s="12" t="str">
        <x:f>IF(A458="","",IF(OR(B458="",C458="",F458="",NOT(ISNUMBER(G458))),"À compléter",IF(OR(G458&lt;0,G458&gt;1),"Incohérent",IF(COUNTIFS($A$6:$A$505,A458,$B$6:$B$505,B458)&gt;1,"Doublon ID",""))))</x:f>
      </x:c>
    </x:row>
    <x:row r="459" ht="23" customHeight="1">
      <x:c r="A459" s="9"/>
      <x:c r="B459" s="9"/>
      <x:c r="C459" s="9"/>
      <x:c r="D459" s="9"/>
      <x:c r="E459" s="9"/>
      <x:c r="F459" s="11"/>
      <x:c r="G459" s="10"/>
      <x:c r="H459" s="9"/>
      <x:c r="I459" s="12" t="str">
        <x:f>IF(A459="","",IF(OR(B459="",C459="",F459="",NOT(ISNUMBER(G459))),"À compléter",IF(OR(G459&lt;0,G459&gt;1),"Incohérent",IF(COUNTIFS($A$6:$A$505,A459,$B$6:$B$505,B459)&gt;1,"Doublon ID",""))))</x:f>
      </x:c>
    </x:row>
    <x:row r="460" ht="23" customHeight="1">
      <x:c r="A460" s="9"/>
      <x:c r="B460" s="9"/>
      <x:c r="C460" s="9"/>
      <x:c r="D460" s="9"/>
      <x:c r="E460" s="9"/>
      <x:c r="F460" s="11"/>
      <x:c r="G460" s="10"/>
      <x:c r="H460" s="9"/>
      <x:c r="I460" s="12" t="str">
        <x:f>IF(A460="","",IF(OR(B460="",C460="",F460="",NOT(ISNUMBER(G460))),"À compléter",IF(OR(G460&lt;0,G460&gt;1),"Incohérent",IF(COUNTIFS($A$6:$A$505,A460,$B$6:$B$505,B460)&gt;1,"Doublon ID",""))))</x:f>
      </x:c>
    </x:row>
    <x:row r="461" ht="23" customHeight="1">
      <x:c r="A461" s="9"/>
      <x:c r="B461" s="9"/>
      <x:c r="C461" s="9"/>
      <x:c r="D461" s="9"/>
      <x:c r="E461" s="9"/>
      <x:c r="F461" s="11"/>
      <x:c r="G461" s="10"/>
      <x:c r="H461" s="9"/>
      <x:c r="I461" s="12" t="str">
        <x:f>IF(A461="","",IF(OR(B461="",C461="",F461="",NOT(ISNUMBER(G461))),"À compléter",IF(OR(G461&lt;0,G461&gt;1),"Incohérent",IF(COUNTIFS($A$6:$A$505,A461,$B$6:$B$505,B461)&gt;1,"Doublon ID",""))))</x:f>
      </x:c>
    </x:row>
    <x:row r="462" ht="23" customHeight="1">
      <x:c r="A462" s="9"/>
      <x:c r="B462" s="9"/>
      <x:c r="C462" s="9"/>
      <x:c r="D462" s="9"/>
      <x:c r="E462" s="9"/>
      <x:c r="F462" s="11"/>
      <x:c r="G462" s="10"/>
      <x:c r="H462" s="9"/>
      <x:c r="I462" s="12" t="str">
        <x:f>IF(A462="","",IF(OR(B462="",C462="",F462="",NOT(ISNUMBER(G462))),"À compléter",IF(OR(G462&lt;0,G462&gt;1),"Incohérent",IF(COUNTIFS($A$6:$A$505,A462,$B$6:$B$505,B462)&gt;1,"Doublon ID",""))))</x:f>
      </x:c>
    </x:row>
    <x:row r="463" ht="23" customHeight="1">
      <x:c r="A463" s="9"/>
      <x:c r="B463" s="9"/>
      <x:c r="C463" s="9"/>
      <x:c r="D463" s="9"/>
      <x:c r="E463" s="9"/>
      <x:c r="F463" s="11"/>
      <x:c r="G463" s="10"/>
      <x:c r="H463" s="9"/>
      <x:c r="I463" s="12" t="str">
        <x:f>IF(A463="","",IF(OR(B463="",C463="",F463="",NOT(ISNUMBER(G463))),"À compléter",IF(OR(G463&lt;0,G463&gt;1),"Incohérent",IF(COUNTIFS($A$6:$A$505,A463,$B$6:$B$505,B463)&gt;1,"Doublon ID",""))))</x:f>
      </x:c>
    </x:row>
    <x:row r="464" ht="23" customHeight="1">
      <x:c r="A464" s="9"/>
      <x:c r="B464" s="9"/>
      <x:c r="C464" s="9"/>
      <x:c r="D464" s="9"/>
      <x:c r="E464" s="9"/>
      <x:c r="F464" s="11"/>
      <x:c r="G464" s="10"/>
      <x:c r="H464" s="9"/>
      <x:c r="I464" s="12" t="str">
        <x:f>IF(A464="","",IF(OR(B464="",C464="",F464="",NOT(ISNUMBER(G464))),"À compléter",IF(OR(G464&lt;0,G464&gt;1),"Incohérent",IF(COUNTIFS($A$6:$A$505,A464,$B$6:$B$505,B464)&gt;1,"Doublon ID",""))))</x:f>
      </x:c>
    </x:row>
    <x:row r="465" ht="23" customHeight="1">
      <x:c r="A465" s="9"/>
      <x:c r="B465" s="9"/>
      <x:c r="C465" s="9"/>
      <x:c r="D465" s="9"/>
      <x:c r="E465" s="9"/>
      <x:c r="F465" s="11"/>
      <x:c r="G465" s="10"/>
      <x:c r="H465" s="9"/>
      <x:c r="I465" s="12" t="str">
        <x:f>IF(A465="","",IF(OR(B465="",C465="",F465="",NOT(ISNUMBER(G465))),"À compléter",IF(OR(G465&lt;0,G465&gt;1),"Incohérent",IF(COUNTIFS($A$6:$A$505,A465,$B$6:$B$505,B465)&gt;1,"Doublon ID",""))))</x:f>
      </x:c>
    </x:row>
    <x:row r="466" ht="23" customHeight="1">
      <x:c r="A466" s="9"/>
      <x:c r="B466" s="9"/>
      <x:c r="C466" s="9"/>
      <x:c r="D466" s="9"/>
      <x:c r="E466" s="9"/>
      <x:c r="F466" s="11"/>
      <x:c r="G466" s="10"/>
      <x:c r="H466" s="9"/>
      <x:c r="I466" s="12" t="str">
        <x:f>IF(A466="","",IF(OR(B466="",C466="",F466="",NOT(ISNUMBER(G466))),"À compléter",IF(OR(G466&lt;0,G466&gt;1),"Incohérent",IF(COUNTIFS($A$6:$A$505,A466,$B$6:$B$505,B466)&gt;1,"Doublon ID",""))))</x:f>
      </x:c>
    </x:row>
    <x:row r="467" ht="23" customHeight="1">
      <x:c r="A467" s="9"/>
      <x:c r="B467" s="9"/>
      <x:c r="C467" s="9"/>
      <x:c r="D467" s="9"/>
      <x:c r="E467" s="9"/>
      <x:c r="F467" s="11"/>
      <x:c r="G467" s="10"/>
      <x:c r="H467" s="9"/>
      <x:c r="I467" s="12" t="str">
        <x:f>IF(A467="","",IF(OR(B467="",C467="",F467="",NOT(ISNUMBER(G467))),"À compléter",IF(OR(G467&lt;0,G467&gt;1),"Incohérent",IF(COUNTIFS($A$6:$A$505,A467,$B$6:$B$505,B467)&gt;1,"Doublon ID",""))))</x:f>
      </x:c>
    </x:row>
    <x:row r="468" ht="23" customHeight="1">
      <x:c r="A468" s="9"/>
      <x:c r="B468" s="9"/>
      <x:c r="C468" s="9"/>
      <x:c r="D468" s="9"/>
      <x:c r="E468" s="9"/>
      <x:c r="F468" s="11"/>
      <x:c r="G468" s="10"/>
      <x:c r="H468" s="9"/>
      <x:c r="I468" s="12" t="str">
        <x:f>IF(A468="","",IF(OR(B468="",C468="",F468="",NOT(ISNUMBER(G468))),"À compléter",IF(OR(G468&lt;0,G468&gt;1),"Incohérent",IF(COUNTIFS($A$6:$A$505,A468,$B$6:$B$505,B468)&gt;1,"Doublon ID",""))))</x:f>
      </x:c>
    </x:row>
    <x:row r="469" ht="23" customHeight="1">
      <x:c r="A469" s="9"/>
      <x:c r="B469" s="9"/>
      <x:c r="C469" s="9"/>
      <x:c r="D469" s="9"/>
      <x:c r="E469" s="9"/>
      <x:c r="F469" s="11"/>
      <x:c r="G469" s="10"/>
      <x:c r="H469" s="9"/>
      <x:c r="I469" s="12" t="str">
        <x:f>IF(A469="","",IF(OR(B469="",C469="",F469="",NOT(ISNUMBER(G469))),"À compléter",IF(OR(G469&lt;0,G469&gt;1),"Incohérent",IF(COUNTIFS($A$6:$A$505,A469,$B$6:$B$505,B469)&gt;1,"Doublon ID",""))))</x:f>
      </x:c>
    </x:row>
    <x:row r="470" ht="23" customHeight="1">
      <x:c r="A470" s="9"/>
      <x:c r="B470" s="9"/>
      <x:c r="C470" s="9"/>
      <x:c r="D470" s="9"/>
      <x:c r="E470" s="9"/>
      <x:c r="F470" s="11"/>
      <x:c r="G470" s="10"/>
      <x:c r="H470" s="9"/>
      <x:c r="I470" s="12" t="str">
        <x:f>IF(A470="","",IF(OR(B470="",C470="",F470="",NOT(ISNUMBER(G470))),"À compléter",IF(OR(G470&lt;0,G470&gt;1),"Incohérent",IF(COUNTIFS($A$6:$A$505,A470,$B$6:$B$505,B470)&gt;1,"Doublon ID",""))))</x:f>
      </x:c>
    </x:row>
    <x:row r="471" ht="23" customHeight="1">
      <x:c r="A471" s="9"/>
      <x:c r="B471" s="9"/>
      <x:c r="C471" s="9"/>
      <x:c r="D471" s="9"/>
      <x:c r="E471" s="9"/>
      <x:c r="F471" s="11"/>
      <x:c r="G471" s="10"/>
      <x:c r="H471" s="9"/>
      <x:c r="I471" s="12" t="str">
        <x:f>IF(A471="","",IF(OR(B471="",C471="",F471="",NOT(ISNUMBER(G471))),"À compléter",IF(OR(G471&lt;0,G471&gt;1),"Incohérent",IF(COUNTIFS($A$6:$A$505,A471,$B$6:$B$505,B471)&gt;1,"Doublon ID",""))))</x:f>
      </x:c>
    </x:row>
    <x:row r="472" ht="23" customHeight="1">
      <x:c r="A472" s="9"/>
      <x:c r="B472" s="9"/>
      <x:c r="C472" s="9"/>
      <x:c r="D472" s="9"/>
      <x:c r="E472" s="9"/>
      <x:c r="F472" s="11"/>
      <x:c r="G472" s="10"/>
      <x:c r="H472" s="9"/>
      <x:c r="I472" s="12" t="str">
        <x:f>IF(A472="","",IF(OR(B472="",C472="",F472="",NOT(ISNUMBER(G472))),"À compléter",IF(OR(G472&lt;0,G472&gt;1),"Incohérent",IF(COUNTIFS($A$6:$A$505,A472,$B$6:$B$505,B472)&gt;1,"Doublon ID",""))))</x:f>
      </x:c>
    </x:row>
    <x:row r="473" ht="23" customHeight="1">
      <x:c r="A473" s="9"/>
      <x:c r="B473" s="9"/>
      <x:c r="C473" s="9"/>
      <x:c r="D473" s="9"/>
      <x:c r="E473" s="9"/>
      <x:c r="F473" s="11"/>
      <x:c r="G473" s="10"/>
      <x:c r="H473" s="9"/>
      <x:c r="I473" s="12" t="str">
        <x:f>IF(A473="","",IF(OR(B473="",C473="",F473="",NOT(ISNUMBER(G473))),"À compléter",IF(OR(G473&lt;0,G473&gt;1),"Incohérent",IF(COUNTIFS($A$6:$A$505,A473,$B$6:$B$505,B473)&gt;1,"Doublon ID",""))))</x:f>
      </x:c>
    </x:row>
    <x:row r="474" ht="23" customHeight="1">
      <x:c r="A474" s="9"/>
      <x:c r="B474" s="9"/>
      <x:c r="C474" s="9"/>
      <x:c r="D474" s="9"/>
      <x:c r="E474" s="9"/>
      <x:c r="F474" s="11"/>
      <x:c r="G474" s="10"/>
      <x:c r="H474" s="9"/>
      <x:c r="I474" s="12" t="str">
        <x:f>IF(A474="","",IF(OR(B474="",C474="",F474="",NOT(ISNUMBER(G474))),"À compléter",IF(OR(G474&lt;0,G474&gt;1),"Incohérent",IF(COUNTIFS($A$6:$A$505,A474,$B$6:$B$505,B474)&gt;1,"Doublon ID",""))))</x:f>
      </x:c>
    </x:row>
    <x:row r="475" ht="23" customHeight="1">
      <x:c r="A475" s="9"/>
      <x:c r="B475" s="9"/>
      <x:c r="C475" s="9"/>
      <x:c r="D475" s="9"/>
      <x:c r="E475" s="9"/>
      <x:c r="F475" s="11"/>
      <x:c r="G475" s="10"/>
      <x:c r="H475" s="9"/>
      <x:c r="I475" s="12" t="str">
        <x:f>IF(A475="","",IF(OR(B475="",C475="",F475="",NOT(ISNUMBER(G475))),"À compléter",IF(OR(G475&lt;0,G475&gt;1),"Incohérent",IF(COUNTIFS($A$6:$A$505,A475,$B$6:$B$505,B475)&gt;1,"Doublon ID",""))))</x:f>
      </x:c>
    </x:row>
    <x:row r="476" ht="23" customHeight="1">
      <x:c r="A476" s="9"/>
      <x:c r="B476" s="9"/>
      <x:c r="C476" s="9"/>
      <x:c r="D476" s="9"/>
      <x:c r="E476" s="9"/>
      <x:c r="F476" s="11"/>
      <x:c r="G476" s="10"/>
      <x:c r="H476" s="9"/>
      <x:c r="I476" s="12" t="str">
        <x:f>IF(A476="","",IF(OR(B476="",C476="",F476="",NOT(ISNUMBER(G476))),"À compléter",IF(OR(G476&lt;0,G476&gt;1),"Incohérent",IF(COUNTIFS($A$6:$A$505,A476,$B$6:$B$505,B476)&gt;1,"Doublon ID",""))))</x:f>
      </x:c>
    </x:row>
    <x:row r="477" ht="23" customHeight="1">
      <x:c r="A477" s="9"/>
      <x:c r="B477" s="9"/>
      <x:c r="C477" s="9"/>
      <x:c r="D477" s="9"/>
      <x:c r="E477" s="9"/>
      <x:c r="F477" s="11"/>
      <x:c r="G477" s="10"/>
      <x:c r="H477" s="9"/>
      <x:c r="I477" s="12" t="str">
        <x:f>IF(A477="","",IF(OR(B477="",C477="",F477="",NOT(ISNUMBER(G477))),"À compléter",IF(OR(G477&lt;0,G477&gt;1),"Incohérent",IF(COUNTIFS($A$6:$A$505,A477,$B$6:$B$505,B477)&gt;1,"Doublon ID",""))))</x:f>
      </x:c>
    </x:row>
    <x:row r="478" ht="23" customHeight="1">
      <x:c r="A478" s="9"/>
      <x:c r="B478" s="9"/>
      <x:c r="C478" s="9"/>
      <x:c r="D478" s="9"/>
      <x:c r="E478" s="9"/>
      <x:c r="F478" s="11"/>
      <x:c r="G478" s="10"/>
      <x:c r="H478" s="9"/>
      <x:c r="I478" s="12" t="str">
        <x:f>IF(A478="","",IF(OR(B478="",C478="",F478="",NOT(ISNUMBER(G478))),"À compléter",IF(OR(G478&lt;0,G478&gt;1),"Incohérent",IF(COUNTIFS($A$6:$A$505,A478,$B$6:$B$505,B478)&gt;1,"Doublon ID",""))))</x:f>
      </x:c>
    </x:row>
    <x:row r="479" ht="23" customHeight="1">
      <x:c r="A479" s="9"/>
      <x:c r="B479" s="9"/>
      <x:c r="C479" s="9"/>
      <x:c r="D479" s="9"/>
      <x:c r="E479" s="9"/>
      <x:c r="F479" s="11"/>
      <x:c r="G479" s="10"/>
      <x:c r="H479" s="9"/>
      <x:c r="I479" s="12" t="str">
        <x:f>IF(A479="","",IF(OR(B479="",C479="",F479="",NOT(ISNUMBER(G479))),"À compléter",IF(OR(G479&lt;0,G479&gt;1),"Incohérent",IF(COUNTIFS($A$6:$A$505,A479,$B$6:$B$505,B479)&gt;1,"Doublon ID",""))))</x:f>
      </x:c>
    </x:row>
    <x:row r="480" ht="23" customHeight="1">
      <x:c r="A480" s="9"/>
      <x:c r="B480" s="9"/>
      <x:c r="C480" s="9"/>
      <x:c r="D480" s="9"/>
      <x:c r="E480" s="9"/>
      <x:c r="F480" s="11"/>
      <x:c r="G480" s="10"/>
      <x:c r="H480" s="9"/>
      <x:c r="I480" s="12" t="str">
        <x:f>IF(A480="","",IF(OR(B480="",C480="",F480="",NOT(ISNUMBER(G480))),"À compléter",IF(OR(G480&lt;0,G480&gt;1),"Incohérent",IF(COUNTIFS($A$6:$A$505,A480,$B$6:$B$505,B480)&gt;1,"Doublon ID",""))))</x:f>
      </x:c>
    </x:row>
    <x:row r="481" ht="23" customHeight="1">
      <x:c r="A481" s="9"/>
      <x:c r="B481" s="9"/>
      <x:c r="C481" s="9"/>
      <x:c r="D481" s="9"/>
      <x:c r="E481" s="9"/>
      <x:c r="F481" s="11"/>
      <x:c r="G481" s="10"/>
      <x:c r="H481" s="9"/>
      <x:c r="I481" s="12" t="str">
        <x:f>IF(A481="","",IF(OR(B481="",C481="",F481="",NOT(ISNUMBER(G481))),"À compléter",IF(OR(G481&lt;0,G481&gt;1),"Incohérent",IF(COUNTIFS($A$6:$A$505,A481,$B$6:$B$505,B481)&gt;1,"Doublon ID",""))))</x:f>
      </x:c>
    </x:row>
    <x:row r="482" ht="23" customHeight="1">
      <x:c r="A482" s="9"/>
      <x:c r="B482" s="9"/>
      <x:c r="C482" s="9"/>
      <x:c r="D482" s="9"/>
      <x:c r="E482" s="9"/>
      <x:c r="F482" s="11"/>
      <x:c r="G482" s="10"/>
      <x:c r="H482" s="9"/>
      <x:c r="I482" s="12" t="str">
        <x:f>IF(A482="","",IF(OR(B482="",C482="",F482="",NOT(ISNUMBER(G482))),"À compléter",IF(OR(G482&lt;0,G482&gt;1),"Incohérent",IF(COUNTIFS($A$6:$A$505,A482,$B$6:$B$505,B482)&gt;1,"Doublon ID",""))))</x:f>
      </x:c>
    </x:row>
    <x:row r="483" ht="23" customHeight="1">
      <x:c r="A483" s="9"/>
      <x:c r="B483" s="9"/>
      <x:c r="C483" s="9"/>
      <x:c r="D483" s="9"/>
      <x:c r="E483" s="9"/>
      <x:c r="F483" s="11"/>
      <x:c r="G483" s="10"/>
      <x:c r="H483" s="9"/>
      <x:c r="I483" s="12" t="str">
        <x:f>IF(A483="","",IF(OR(B483="",C483="",F483="",NOT(ISNUMBER(G483))),"À compléter",IF(OR(G483&lt;0,G483&gt;1),"Incohérent",IF(COUNTIFS($A$6:$A$505,A483,$B$6:$B$505,B483)&gt;1,"Doublon ID",""))))</x:f>
      </x:c>
    </x:row>
    <x:row r="484" ht="23" customHeight="1">
      <x:c r="A484" s="9"/>
      <x:c r="B484" s="9"/>
      <x:c r="C484" s="9"/>
      <x:c r="D484" s="9"/>
      <x:c r="E484" s="9"/>
      <x:c r="F484" s="11"/>
      <x:c r="G484" s="10"/>
      <x:c r="H484" s="9"/>
      <x:c r="I484" s="12" t="str">
        <x:f>IF(A484="","",IF(OR(B484="",C484="",F484="",NOT(ISNUMBER(G484))),"À compléter",IF(OR(G484&lt;0,G484&gt;1),"Incohérent",IF(COUNTIFS($A$6:$A$505,A484,$B$6:$B$505,B484)&gt;1,"Doublon ID",""))))</x:f>
      </x:c>
    </x:row>
    <x:row r="485" ht="23" customHeight="1">
      <x:c r="A485" s="9"/>
      <x:c r="B485" s="9"/>
      <x:c r="C485" s="9"/>
      <x:c r="D485" s="9"/>
      <x:c r="E485" s="9"/>
      <x:c r="F485" s="11"/>
      <x:c r="G485" s="10"/>
      <x:c r="H485" s="9"/>
      <x:c r="I485" s="12" t="str">
        <x:f>IF(A485="","",IF(OR(B485="",C485="",F485="",NOT(ISNUMBER(G485))),"À compléter",IF(OR(G485&lt;0,G485&gt;1),"Incohérent",IF(COUNTIFS($A$6:$A$505,A485,$B$6:$B$505,B485)&gt;1,"Doublon ID",""))))</x:f>
      </x:c>
    </x:row>
    <x:row r="486" ht="23" customHeight="1">
      <x:c r="A486" s="9"/>
      <x:c r="B486" s="9"/>
      <x:c r="C486" s="9"/>
      <x:c r="D486" s="9"/>
      <x:c r="E486" s="9"/>
      <x:c r="F486" s="11"/>
      <x:c r="G486" s="10"/>
      <x:c r="H486" s="9"/>
      <x:c r="I486" s="12" t="str">
        <x:f>IF(A486="","",IF(OR(B486="",C486="",F486="",NOT(ISNUMBER(G486))),"À compléter",IF(OR(G486&lt;0,G486&gt;1),"Incohérent",IF(COUNTIFS($A$6:$A$505,A486,$B$6:$B$505,B486)&gt;1,"Doublon ID",""))))</x:f>
      </x:c>
    </x:row>
    <x:row r="487" ht="23" customHeight="1">
      <x:c r="A487" s="9"/>
      <x:c r="B487" s="9"/>
      <x:c r="C487" s="9"/>
      <x:c r="D487" s="9"/>
      <x:c r="E487" s="9"/>
      <x:c r="F487" s="11"/>
      <x:c r="G487" s="10"/>
      <x:c r="H487" s="9"/>
      <x:c r="I487" s="12" t="str">
        <x:f>IF(A487="","",IF(OR(B487="",C487="",F487="",NOT(ISNUMBER(G487))),"À compléter",IF(OR(G487&lt;0,G487&gt;1),"Incohérent",IF(COUNTIFS($A$6:$A$505,A487,$B$6:$B$505,B487)&gt;1,"Doublon ID",""))))</x:f>
      </x:c>
    </x:row>
    <x:row r="488" ht="23" customHeight="1">
      <x:c r="A488" s="9"/>
      <x:c r="B488" s="9"/>
      <x:c r="C488" s="9"/>
      <x:c r="D488" s="9"/>
      <x:c r="E488" s="9"/>
      <x:c r="F488" s="11"/>
      <x:c r="G488" s="10"/>
      <x:c r="H488" s="9"/>
      <x:c r="I488" s="12" t="str">
        <x:f>IF(A488="","",IF(OR(B488="",C488="",F488="",NOT(ISNUMBER(G488))),"À compléter",IF(OR(G488&lt;0,G488&gt;1),"Incohérent",IF(COUNTIFS($A$6:$A$505,A488,$B$6:$B$505,B488)&gt;1,"Doublon ID",""))))</x:f>
      </x:c>
    </x:row>
    <x:row r="489" ht="23" customHeight="1">
      <x:c r="A489" s="9"/>
      <x:c r="B489" s="9"/>
      <x:c r="C489" s="9"/>
      <x:c r="D489" s="9"/>
      <x:c r="E489" s="9"/>
      <x:c r="F489" s="11"/>
      <x:c r="G489" s="10"/>
      <x:c r="H489" s="9"/>
      <x:c r="I489" s="12" t="str">
        <x:f>IF(A489="","",IF(OR(B489="",C489="",F489="",NOT(ISNUMBER(G489))),"À compléter",IF(OR(G489&lt;0,G489&gt;1),"Incohérent",IF(COUNTIFS($A$6:$A$505,A489,$B$6:$B$505,B489)&gt;1,"Doublon ID",""))))</x:f>
      </x:c>
    </x:row>
    <x:row r="490" ht="23" customHeight="1">
      <x:c r="A490" s="9"/>
      <x:c r="B490" s="9"/>
      <x:c r="C490" s="9"/>
      <x:c r="D490" s="9"/>
      <x:c r="E490" s="9"/>
      <x:c r="F490" s="11"/>
      <x:c r="G490" s="10"/>
      <x:c r="H490" s="9"/>
      <x:c r="I490" s="12" t="str">
        <x:f>IF(A490="","",IF(OR(B490="",C490="",F490="",NOT(ISNUMBER(G490))),"À compléter",IF(OR(G490&lt;0,G490&gt;1),"Incohérent",IF(COUNTIFS($A$6:$A$505,A490,$B$6:$B$505,B490)&gt;1,"Doublon ID",""))))</x:f>
      </x:c>
    </x:row>
    <x:row r="491" ht="23" customHeight="1">
      <x:c r="A491" s="9"/>
      <x:c r="B491" s="9"/>
      <x:c r="C491" s="9"/>
      <x:c r="D491" s="9"/>
      <x:c r="E491" s="9"/>
      <x:c r="F491" s="11"/>
      <x:c r="G491" s="10"/>
      <x:c r="H491" s="9"/>
      <x:c r="I491" s="12" t="str">
        <x:f>IF(A491="","",IF(OR(B491="",C491="",F491="",NOT(ISNUMBER(G491))),"À compléter",IF(OR(G491&lt;0,G491&gt;1),"Incohérent",IF(COUNTIFS($A$6:$A$505,A491,$B$6:$B$505,B491)&gt;1,"Doublon ID",""))))</x:f>
      </x:c>
    </x:row>
    <x:row r="492" ht="23" customHeight="1">
      <x:c r="A492" s="9"/>
      <x:c r="B492" s="9"/>
      <x:c r="C492" s="9"/>
      <x:c r="D492" s="9"/>
      <x:c r="E492" s="9"/>
      <x:c r="F492" s="11"/>
      <x:c r="G492" s="10"/>
      <x:c r="H492" s="9"/>
      <x:c r="I492" s="12" t="str">
        <x:f>IF(A492="","",IF(OR(B492="",C492="",F492="",NOT(ISNUMBER(G492))),"À compléter",IF(OR(G492&lt;0,G492&gt;1),"Incohérent",IF(COUNTIFS($A$6:$A$505,A492,$B$6:$B$505,B492)&gt;1,"Doublon ID",""))))</x:f>
      </x:c>
    </x:row>
    <x:row r="493" ht="23" customHeight="1">
      <x:c r="A493" s="9"/>
      <x:c r="B493" s="9"/>
      <x:c r="C493" s="9"/>
      <x:c r="D493" s="9"/>
      <x:c r="E493" s="9"/>
      <x:c r="F493" s="11"/>
      <x:c r="G493" s="10"/>
      <x:c r="H493" s="9"/>
      <x:c r="I493" s="12" t="str">
        <x:f>IF(A493="","",IF(OR(B493="",C493="",F493="",NOT(ISNUMBER(G493))),"À compléter",IF(OR(G493&lt;0,G493&gt;1),"Incohérent",IF(COUNTIFS($A$6:$A$505,A493,$B$6:$B$505,B493)&gt;1,"Doublon ID",""))))</x:f>
      </x:c>
    </x:row>
    <x:row r="494" ht="23" customHeight="1">
      <x:c r="A494" s="9"/>
      <x:c r="B494" s="9"/>
      <x:c r="C494" s="9"/>
      <x:c r="D494" s="9"/>
      <x:c r="E494" s="9"/>
      <x:c r="F494" s="11"/>
      <x:c r="G494" s="10"/>
      <x:c r="H494" s="9"/>
      <x:c r="I494" s="12" t="str">
        <x:f>IF(A494="","",IF(OR(B494="",C494="",F494="",NOT(ISNUMBER(G494))),"À compléter",IF(OR(G494&lt;0,G494&gt;1),"Incohérent",IF(COUNTIFS($A$6:$A$505,A494,$B$6:$B$505,B494)&gt;1,"Doublon ID",""))))</x:f>
      </x:c>
    </x:row>
    <x:row r="495" ht="23" customHeight="1">
      <x:c r="A495" s="9"/>
      <x:c r="B495" s="9"/>
      <x:c r="C495" s="9"/>
      <x:c r="D495" s="9"/>
      <x:c r="E495" s="9"/>
      <x:c r="F495" s="11"/>
      <x:c r="G495" s="10"/>
      <x:c r="H495" s="9"/>
      <x:c r="I495" s="12" t="str">
        <x:f>IF(A495="","",IF(OR(B495="",C495="",F495="",NOT(ISNUMBER(G495))),"À compléter",IF(OR(G495&lt;0,G495&gt;1),"Incohérent",IF(COUNTIFS($A$6:$A$505,A495,$B$6:$B$505,B495)&gt;1,"Doublon ID",""))))</x:f>
      </x:c>
    </x:row>
    <x:row r="496" ht="23" customHeight="1">
      <x:c r="A496" s="9"/>
      <x:c r="B496" s="9"/>
      <x:c r="C496" s="9"/>
      <x:c r="D496" s="9"/>
      <x:c r="E496" s="9"/>
      <x:c r="F496" s="11"/>
      <x:c r="G496" s="10"/>
      <x:c r="H496" s="9"/>
      <x:c r="I496" s="12" t="str">
        <x:f>IF(A496="","",IF(OR(B496="",C496="",F496="",NOT(ISNUMBER(G496))),"À compléter",IF(OR(G496&lt;0,G496&gt;1),"Incohérent",IF(COUNTIFS($A$6:$A$505,A496,$B$6:$B$505,B496)&gt;1,"Doublon ID",""))))</x:f>
      </x:c>
    </x:row>
    <x:row r="497" ht="23" customHeight="1">
      <x:c r="A497" s="9"/>
      <x:c r="B497" s="9"/>
      <x:c r="C497" s="9"/>
      <x:c r="D497" s="9"/>
      <x:c r="E497" s="9"/>
      <x:c r="F497" s="11"/>
      <x:c r="G497" s="10"/>
      <x:c r="H497" s="9"/>
      <x:c r="I497" s="12" t="str">
        <x:f>IF(A497="","",IF(OR(B497="",C497="",F497="",NOT(ISNUMBER(G497))),"À compléter",IF(OR(G497&lt;0,G497&gt;1),"Incohérent",IF(COUNTIFS($A$6:$A$505,A497,$B$6:$B$505,B497)&gt;1,"Doublon ID",""))))</x:f>
      </x:c>
    </x:row>
    <x:row r="498" ht="23" customHeight="1">
      <x:c r="A498" s="9"/>
      <x:c r="B498" s="9"/>
      <x:c r="C498" s="9"/>
      <x:c r="D498" s="9"/>
      <x:c r="E498" s="9"/>
      <x:c r="F498" s="11"/>
      <x:c r="G498" s="10"/>
      <x:c r="H498" s="9"/>
      <x:c r="I498" s="12" t="str">
        <x:f>IF(A498="","",IF(OR(B498="",C498="",F498="",NOT(ISNUMBER(G498))),"À compléter",IF(OR(G498&lt;0,G498&gt;1),"Incohérent",IF(COUNTIFS($A$6:$A$505,A498,$B$6:$B$505,B498)&gt;1,"Doublon ID",""))))</x:f>
      </x:c>
    </x:row>
    <x:row r="499" ht="23" customHeight="1">
      <x:c r="A499" s="9"/>
      <x:c r="B499" s="9"/>
      <x:c r="C499" s="9"/>
      <x:c r="D499" s="9"/>
      <x:c r="E499" s="9"/>
      <x:c r="F499" s="11"/>
      <x:c r="G499" s="10"/>
      <x:c r="H499" s="9"/>
      <x:c r="I499" s="12" t="str">
        <x:f>IF(A499="","",IF(OR(B499="",C499="",F499="",NOT(ISNUMBER(G499))),"À compléter",IF(OR(G499&lt;0,G499&gt;1),"Incohérent",IF(COUNTIFS($A$6:$A$505,A499,$B$6:$B$505,B499)&gt;1,"Doublon ID",""))))</x:f>
      </x:c>
    </x:row>
    <x:row r="500" ht="23" customHeight="1">
      <x:c r="A500" s="9"/>
      <x:c r="B500" s="9"/>
      <x:c r="C500" s="9"/>
      <x:c r="D500" s="9"/>
      <x:c r="E500" s="9"/>
      <x:c r="F500" s="11"/>
      <x:c r="G500" s="10"/>
      <x:c r="H500" s="9"/>
      <x:c r="I500" s="12" t="str">
        <x:f>IF(A500="","",IF(OR(B500="",C500="",F500="",NOT(ISNUMBER(G500))),"À compléter",IF(OR(G500&lt;0,G500&gt;1),"Incohérent",IF(COUNTIFS($A$6:$A$505,A500,$B$6:$B$505,B500)&gt;1,"Doublon ID",""))))</x:f>
      </x:c>
    </x:row>
    <x:row r="501" ht="23" customHeight="1">
      <x:c r="A501" s="9"/>
      <x:c r="B501" s="9"/>
      <x:c r="C501" s="9"/>
      <x:c r="D501" s="9"/>
      <x:c r="E501" s="9"/>
      <x:c r="F501" s="11"/>
      <x:c r="G501" s="10"/>
      <x:c r="H501" s="9"/>
      <x:c r="I501" s="12" t="str">
        <x:f>IF(A501="","",IF(OR(B501="",C501="",F501="",NOT(ISNUMBER(G501))),"À compléter",IF(OR(G501&lt;0,G501&gt;1),"Incohérent",IF(COUNTIFS($A$6:$A$505,A501,$B$6:$B$505,B501)&gt;1,"Doublon ID",""))))</x:f>
      </x:c>
    </x:row>
    <x:row r="502" ht="23" customHeight="1">
      <x:c r="A502" s="9"/>
      <x:c r="B502" s="9"/>
      <x:c r="C502" s="9"/>
      <x:c r="D502" s="9"/>
      <x:c r="E502" s="9"/>
      <x:c r="F502" s="11"/>
      <x:c r="G502" s="10"/>
      <x:c r="H502" s="9"/>
      <x:c r="I502" s="12" t="str">
        <x:f>IF(A502="","",IF(OR(B502="",C502="",F502="",NOT(ISNUMBER(G502))),"À compléter",IF(OR(G502&lt;0,G502&gt;1),"Incohérent",IF(COUNTIFS($A$6:$A$505,A502,$B$6:$B$505,B502)&gt;1,"Doublon ID",""))))</x:f>
      </x:c>
    </x:row>
    <x:row r="503" ht="23" customHeight="1">
      <x:c r="A503" s="9"/>
      <x:c r="B503" s="9"/>
      <x:c r="C503" s="9"/>
      <x:c r="D503" s="9"/>
      <x:c r="E503" s="9"/>
      <x:c r="F503" s="11"/>
      <x:c r="G503" s="10"/>
      <x:c r="H503" s="9"/>
      <x:c r="I503" s="12" t="str">
        <x:f>IF(A503="","",IF(OR(B503="",C503="",F503="",NOT(ISNUMBER(G503))),"À compléter",IF(OR(G503&lt;0,G503&gt;1),"Incohérent",IF(COUNTIFS($A$6:$A$505,A503,$B$6:$B$505,B503)&gt;1,"Doublon ID",""))))</x:f>
      </x:c>
    </x:row>
    <x:row r="504" ht="23" customHeight="1">
      <x:c r="A504" s="9"/>
      <x:c r="B504" s="9"/>
      <x:c r="C504" s="9"/>
      <x:c r="D504" s="9"/>
      <x:c r="E504" s="9"/>
      <x:c r="F504" s="11"/>
      <x:c r="G504" s="10"/>
      <x:c r="H504" s="9"/>
      <x:c r="I504" s="12" t="str">
        <x:f>IF(A504="","",IF(OR(B504="",C504="",F504="",NOT(ISNUMBER(G504))),"À compléter",IF(OR(G504&lt;0,G504&gt;1),"Incohérent",IF(COUNTIFS($A$6:$A$505,A504,$B$6:$B$505,B504)&gt;1,"Doublon ID",""))))</x:f>
      </x:c>
    </x:row>
    <x:row r="505" ht="23" customHeight="1">
      <x:c r="A505" s="9"/>
      <x:c r="B505" s="9"/>
      <x:c r="C505" s="9"/>
      <x:c r="D505" s="9"/>
      <x:c r="E505" s="9"/>
      <x:c r="F505" s="11"/>
      <x:c r="G505" s="10"/>
      <x:c r="H505" s="9"/>
      <x:c r="I505" s="12" t="str">
        <x:f>IF(A505="","",IF(OR(B505="",C505="",F505="",NOT(ISNUMBER(G505))),"À compléter",IF(OR(G505&lt;0,G505&gt;1),"Incohérent",IF(COUNTIFS($A$6:$A$505,A505,$B$6:$B$505,B505)&gt;1,"Doublon ID",""))))</x:f>
      </x:c>
    </x:row>
  </x:sheetData>
  <x:conditionalFormatting sqref="I6:I505">
    <x:cfRule type="containsText" dxfId="30" priority="1" operator="containsText" text="Retard"/>
    <x:cfRule type="containsText" dxfId="31" priority="2" operator="containsText" text="Expiré"/>
    <x:cfRule type="containsText" dxfId="32" priority="3" operator="containsText" text="À compléter"/>
    <x:cfRule type="containsText" dxfId="33" priority="4" operator="containsText" text="Incohérent"/>
    <x:cfRule type="containsText" dxfId="34" priority="5" operator="containsText" text="Doublon"/>
    <x:cfRule type="containsText" dxfId="35" priority="6" operator="containsText" text="À renouveler"/>
  </x:conditionalFormatting>
  <x:dataValidations count="1">
    <x:dataValidation type="list" sqref="A6:A505">
      <x:formula1>'Paramètres'!$A$6:$A$25</x:formula1>
    </x:dataValidation>
  </x:dataValidations>
  <x:pageMargins left="0.7" right="0.7" top="0.75" bottom="0.75" header="0.3" footer="0.3"/>
  <x:tableParts count="1">
    <x:tablePart xmlns:r="http://schemas.openxmlformats.org/officeDocument/2006/relationships" r:id="Rc2583e552e024fa7"/>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16" hidden="0" customWidth="1"/>
    <x:col min="3" max="3" width="19" hidden="0" customWidth="1"/>
    <x:col min="4" max="4" width="27" hidden="0" customWidth="1"/>
    <x:col min="5" max="5" width="34" hidden="0" customWidth="1"/>
    <x:col min="6" max="6" width="46" hidden="0" customWidth="1"/>
    <x:col min="7" max="7" width="20" hidden="0" customWidth="1"/>
    <x:col min="8" max="8" width="20" hidden="0" customWidth="1"/>
    <x:col min="9" max="9" width="26" hidden="0" customWidth="1"/>
    <x:col min="10" max="10" width="58" hidden="0" customWidth="1"/>
    <x:col min="11" max="11" width="18" hidden="0" customWidth="1"/>
    <x:col min="12" max="12" width="24" hidden="0" customWidth="1"/>
    <x:col min="13" max="13" width="44" hidden="0" customWidth="1"/>
  </x:cols>
  <x:sheetData>
    <x:row r="1" ht="23" customHeight="1">
      <x:c r="A1" s="2"/>
      <x:c r="B1" s="2"/>
      <x:c r="C1" s="2"/>
      <x:c r="D1" s="2"/>
      <x:c r="E1" s="2"/>
      <x:c r="F1" s="2"/>
      <x:c r="G1" s="2"/>
      <x:c r="H1" s="2"/>
      <x:c r="I1" s="2"/>
      <x:c r="J1" s="2"/>
      <x:c r="K1" s="2"/>
      <x:c r="L1" s="2"/>
      <x:c r="M1" s="2"/>
    </x:row>
    <x:row r="2" ht="23" customHeight="1">
      <x:c r="A2" s="3" t="str">
        <x:v>Échéances</x:v>
      </x:c>
      <x:c r="B2" s="2"/>
      <x:c r="C2" s="2"/>
      <x:c r="D2" s="2"/>
      <x:c r="E2" s="2"/>
      <x:c r="F2" s="2"/>
      <x:c r="G2" s="2"/>
      <x:c r="H2" s="2"/>
      <x:c r="I2" s="2"/>
      <x:c r="J2" s="2"/>
      <x:c r="K2" s="2"/>
      <x:c r="L2" s="2"/>
      <x:c r="M2" s="2"/>
    </x:row>
    <x:row r="3" ht="23" customHeight="1">
      <x:c r="A3" s="4"/>
      <x:c r="B3" s="4"/>
      <x:c r="C3" s="4"/>
      <x:c r="D3" s="4"/>
      <x:c r="E3" s="4"/>
      <x:c r="F3" s="4"/>
      <x:c r="G3" s="4"/>
      <x:c r="H3" s="4"/>
      <x:c r="I3" s="4"/>
      <x:c r="J3" s="4"/>
      <x:c r="K3" s="4"/>
      <x:c r="L3" s="4"/>
      <x:c r="M3" s="4"/>
    </x:row>
    <x:row r="4" ht="23" customHeight="1">
      <x:c r="A4" s="2" t="str">
        <x:v>Source : Lille_TDB QSE.xlsm. Saisie jaune, calculs gris. 500 lignes extensibles. Filtrer Ville.</x:v>
      </x:c>
      <x:c r="B4" s="2"/>
      <x:c r="C4" s="2"/>
      <x:c r="D4" s="2"/>
      <x:c r="E4" s="2"/>
      <x:c r="F4" s="2"/>
      <x:c r="G4" s="2"/>
      <x:c r="H4" s="2"/>
      <x:c r="I4" s="2"/>
      <x:c r="J4" s="2"/>
      <x:c r="K4" s="2"/>
      <x:c r="L4" s="2"/>
      <x:c r="M4" s="2"/>
    </x:row>
    <x:row r="5" ht="38" customHeight="1">
      <x:c r="A5" s="8" t="str">
        <x:v>Ville</x:v>
      </x:c>
      <x:c r="B5" s="8" t="str">
        <x:v>ID suivi</x:v>
      </x:c>
      <x:c r="C5" s="8" t="str">
        <x:v>Famille</x:v>
      </x:c>
      <x:c r="D5" s="8" t="str">
        <x:v>Site</x:v>
      </x:c>
      <x:c r="E5" s="8" t="str">
        <x:v>Personne / vérificateur</x:v>
      </x:c>
      <x:c r="F5" s="8" t="str">
        <x:v>Objet</x:v>
      </x:c>
      <x:c r="G5" s="8" t="str">
        <x:v>Dernière réalisation</x:v>
      </x:c>
      <x:c r="H5" s="8" t="str">
        <x:v>Prochaine échéance</x:v>
      </x:c>
      <x:c r="I5" s="8" t="str">
        <x:v>Qualification source</x:v>
      </x:c>
      <x:c r="J5" s="8" t="str">
        <x:v>Commentaires</x:v>
      </x:c>
      <x:c r="K5" s="8" t="str">
        <x:v>Jours restants</x:v>
      </x:c>
      <x:c r="L5" s="8" t="str">
        <x:v>État échéance</x:v>
      </x:c>
      <x:c r="M5" s="8" t="str">
        <x:v>Source</x:v>
      </x:c>
    </x:row>
    <x:row r="6" ht="23" customHeight="1">
      <x:c r="A6" s="9" t="str">
        <x:v>Lille</x:v>
      </x:c>
      <x:c r="B6" s="9" t="str">
        <x:v>HAB-9</x:v>
      </x:c>
      <x:c r="C6" s="9" t="str">
        <x:v>Habilitation</x:v>
      </x:c>
      <x:c r="D6" s="9" t="str">
        <x:v>AGENCE</x:v>
      </x:c>
      <x:c r="E6" s="9" t="str">
        <x:v>HENNEUSE ALEXANDRE</x:v>
      </x:c>
      <x:c r="F6" s="9" t="str">
        <x:v>CACES nacelle R486 Catégorie B</x:v>
      </x:c>
      <x:c r="G6" s="11" t="n">
        <x:v>44475</x:v>
      </x:c>
      <x:c r="H6" s="11" t="n">
        <x:v>46300</x:v>
      </x:c>
      <x:c r="I6" s="9" t="str">
        <x:v>Réglementaire</x:v>
      </x:c>
      <x:c r="J6" s="9"/>
      <x:c r="K6" s="12" t="n">
        <x:f>IF(A6="","",IF(ISNUMBER(H6),H6-'Tableau de bord'!$F$5,""))</x:f>
        <x:v>21</x:v>
      </x:c>
      <x:c r="L6" s="12" t="str">
        <x:f>IF(A6="","",IF(ISNUMBER(H6),IF(K6&lt;0,"Expiré",IF(K6&lt;='Paramètres'!$E$6,"À renouveler","À jour")),"À compléter"))</x:f>
        <x:v>À renouveler</x:v>
      </x:c>
      <x:c r="M6" s="9" t="str">
        <x:v>Suivi Habilitations!A9:R9</x:v>
      </x:c>
    </x:row>
    <x:row r="7" ht="23" customHeight="1">
      <x:c r="A7" s="9" t="str">
        <x:v>Lille</x:v>
      </x:c>
      <x:c r="B7" s="9" t="str">
        <x:v>HAB-10</x:v>
      </x:c>
      <x:c r="C7" s="9" t="str">
        <x:v>Habilitation</x:v>
      </x:c>
      <x:c r="D7" s="9" t="str">
        <x:v>LFB CARVIN</x:v>
      </x:c>
      <x:c r="E7" s="9" t="str">
        <x:v>DIERKENS LUCIE</x:v>
      </x:c>
      <x:c r="F7" s="9" t="str">
        <x:v>CACES R485</x:v>
      </x:c>
      <x:c r="G7" s="11" t="n">
        <x:v>45994</x:v>
      </x:c>
      <x:c r="H7" s="11" t="n">
        <x:v>47819</x:v>
      </x:c>
      <x:c r="I7" s="9" t="str">
        <x:v>Réglementaire</x:v>
      </x:c>
      <x:c r="J7" s="9"/>
      <x:c r="K7" s="12" t="n">
        <x:f>IF(A7="","",IF(ISNUMBER(H7),H7-'Tableau de bord'!$F$5,""))</x:f>
        <x:v>1540</x:v>
      </x:c>
      <x:c r="L7" s="12" t="str">
        <x:f>IF(A7="","",IF(ISNUMBER(H7),IF(K7&lt;0,"Expiré",IF(K7&lt;='Paramètres'!$E$6,"À renouveler","À jour")),"À compléter"))</x:f>
        <x:v>À jour</x:v>
      </x:c>
      <x:c r="M7" s="9" t="str">
        <x:v>Suivi Habilitations!A10:R10</x:v>
      </x:c>
    </x:row>
    <x:row r="8" ht="23" customHeight="1">
      <x:c r="A8" s="9" t="str">
        <x:v>Lille</x:v>
      </x:c>
      <x:c r="B8" s="9" t="str">
        <x:v>HAB-11</x:v>
      </x:c>
      <x:c r="C8" s="9" t="str">
        <x:v>Habilitation</x:v>
      </x:c>
      <x:c r="D8" s="9" t="str">
        <x:v>LFB CARVIN</x:v>
      </x:c>
      <x:c r="E8" s="9" t="str">
        <x:v>DELVAL AMANDINE</x:v>
      </x:c>
      <x:c r="F8" s="9" t="str">
        <x:v>CACES R485</x:v>
      </x:c>
      <x:c r="G8" s="11" t="n">
        <x:v>45966</x:v>
      </x:c>
      <x:c r="H8" s="11" t="n">
        <x:v>47791</x:v>
      </x:c>
      <x:c r="I8" s="9" t="str">
        <x:v>Réglementaire</x:v>
      </x:c>
      <x:c r="J8" s="9"/>
      <x:c r="K8" s="12" t="n">
        <x:f>IF(A8="","",IF(ISNUMBER(H8),H8-'Tableau de bord'!$F$5,""))</x:f>
        <x:v>1512</x:v>
      </x:c>
      <x:c r="L8" s="12" t="str">
        <x:f>IF(A8="","",IF(ISNUMBER(H8),IF(K8&lt;0,"Expiré",IF(K8&lt;='Paramètres'!$E$6,"À renouveler","À jour")),"À compléter"))</x:f>
        <x:v>À jour</x:v>
      </x:c>
      <x:c r="M8" s="9" t="str">
        <x:v>Suivi Habilitations!A11:R11</x:v>
      </x:c>
    </x:row>
    <x:row r="9" ht="23" customHeight="1">
      <x:c r="A9" s="9" t="str">
        <x:v>Lille</x:v>
      </x:c>
      <x:c r="B9" s="9" t="str">
        <x:v>HAB-12</x:v>
      </x:c>
      <x:c r="C9" s="9" t="str">
        <x:v>Habilitation</x:v>
      </x:c>
      <x:c r="D9" s="9" t="str">
        <x:v>AGENCE</x:v>
      </x:c>
      <x:c r="E9" s="9" t="str">
        <x:v>AZZOUZI NAWAL</x:v>
      </x:c>
      <x:c r="F9" s="9" t="str">
        <x:v>S.S.T. initial</x:v>
      </x:c>
      <x:c r="G9" s="11" t="n">
        <x:v>46178</x:v>
      </x:c>
      <x:c r="H9" s="11" t="n">
        <x:v>46908</x:v>
      </x:c>
      <x:c r="I9" s="9" t="str">
        <x:v>Réglementaire</x:v>
      </x:c>
      <x:c r="J9" s="9"/>
      <x:c r="K9" s="12" t="n">
        <x:f>IF(A9="","",IF(ISNUMBER(H9),H9-'Tableau de bord'!$F$5,""))</x:f>
        <x:v>629</x:v>
      </x:c>
      <x:c r="L9" s="12" t="str">
        <x:f>IF(A9="","",IF(ISNUMBER(H9),IF(K9&lt;0,"Expiré",IF(K9&lt;='Paramètres'!$E$6,"À renouveler","À jour")),"À compléter"))</x:f>
        <x:v>À jour</x:v>
      </x:c>
      <x:c r="M9" s="9" t="str">
        <x:v>Suivi Habilitations!A12:R12</x:v>
      </x:c>
    </x:row>
    <x:row r="10" ht="23" customHeight="1">
      <x:c r="A10" s="9" t="str">
        <x:v>Lille</x:v>
      </x:c>
      <x:c r="B10" s="9" t="str">
        <x:v>HAB-13</x:v>
      </x:c>
      <x:c r="C10" s="9" t="str">
        <x:v>Habilitation</x:v>
      </x:c>
      <x:c r="D10" s="9" t="str">
        <x:v>LFB LILLE</x:v>
      </x:c>
      <x:c r="E10" s="9" t="str">
        <x:v>GAUTIER AUDREY</x:v>
      </x:c>
      <x:c r="F10" s="9" t="str">
        <x:v>S.S.T. initial</x:v>
      </x:c>
      <x:c r="G10" s="11" t="n">
        <x:v>46148</x:v>
      </x:c>
      <x:c r="H10" s="11" t="n">
        <x:v>46878</x:v>
      </x:c>
      <x:c r="I10" s="9" t="str">
        <x:v>Réglementaire</x:v>
      </x:c>
      <x:c r="J10" s="9"/>
      <x:c r="K10" s="12" t="n">
        <x:f>IF(A10="","",IF(ISNUMBER(H10),H10-'Tableau de bord'!$F$5,""))</x:f>
        <x:v>599</x:v>
      </x:c>
      <x:c r="L10" s="12" t="str">
        <x:f>IF(A10="","",IF(ISNUMBER(H10),IF(K10&lt;0,"Expiré",IF(K10&lt;='Paramètres'!$E$6,"À renouveler","À jour")),"À compléter"))</x:f>
        <x:v>À jour</x:v>
      </x:c>
      <x:c r="M10" s="9" t="str">
        <x:v>Suivi Habilitations!A13:R13</x:v>
      </x:c>
    </x:row>
    <x:row r="11" ht="23" customHeight="1">
      <x:c r="A11" s="9" t="str">
        <x:v>Lille</x:v>
      </x:c>
      <x:c r="B11" s="9" t="str">
        <x:v>HAB-14</x:v>
      </x:c>
      <x:c r="C11" s="9" t="str">
        <x:v>Habilitation</x:v>
      </x:c>
      <x:c r="D11" s="9" t="str">
        <x:v>AGENCE</x:v>
      </x:c>
      <x:c r="E11" s="9" t="str">
        <x:v>RACKELBOOM ALICE</x:v>
      </x:c>
      <x:c r="F11" s="9" t="str">
        <x:v>S.S.T. initial</x:v>
      </x:c>
      <x:c r="G11" s="11" t="n">
        <x:v>46148</x:v>
      </x:c>
      <x:c r="H11" s="11" t="n">
        <x:v>46878</x:v>
      </x:c>
      <x:c r="I11" s="9" t="str">
        <x:v>Réglementaire</x:v>
      </x:c>
      <x:c r="J11" s="9"/>
      <x:c r="K11" s="12" t="n">
        <x:f>IF(A11="","",IF(ISNUMBER(H11),H11-'Tableau de bord'!$F$5,""))</x:f>
        <x:v>599</x:v>
      </x:c>
      <x:c r="L11" s="12" t="str">
        <x:f>IF(A11="","",IF(ISNUMBER(H11),IF(K11&lt;0,"Expiré",IF(K11&lt;='Paramètres'!$E$6,"À renouveler","À jour")),"À compléter"))</x:f>
        <x:v>À jour</x:v>
      </x:c>
      <x:c r="M11" s="9" t="str">
        <x:v>Suivi Habilitations!A14:R14</x:v>
      </x:c>
    </x:row>
    <x:row r="12" ht="23" customHeight="1">
      <x:c r="A12" s="9" t="str">
        <x:v>Lille</x:v>
      </x:c>
      <x:c r="B12" s="9" t="str">
        <x:v>HAB-15</x:v>
      </x:c>
      <x:c r="C12" s="9" t="str">
        <x:v>Habilitation</x:v>
      </x:c>
      <x:c r="D12" s="9" t="str">
        <x:v>POLYVALENT</x:v>
      </x:c>
      <x:c r="E12" s="9" t="str">
        <x:v>HENNEUSE ALEXANDRE</x:v>
      </x:c>
      <x:c r="F12" s="9" t="str">
        <x:v>S.S.T. initial</x:v>
      </x:c>
      <x:c r="G12" s="11" t="n">
        <x:v>46148</x:v>
      </x:c>
      <x:c r="H12" s="11" t="n">
        <x:v>46878</x:v>
      </x:c>
      <x:c r="I12" s="9" t="str">
        <x:v>Réglementaire</x:v>
      </x:c>
      <x:c r="J12" s="9"/>
      <x:c r="K12" s="12" t="n">
        <x:f>IF(A12="","",IF(ISNUMBER(H12),H12-'Tableau de bord'!$F$5,""))</x:f>
        <x:v>599</x:v>
      </x:c>
      <x:c r="L12" s="12" t="str">
        <x:f>IF(A12="","",IF(ISNUMBER(H12),IF(K12&lt;0,"Expiré",IF(K12&lt;='Paramètres'!$E$6,"À renouveler","À jour")),"À compléter"))</x:f>
        <x:v>À jour</x:v>
      </x:c>
      <x:c r="M12" s="9" t="str">
        <x:v>Suivi Habilitations!A15:R15</x:v>
      </x:c>
    </x:row>
    <x:row r="13" ht="23" customHeight="1">
      <x:c r="A13" s="9" t="str">
        <x:v>Lille</x:v>
      </x:c>
      <x:c r="B13" s="9" t="str">
        <x:v>HAB-16</x:v>
      </x:c>
      <x:c r="C13" s="9" t="str">
        <x:v>Habilitation</x:v>
      </x:c>
      <x:c r="D13" s="9" t="str">
        <x:v>LFB ARRAS</x:v>
      </x:c>
      <x:c r="E13" s="9" t="str">
        <x:v>POPPE CECILIA</x:v>
      </x:c>
      <x:c r="F13" s="9" t="str">
        <x:v>S.S.T. initial</x:v>
      </x:c>
      <x:c r="G13" s="11" t="n">
        <x:v>46148</x:v>
      </x:c>
      <x:c r="H13" s="11" t="n">
        <x:v>46878</x:v>
      </x:c>
      <x:c r="I13" s="9" t="str">
        <x:v>Réglementaire</x:v>
      </x:c>
      <x:c r="J13" s="9"/>
      <x:c r="K13" s="12" t="n">
        <x:f>IF(A13="","",IF(ISNUMBER(H13),H13-'Tableau de bord'!$F$5,""))</x:f>
        <x:v>599</x:v>
      </x:c>
      <x:c r="L13" s="12" t="str">
        <x:f>IF(A13="","",IF(ISNUMBER(H13),IF(K13&lt;0,"Expiré",IF(K13&lt;='Paramètres'!$E$6,"À renouveler","À jour")),"À compléter"))</x:f>
        <x:v>À jour</x:v>
      </x:c>
      <x:c r="M13" s="9" t="str">
        <x:v>Suivi Habilitations!A16:R16</x:v>
      </x:c>
    </x:row>
    <x:row r="14" ht="23" customHeight="1">
      <x:c r="A14" s="9" t="str">
        <x:v>Lille</x:v>
      </x:c>
      <x:c r="B14" s="9" t="str">
        <x:v>HAB-17</x:v>
      </x:c>
      <x:c r="C14" s="9" t="str">
        <x:v>Habilitation</x:v>
      </x:c>
      <x:c r="D14" s="9" t="str">
        <x:v>AGENCE</x:v>
      </x:c>
      <x:c r="E14" s="9" t="str">
        <x:v>FOLLET ELODIE</x:v>
      </x:c>
      <x:c r="F14" s="9" t="str">
        <x:v>S.S.T. initial</x:v>
      </x:c>
      <x:c r="G14" s="11" t="n">
        <x:v>46331</x:v>
      </x:c>
      <x:c r="H14" s="11" t="n">
        <x:v>47061</x:v>
      </x:c>
      <x:c r="I14" s="9" t="str">
        <x:v>Réglementaire</x:v>
      </x:c>
      <x:c r="J14" s="9"/>
      <x:c r="K14" s="12" t="n">
        <x:f>IF(A14="","",IF(ISNUMBER(H14),H14-'Tableau de bord'!$F$5,""))</x:f>
        <x:v>782</x:v>
      </x:c>
      <x:c r="L14" s="12" t="str">
        <x:f>IF(A14="","",IF(ISNUMBER(H14),IF(K14&lt;0,"Expiré",IF(K14&lt;='Paramètres'!$E$6,"À renouveler","À jour")),"À compléter"))</x:f>
        <x:v>À jour</x:v>
      </x:c>
      <x:c r="M14" s="9" t="str">
        <x:v>Suivi Habilitations!A17:R17</x:v>
      </x:c>
    </x:row>
    <x:row r="15" ht="23" customHeight="1">
      <x:c r="A15" s="9" t="str">
        <x:v>Lille</x:v>
      </x:c>
      <x:c r="B15" s="9" t="str">
        <x:v>HAB-18</x:v>
      </x:c>
      <x:c r="C15" s="9" t="str">
        <x:v>Habilitation</x:v>
      </x:c>
      <x:c r="D15" s="9" t="str">
        <x:v>AGENCE</x:v>
      </x:c>
      <x:c r="E15" s="9" t="str">
        <x:v>ELISABETH MICKAEL</x:v>
      </x:c>
      <x:c r="F15" s="9" t="str">
        <x:v>S.S.T. initial</x:v>
      </x:c>
      <x:c r="G15" s="11" t="n">
        <x:v>46331</x:v>
      </x:c>
      <x:c r="H15" s="11" t="n">
        <x:v>47061</x:v>
      </x:c>
      <x:c r="I15" s="9" t="str">
        <x:v>Réglementaire</x:v>
      </x:c>
      <x:c r="J15" s="9"/>
      <x:c r="K15" s="12" t="n">
        <x:f>IF(A15="","",IF(ISNUMBER(H15),H15-'Tableau de bord'!$F$5,""))</x:f>
        <x:v>782</x:v>
      </x:c>
      <x:c r="L15" s="12" t="str">
        <x:f>IF(A15="","",IF(ISNUMBER(H15),IF(K15&lt;0,"Expiré",IF(K15&lt;='Paramètres'!$E$6,"À renouveler","À jour")),"À compléter"))</x:f>
        <x:v>À jour</x:v>
      </x:c>
      <x:c r="M15" s="9" t="str">
        <x:v>Suivi Habilitations!A18:R18</x:v>
      </x:c>
    </x:row>
    <x:row r="16" ht="23" customHeight="1">
      <x:c r="A16" s="9" t="str">
        <x:v>Lille</x:v>
      </x:c>
      <x:c r="B16" s="9" t="str">
        <x:v>HAB-19</x:v>
      </x:c>
      <x:c r="C16" s="9" t="str">
        <x:v>Habilitation</x:v>
      </x:c>
      <x:c r="D16" s="9" t="str">
        <x:v>AGENCE</x:v>
      </x:c>
      <x:c r="E16" s="9" t="str">
        <x:v>VAN DE WEGE DAVID</x:v>
      </x:c>
      <x:c r="F16" s="9" t="str">
        <x:v>S.S.T. initial</x:v>
      </x:c>
      <x:c r="G16" s="11" t="n">
        <x:v>46331</x:v>
      </x:c>
      <x:c r="H16" s="11" t="n">
        <x:v>47061</x:v>
      </x:c>
      <x:c r="I16" s="9" t="str">
        <x:v>Réglementaire</x:v>
      </x:c>
      <x:c r="J16" s="9"/>
      <x:c r="K16" s="12" t="n">
        <x:f>IF(A16="","",IF(ISNUMBER(H16),H16-'Tableau de bord'!$F$5,""))</x:f>
        <x:v>782</x:v>
      </x:c>
      <x:c r="L16" s="12" t="str">
        <x:f>IF(A16="","",IF(ISNUMBER(H16),IF(K16&lt;0,"Expiré",IF(K16&lt;='Paramètres'!$E$6,"À renouveler","À jour")),"À compléter"))</x:f>
        <x:v>À jour</x:v>
      </x:c>
      <x:c r="M16" s="9" t="str">
        <x:v>Suivi Habilitations!A19:R19</x:v>
      </x:c>
    </x:row>
    <x:row r="17" ht="23" customHeight="1">
      <x:c r="A17" s="9" t="str">
        <x:v>Lille</x:v>
      </x:c>
      <x:c r="B17" s="9" t="str">
        <x:v>HAB-20</x:v>
      </x:c>
      <x:c r="C17" s="9" t="str">
        <x:v>Habilitation</x:v>
      </x:c>
      <x:c r="D17" s="9" t="str">
        <x:v>LFB LILLE</x:v>
      </x:c>
      <x:c r="E17" s="9" t="str">
        <x:v>COLOMBIER BENJAMIN</x:v>
      </x:c>
      <x:c r="F17" s="9" t="str">
        <x:v>S.S.T. initial</x:v>
      </x:c>
      <x:c r="G17" s="11" t="n">
        <x:v>46331</x:v>
      </x:c>
      <x:c r="H17" s="11" t="n">
        <x:v>47061</x:v>
      </x:c>
      <x:c r="I17" s="9" t="str">
        <x:v>Réglementaire</x:v>
      </x:c>
      <x:c r="J17" s="9"/>
      <x:c r="K17" s="12" t="n">
        <x:f>IF(A17="","",IF(ISNUMBER(H17),H17-'Tableau de bord'!$F$5,""))</x:f>
        <x:v>782</x:v>
      </x:c>
      <x:c r="L17" s="12" t="str">
        <x:f>IF(A17="","",IF(ISNUMBER(H17),IF(K17&lt;0,"Expiré",IF(K17&lt;='Paramètres'!$E$6,"À renouveler","À jour")),"À compléter"))</x:f>
        <x:v>À jour</x:v>
      </x:c>
      <x:c r="M17" s="9" t="str">
        <x:v>Suivi Habilitations!A20:R20</x:v>
      </x:c>
    </x:row>
    <x:row r="18" ht="23" customHeight="1">
      <x:c r="A18" s="9" t="str">
        <x:v>Lille</x:v>
      </x:c>
      <x:c r="B18" s="9" t="str">
        <x:v>HAB-21</x:v>
      </x:c>
      <x:c r="C18" s="9" t="str">
        <x:v>Habilitation</x:v>
      </x:c>
      <x:c r="D18" s="9" t="str">
        <x:v>EFS</x:v>
      </x:c>
      <x:c r="E18" s="9" t="str">
        <x:v>METRO MYRIAM</x:v>
      </x:c>
      <x:c r="F18" s="9" t="str">
        <x:v>S.S.T. initial</x:v>
      </x:c>
      <x:c r="G18" s="11" t="n">
        <x:v>46331</x:v>
      </x:c>
      <x:c r="H18" s="11" t="n">
        <x:v>47061</x:v>
      </x:c>
      <x:c r="I18" s="9" t="str">
        <x:v>Réglementaire</x:v>
      </x:c>
      <x:c r="J18" s="9"/>
      <x:c r="K18" s="12" t="n">
        <x:f>IF(A18="","",IF(ISNUMBER(H18),H18-'Tableau de bord'!$F$5,""))</x:f>
        <x:v>782</x:v>
      </x:c>
      <x:c r="L18" s="12" t="str">
        <x:f>IF(A18="","",IF(ISNUMBER(H18),IF(K18&lt;0,"Expiré",IF(K18&lt;='Paramètres'!$E$6,"À renouveler","À jour")),"À compléter"))</x:f>
        <x:v>À jour</x:v>
      </x:c>
      <x:c r="M18" s="9" t="str">
        <x:v>Suivi Habilitations!A21:R21</x:v>
      </x:c>
    </x:row>
    <x:row r="19" ht="23" customHeight="1">
      <x:c r="A19" s="9" t="str">
        <x:v>Lille</x:v>
      </x:c>
      <x:c r="B19" s="9" t="str">
        <x:v>HAB-22</x:v>
      </x:c>
      <x:c r="C19" s="9" t="str">
        <x:v>Habilitation</x:v>
      </x:c>
      <x:c r="D19" s="9" t="str">
        <x:v>LFB ARRAS</x:v>
      </x:c>
      <x:c r="E19" s="9" t="str">
        <x:v>FALOUR MARION</x:v>
      </x:c>
      <x:c r="F19" s="9" t="str">
        <x:v>S.S.T. initial</x:v>
      </x:c>
      <x:c r="G19" s="11" t="n">
        <x:v>46331</x:v>
      </x:c>
      <x:c r="H19" s="11" t="n">
        <x:v>47061</x:v>
      </x:c>
      <x:c r="I19" s="9" t="str">
        <x:v>Réglementaire</x:v>
      </x:c>
      <x:c r="J19" s="9"/>
      <x:c r="K19" s="12" t="n">
        <x:f>IF(A19="","",IF(ISNUMBER(H19),H19-'Tableau de bord'!$F$5,""))</x:f>
        <x:v>782</x:v>
      </x:c>
      <x:c r="L19" s="12" t="str">
        <x:f>IF(A19="","",IF(ISNUMBER(H19),IF(K19&lt;0,"Expiré",IF(K19&lt;='Paramètres'!$E$6,"À renouveler","À jour")),"À compléter"))</x:f>
        <x:v>À jour</x:v>
      </x:c>
      <x:c r="M19" s="9" t="str">
        <x:v>Suivi Habilitations!A22:R22</x:v>
      </x:c>
    </x:row>
    <x:row r="20" ht="23" customHeight="1">
      <x:c r="A20" s="9" t="str">
        <x:v>Lille</x:v>
      </x:c>
      <x:c r="B20" s="9" t="str">
        <x:v>HAB-23</x:v>
      </x:c>
      <x:c r="C20" s="9" t="str">
        <x:v>Habilitation</x:v>
      </x:c>
      <x:c r="D20" s="9" t="str">
        <x:v>ID LOGISTIQUE</x:v>
      </x:c>
      <x:c r="E20" s="9" t="str">
        <x:v>FLAHAUT MICHAEL</x:v>
      </x:c>
      <x:c r="F20" s="9" t="str">
        <x:v>Entreprises Extérieurs - N1</x:v>
      </x:c>
      <x:c r="G20" s="11" t="n">
        <x:v>46133</x:v>
      </x:c>
      <x:c r="H20" s="11" t="n">
        <x:v>47228</x:v>
      </x:c>
      <x:c r="I20" s="9" t="str">
        <x:v>Réglementaire</x:v>
      </x:c>
      <x:c r="J20" s="9"/>
      <x:c r="K20" s="12" t="n">
        <x:f>IF(A20="","",IF(ISNUMBER(H20),H20-'Tableau de bord'!$F$5,""))</x:f>
        <x:v>949</x:v>
      </x:c>
      <x:c r="L20" s="12" t="str">
        <x:f>IF(A20="","",IF(ISNUMBER(H20),IF(K20&lt;0,"Expiré",IF(K20&lt;='Paramètres'!$E$6,"À renouveler","À jour")),"À compléter"))</x:f>
        <x:v>À jour</x:v>
      </x:c>
      <x:c r="M20" s="9" t="str">
        <x:v>Suivi Habilitations!A23:R23</x:v>
      </x:c>
    </x:row>
    <x:row r="21" ht="23" customHeight="1">
      <x:c r="A21" s="9" t="str">
        <x:v>Lille</x:v>
      </x:c>
      <x:c r="B21" s="9" t="str">
        <x:v>HAB-24</x:v>
      </x:c>
      <x:c r="C21" s="9" t="str">
        <x:v>Habilitation</x:v>
      </x:c>
      <x:c r="D21" s="9" t="str">
        <x:v>ID LOGISTIQUE</x:v>
      </x:c>
      <x:c r="E21" s="9" t="str">
        <x:v>LAUMONT  BENEDICTE</x:v>
      </x:c>
      <x:c r="F21" s="9" t="str">
        <x:v>Entreprises Extérieurs - N1</x:v>
      </x:c>
      <x:c r="G21" s="11" t="n">
        <x:v>46133</x:v>
      </x:c>
      <x:c r="H21" s="11" t="n">
        <x:v>47228</x:v>
      </x:c>
      <x:c r="I21" s="9" t="str">
        <x:v>Réglementaire</x:v>
      </x:c>
      <x:c r="J21" s="9"/>
      <x:c r="K21" s="12" t="n">
        <x:f>IF(A21="","",IF(ISNUMBER(H21),H21-'Tableau de bord'!$F$5,""))</x:f>
        <x:v>949</x:v>
      </x:c>
      <x:c r="L21" s="12" t="str">
        <x:f>IF(A21="","",IF(ISNUMBER(H21),IF(K21&lt;0,"Expiré",IF(K21&lt;='Paramètres'!$E$6,"À renouveler","À jour")),"À compléter"))</x:f>
        <x:v>À jour</x:v>
      </x:c>
      <x:c r="M21" s="9" t="str">
        <x:v>Suivi Habilitations!A24:R24</x:v>
      </x:c>
    </x:row>
    <x:row r="22" ht="23" customHeight="1">
      <x:c r="A22" s="9" t="str">
        <x:v>Lille</x:v>
      </x:c>
      <x:c r="B22" s="9" t="str">
        <x:v>HAB-25</x:v>
      </x:c>
      <x:c r="C22" s="9" t="str">
        <x:v>Habilitation</x:v>
      </x:c>
      <x:c r="D22" s="9" t="str">
        <x:v>POLYVALENT</x:v>
      </x:c>
      <x:c r="E22" s="9" t="str">
        <x:v>HENNEUSE  ALEXANDRE</x:v>
      </x:c>
      <x:c r="F22" s="9" t="str">
        <x:v>Entreprises Extérieurs - N1</x:v>
      </x:c>
      <x:c r="G22" s="11" t="n">
        <x:v>46133</x:v>
      </x:c>
      <x:c r="H22" s="11" t="n">
        <x:v>47228</x:v>
      </x:c>
      <x:c r="I22" s="9" t="str">
        <x:v>Réglementaire</x:v>
      </x:c>
      <x:c r="J22" s="9"/>
      <x:c r="K22" s="12" t="n">
        <x:f>IF(A22="","",IF(ISNUMBER(H22),H22-'Tableau de bord'!$F$5,""))</x:f>
        <x:v>949</x:v>
      </x:c>
      <x:c r="L22" s="12" t="str">
        <x:f>IF(A22="","",IF(ISNUMBER(H22),IF(K22&lt;0,"Expiré",IF(K22&lt;='Paramètres'!$E$6,"À renouveler","À jour")),"À compléter"))</x:f>
        <x:v>À jour</x:v>
      </x:c>
      <x:c r="M22" s="9" t="str">
        <x:v>Suivi Habilitations!A25:R25</x:v>
      </x:c>
    </x:row>
    <x:row r="23" ht="23" customHeight="1">
      <x:c r="A23" s="9" t="str">
        <x:v>Lille</x:v>
      </x:c>
      <x:c r="B23" s="9" t="str">
        <x:v>HAB-26</x:v>
      </x:c>
      <x:c r="C23" s="9" t="str">
        <x:v>Habilitation</x:v>
      </x:c>
      <x:c r="D23" s="9" t="str">
        <x:v>ID LOGISTIQUE</x:v>
      </x:c>
      <x:c r="E23" s="9" t="str">
        <x:v>TRAORE ABDERRAHMANE</x:v>
      </x:c>
      <x:c r="F23" s="9" t="str">
        <x:v>Entreprises Extérieurs - N1</x:v>
      </x:c>
      <x:c r="G23" s="11" t="n">
        <x:v>46133</x:v>
      </x:c>
      <x:c r="H23" s="11" t="n">
        <x:v>47228</x:v>
      </x:c>
      <x:c r="I23" s="9" t="str">
        <x:v>Réglementaire</x:v>
      </x:c>
      <x:c r="J23" s="9"/>
      <x:c r="K23" s="12" t="n">
        <x:f>IF(A23="","",IF(ISNUMBER(H23),H23-'Tableau de bord'!$F$5,""))</x:f>
        <x:v>949</x:v>
      </x:c>
      <x:c r="L23" s="12" t="str">
        <x:f>IF(A23="","",IF(ISNUMBER(H23),IF(K23&lt;0,"Expiré",IF(K23&lt;='Paramètres'!$E$6,"À renouveler","À jour")),"À compléter"))</x:f>
        <x:v>À jour</x:v>
      </x:c>
      <x:c r="M23" s="9" t="str">
        <x:v>Suivi Habilitations!A26:R26</x:v>
      </x:c>
    </x:row>
    <x:row r="24" ht="23" customHeight="1">
      <x:c r="A24" s="9" t="str">
        <x:v>Lille</x:v>
      </x:c>
      <x:c r="B24" s="9" t="str">
        <x:v>HAB-27</x:v>
      </x:c>
      <x:c r="C24" s="9" t="str">
        <x:v>Habilitation</x:v>
      </x:c>
      <x:c r="D24" s="9" t="str">
        <x:v>ID LOGISTIQUE</x:v>
      </x:c>
      <x:c r="E24" s="9" t="str">
        <x:v>DANIS SEBASTIEN</x:v>
      </x:c>
      <x:c r="F24" s="9" t="str">
        <x:v>Entreprises Extérieurs - N1</x:v>
      </x:c>
      <x:c r="G24" s="11" t="n">
        <x:v>46133</x:v>
      </x:c>
      <x:c r="H24" s="11" t="n">
        <x:v>47228</x:v>
      </x:c>
      <x:c r="I24" s="9" t="str">
        <x:v>Réglementaire</x:v>
      </x:c>
      <x:c r="J24" s="9"/>
      <x:c r="K24" s="12" t="n">
        <x:f>IF(A24="","",IF(ISNUMBER(H24),H24-'Tableau de bord'!$F$5,""))</x:f>
        <x:v>949</x:v>
      </x:c>
      <x:c r="L24" s="12" t="str">
        <x:f>IF(A24="","",IF(ISNUMBER(H24),IF(K24&lt;0,"Expiré",IF(K24&lt;='Paramètres'!$E$6,"À renouveler","À jour")),"À compléter"))</x:f>
        <x:v>À jour</x:v>
      </x:c>
      <x:c r="M24" s="9" t="str">
        <x:v>Suivi Habilitations!A27:R27</x:v>
      </x:c>
    </x:row>
    <x:row r="25" ht="23" customHeight="1">
      <x:c r="A25" s="9" t="str">
        <x:v>Lille</x:v>
      </x:c>
      <x:c r="B25" s="9" t="str">
        <x:v>VPO-20</x:v>
      </x:c>
      <x:c r="C25" s="9" t="str">
        <x:v>VPO</x:v>
      </x:c>
      <x:c r="D25" s="9" t="str">
        <x:v>Agence Lille</x:v>
      </x:c>
      <x:c r="E25" s="9" t="str">
        <x:v>CYRIL PORTKA (apave)</x:v>
      </x:c>
      <x:c r="F25" s="9" t="str">
        <x:v>Installations electriques</x:v>
      </x:c>
      <x:c r="G25" s="11" t="n">
        <x:v>46064</x:v>
      </x:c>
      <x:c r="H25" s="11" t="n">
        <x:v>46429</x:v>
      </x:c>
      <x:c r="I25" s="9" t="str">
        <x:v>CONFORME</x:v>
      </x:c>
      <x:c r="J25" s="9" t="str">
        <x:v>Voir les observations du rapport de vérification électrique</x:v>
      </x:c>
      <x:c r="K25" s="12" t="n">
        <x:f>IF(A25="","",IF(ISNUMBER(H25),H25-'Tableau de bord'!$F$5,""))</x:f>
        <x:v>150</x:v>
      </x:c>
      <x:c r="L25" s="12" t="str">
        <x:f>IF(A25="","",IF(ISNUMBER(H25),IF(K25&lt;0,"Expiré",IF(K25&lt;='Paramètres'!$E$6,"À renouveler","À jour")),"À compléter"))</x:f>
        <x:v>À jour</x:v>
      </x:c>
      <x:c r="M25" s="9" t="str">
        <x:v>Suivi VPO!A20:K20</x:v>
      </x:c>
    </x:row>
    <x:row r="26" ht="23" customHeight="1">
      <x:c r="A26" s="9" t="str">
        <x:v>Lille</x:v>
      </x:c>
      <x:c r="B26" s="9" t="str">
        <x:v>VPO-21</x:v>
      </x:c>
      <x:c r="C26" s="9" t="str">
        <x:v>VPO</x:v>
      </x:c>
      <x:c r="D26" s="9" t="str">
        <x:v>Agence Lille</x:v>
      </x:c>
      <x:c r="E26" s="9" t="str">
        <x:v>CASI hdf (axifeu)</x:v>
      </x:c>
      <x:c r="F26" s="9" t="str">
        <x:v>Extincteurs</x:v>
      </x:c>
      <x:c r="G26" s="11" t="n">
        <x:v>45980</x:v>
      </x:c>
      <x:c r="H26" s="11" t="n">
        <x:v>46345</x:v>
      </x:c>
      <x:c r="I26" s="9" t="str">
        <x:v>CONFORME</x:v>
      </x:c>
      <x:c r="J26" s="9"/>
      <x:c r="K26" s="12" t="n">
        <x:f>IF(A26="","",IF(ISNUMBER(H26),H26-'Tableau de bord'!$F$5,""))</x:f>
        <x:v>66</x:v>
      </x:c>
      <x:c r="L26" s="12" t="str">
        <x:f>IF(A26="","",IF(ISNUMBER(H26),IF(K26&lt;0,"Expiré",IF(K26&lt;='Paramètres'!$E$6,"À renouveler","À jour")),"À compléter"))</x:f>
        <x:v>À jour</x:v>
      </x:c>
      <x:c r="M26" s="9" t="str">
        <x:v>Suivi VPO!A21:K21</x:v>
      </x:c>
    </x:row>
    <x:row r="27" ht="23" customHeight="1">
      <x:c r="A27" s="9" t="str">
        <x:v>Lille</x:v>
      </x:c>
      <x:c r="B27" s="9" t="str">
        <x:v>EX-15</x:v>
      </x:c>
      <x:c r="C27" s="9" t="str">
        <x:v>Exercice</x:v>
      </x:c>
      <x:c r="D27" s="9" t="str">
        <x:v>Agence</x:v>
      </x:c>
      <x:c r="E27" s="9" t="str">
        <x:v>David VAN DE WEGE</x:v>
      </x:c>
      <x:c r="F27" s="9" t="str">
        <x:v>Exercice Environnement</x:v>
      </x:c>
      <x:c r="G27" s="11" t="n">
        <x:v>46048</x:v>
      </x:c>
      <x:c r="H27" s="11" t="n">
        <x:v>46413</x:v>
      </x:c>
      <x:c r="I27" s="9" t="str">
        <x:v>CONFORME</x:v>
      </x:c>
      <x:c r="J27" s="9"/>
      <x:c r="K27" s="12" t="n">
        <x:f>IF(A27="","",IF(ISNUMBER(H27),H27-'Tableau de bord'!$F$5,""))</x:f>
        <x:v>134</x:v>
      </x:c>
      <x:c r="L27" s="12" t="str">
        <x:f>IF(A27="","",IF(ISNUMBER(H27),IF(K27&lt;0,"Expiré",IF(K27&lt;='Paramètres'!$E$6,"À renouveler","À jour")),"À compléter"))</x:f>
        <x:v>À jour</x:v>
      </x:c>
      <x:c r="M27" s="9" t="str">
        <x:v>Exercices Obligatoires!A15:J15</x:v>
      </x:c>
    </x:row>
    <x:row r="28" ht="23" customHeight="1">
      <x:c r="A28" s="9" t="str">
        <x:v>Lille</x:v>
      </x:c>
      <x:c r="B28" s="9" t="str">
        <x:v>EX-16</x:v>
      </x:c>
      <x:c r="C28" s="9" t="str">
        <x:v>Exercice</x:v>
      </x:c>
      <x:c r="D28" s="9" t="str">
        <x:v>Agence</x:v>
      </x:c>
      <x:c r="E28" s="9" t="str">
        <x:v>David VAN DE WEGE</x:v>
      </x:c>
      <x:c r="F28" s="9" t="str">
        <x:v>Exercice d'évacuation</x:v>
      </x:c>
      <x:c r="G28" s="11" t="n">
        <x:v>46112</x:v>
      </x:c>
      <x:c r="H28" s="11" t="n">
        <x:v>46294</x:v>
      </x:c>
      <x:c r="I28" s="9" t="str">
        <x:v>CONFORME</x:v>
      </x:c>
      <x:c r="J28" s="9"/>
      <x:c r="K28" s="12" t="n">
        <x:f>IF(A28="","",IF(ISNUMBER(H28),H28-'Tableau de bord'!$F$5,""))</x:f>
        <x:v>15</x:v>
      </x:c>
      <x:c r="L28" s="12" t="str">
        <x:f>IF(A28="","",IF(ISNUMBER(H28),IF(K28&lt;0,"Expiré",IF(K28&lt;='Paramètres'!$E$6,"À renouveler","À jour")),"À compléter"))</x:f>
        <x:v>À renouveler</x:v>
      </x:c>
      <x:c r="M28" s="9" t="str">
        <x:v>Exercices Obligatoires!A16:J16</x:v>
      </x:c>
    </x:row>
    <x:row r="29" ht="23" customHeight="1">
      <x:c r="A29" s="9"/>
      <x:c r="B29" s="9"/>
      <x:c r="C29" s="9"/>
      <x:c r="D29" s="9"/>
      <x:c r="E29" s="9"/>
      <x:c r="F29" s="9"/>
      <x:c r="G29" s="11"/>
      <x:c r="H29" s="11"/>
      <x:c r="I29" s="9"/>
      <x:c r="J29" s="9"/>
      <x:c r="K29" s="12" t="str">
        <x:f>IF(A29="","",IF(ISNUMBER(H29),H29-'Tableau de bord'!$F$5,""))</x:f>
      </x:c>
      <x:c r="L29" s="12" t="str">
        <x:f>IF(A29="","",IF(ISNUMBER(H29),IF(K29&lt;0,"Expiré",IF(K29&lt;='Paramètres'!$E$6,"À renouveler","À jour")),"À compléter"))</x:f>
      </x:c>
      <x:c r="M29" s="9"/>
    </x:row>
    <x:row r="30" ht="23" customHeight="1">
      <x:c r="A30" s="9"/>
      <x:c r="B30" s="9"/>
      <x:c r="C30" s="9"/>
      <x:c r="D30" s="9"/>
      <x:c r="E30" s="9"/>
      <x:c r="F30" s="9"/>
      <x:c r="G30" s="11"/>
      <x:c r="H30" s="11"/>
      <x:c r="I30" s="9"/>
      <x:c r="J30" s="9"/>
      <x:c r="K30" s="12" t="str">
        <x:f>IF(A30="","",IF(ISNUMBER(H30),H30-'Tableau de bord'!$F$5,""))</x:f>
      </x:c>
      <x:c r="L30" s="12" t="str">
        <x:f>IF(A30="","",IF(ISNUMBER(H30),IF(K30&lt;0,"Expiré",IF(K30&lt;='Paramètres'!$E$6,"À renouveler","À jour")),"À compléter"))</x:f>
      </x:c>
      <x:c r="M30" s="9"/>
    </x:row>
    <x:row r="31" ht="23" customHeight="1">
      <x:c r="A31" s="9"/>
      <x:c r="B31" s="9"/>
      <x:c r="C31" s="9"/>
      <x:c r="D31" s="9"/>
      <x:c r="E31" s="9"/>
      <x:c r="F31" s="9"/>
      <x:c r="G31" s="11"/>
      <x:c r="H31" s="11"/>
      <x:c r="I31" s="9"/>
      <x:c r="J31" s="9"/>
      <x:c r="K31" s="12" t="str">
        <x:f>IF(A31="","",IF(ISNUMBER(H31),H31-'Tableau de bord'!$F$5,""))</x:f>
      </x:c>
      <x:c r="L31" s="12" t="str">
        <x:f>IF(A31="","",IF(ISNUMBER(H31),IF(K31&lt;0,"Expiré",IF(K31&lt;='Paramètres'!$E$6,"À renouveler","À jour")),"À compléter"))</x:f>
      </x:c>
      <x:c r="M31" s="9"/>
    </x:row>
    <x:row r="32" ht="23" customHeight="1">
      <x:c r="A32" s="9"/>
      <x:c r="B32" s="9"/>
      <x:c r="C32" s="9"/>
      <x:c r="D32" s="9"/>
      <x:c r="E32" s="9"/>
      <x:c r="F32" s="9"/>
      <x:c r="G32" s="11"/>
      <x:c r="H32" s="11"/>
      <x:c r="I32" s="9"/>
      <x:c r="J32" s="9"/>
      <x:c r="K32" s="12" t="str">
        <x:f>IF(A32="","",IF(ISNUMBER(H32),H32-'Tableau de bord'!$F$5,""))</x:f>
      </x:c>
      <x:c r="L32" s="12" t="str">
        <x:f>IF(A32="","",IF(ISNUMBER(H32),IF(K32&lt;0,"Expiré",IF(K32&lt;='Paramètres'!$E$6,"À renouveler","À jour")),"À compléter"))</x:f>
      </x:c>
      <x:c r="M32" s="9"/>
    </x:row>
    <x:row r="33" ht="23" customHeight="1">
      <x:c r="A33" s="9"/>
      <x:c r="B33" s="9"/>
      <x:c r="C33" s="9"/>
      <x:c r="D33" s="9"/>
      <x:c r="E33" s="9"/>
      <x:c r="F33" s="9"/>
      <x:c r="G33" s="11"/>
      <x:c r="H33" s="11"/>
      <x:c r="I33" s="9"/>
      <x:c r="J33" s="9"/>
      <x:c r="K33" s="12" t="str">
        <x:f>IF(A33="","",IF(ISNUMBER(H33),H33-'Tableau de bord'!$F$5,""))</x:f>
      </x:c>
      <x:c r="L33" s="12" t="str">
        <x:f>IF(A33="","",IF(ISNUMBER(H33),IF(K33&lt;0,"Expiré",IF(K33&lt;='Paramètres'!$E$6,"À renouveler","À jour")),"À compléter"))</x:f>
      </x:c>
      <x:c r="M33" s="9"/>
    </x:row>
    <x:row r="34" ht="23" customHeight="1">
      <x:c r="A34" s="9"/>
      <x:c r="B34" s="9"/>
      <x:c r="C34" s="9"/>
      <x:c r="D34" s="9"/>
      <x:c r="E34" s="9"/>
      <x:c r="F34" s="9"/>
      <x:c r="G34" s="11"/>
      <x:c r="H34" s="11"/>
      <x:c r="I34" s="9"/>
      <x:c r="J34" s="9"/>
      <x:c r="K34" s="12" t="str">
        <x:f>IF(A34="","",IF(ISNUMBER(H34),H34-'Tableau de bord'!$F$5,""))</x:f>
      </x:c>
      <x:c r="L34" s="12" t="str">
        <x:f>IF(A34="","",IF(ISNUMBER(H34),IF(K34&lt;0,"Expiré",IF(K34&lt;='Paramètres'!$E$6,"À renouveler","À jour")),"À compléter"))</x:f>
      </x:c>
      <x:c r="M34" s="9"/>
    </x:row>
    <x:row r="35" ht="23" customHeight="1">
      <x:c r="A35" s="9"/>
      <x:c r="B35" s="9"/>
      <x:c r="C35" s="9"/>
      <x:c r="D35" s="9"/>
      <x:c r="E35" s="9"/>
      <x:c r="F35" s="9"/>
      <x:c r="G35" s="11"/>
      <x:c r="H35" s="11"/>
      <x:c r="I35" s="9"/>
      <x:c r="J35" s="9"/>
      <x:c r="K35" s="12" t="str">
        <x:f>IF(A35="","",IF(ISNUMBER(H35),H35-'Tableau de bord'!$F$5,""))</x:f>
      </x:c>
      <x:c r="L35" s="12" t="str">
        <x:f>IF(A35="","",IF(ISNUMBER(H35),IF(K35&lt;0,"Expiré",IF(K35&lt;='Paramètres'!$E$6,"À renouveler","À jour")),"À compléter"))</x:f>
      </x:c>
      <x:c r="M35" s="9"/>
    </x:row>
    <x:row r="36" ht="23" customHeight="1">
      <x:c r="A36" s="9"/>
      <x:c r="B36" s="9"/>
      <x:c r="C36" s="9"/>
      <x:c r="D36" s="9"/>
      <x:c r="E36" s="9"/>
      <x:c r="F36" s="9"/>
      <x:c r="G36" s="11"/>
      <x:c r="H36" s="11"/>
      <x:c r="I36" s="9"/>
      <x:c r="J36" s="9"/>
      <x:c r="K36" s="12" t="str">
        <x:f>IF(A36="","",IF(ISNUMBER(H36),H36-'Tableau de bord'!$F$5,""))</x:f>
      </x:c>
      <x:c r="L36" s="12" t="str">
        <x:f>IF(A36="","",IF(ISNUMBER(H36),IF(K36&lt;0,"Expiré",IF(K36&lt;='Paramètres'!$E$6,"À renouveler","À jour")),"À compléter"))</x:f>
      </x:c>
      <x:c r="M36" s="9"/>
    </x:row>
    <x:row r="37" ht="23" customHeight="1">
      <x:c r="A37" s="9"/>
      <x:c r="B37" s="9"/>
      <x:c r="C37" s="9"/>
      <x:c r="D37" s="9"/>
      <x:c r="E37" s="9"/>
      <x:c r="F37" s="9"/>
      <x:c r="G37" s="11"/>
      <x:c r="H37" s="11"/>
      <x:c r="I37" s="9"/>
      <x:c r="J37" s="9"/>
      <x:c r="K37" s="12" t="str">
        <x:f>IF(A37="","",IF(ISNUMBER(H37),H37-'Tableau de bord'!$F$5,""))</x:f>
      </x:c>
      <x:c r="L37" s="12" t="str">
        <x:f>IF(A37="","",IF(ISNUMBER(H37),IF(K37&lt;0,"Expiré",IF(K37&lt;='Paramètres'!$E$6,"À renouveler","À jour")),"À compléter"))</x:f>
      </x:c>
      <x:c r="M37" s="9"/>
    </x:row>
    <x:row r="38" ht="23" customHeight="1">
      <x:c r="A38" s="9"/>
      <x:c r="B38" s="9"/>
      <x:c r="C38" s="9"/>
      <x:c r="D38" s="9"/>
      <x:c r="E38" s="9"/>
      <x:c r="F38" s="9"/>
      <x:c r="G38" s="11"/>
      <x:c r="H38" s="11"/>
      <x:c r="I38" s="9"/>
      <x:c r="J38" s="9"/>
      <x:c r="K38" s="12" t="str">
        <x:f>IF(A38="","",IF(ISNUMBER(H38),H38-'Tableau de bord'!$F$5,""))</x:f>
      </x:c>
      <x:c r="L38" s="12" t="str">
        <x:f>IF(A38="","",IF(ISNUMBER(H38),IF(K38&lt;0,"Expiré",IF(K38&lt;='Paramètres'!$E$6,"À renouveler","À jour")),"À compléter"))</x:f>
      </x:c>
      <x:c r="M38" s="9"/>
    </x:row>
    <x:row r="39" ht="23" customHeight="1">
      <x:c r="A39" s="9"/>
      <x:c r="B39" s="9"/>
      <x:c r="C39" s="9"/>
      <x:c r="D39" s="9"/>
      <x:c r="E39" s="9"/>
      <x:c r="F39" s="9"/>
      <x:c r="G39" s="11"/>
      <x:c r="H39" s="11"/>
      <x:c r="I39" s="9"/>
      <x:c r="J39" s="9"/>
      <x:c r="K39" s="12" t="str">
        <x:f>IF(A39="","",IF(ISNUMBER(H39),H39-'Tableau de bord'!$F$5,""))</x:f>
      </x:c>
      <x:c r="L39" s="12" t="str">
        <x:f>IF(A39="","",IF(ISNUMBER(H39),IF(K39&lt;0,"Expiré",IF(K39&lt;='Paramètres'!$E$6,"À renouveler","À jour")),"À compléter"))</x:f>
      </x:c>
      <x:c r="M39" s="9"/>
    </x:row>
    <x:row r="40" ht="23" customHeight="1">
      <x:c r="A40" s="9"/>
      <x:c r="B40" s="9"/>
      <x:c r="C40" s="9"/>
      <x:c r="D40" s="9"/>
      <x:c r="E40" s="9"/>
      <x:c r="F40" s="9"/>
      <x:c r="G40" s="11"/>
      <x:c r="H40" s="11"/>
      <x:c r="I40" s="9"/>
      <x:c r="J40" s="9"/>
      <x:c r="K40" s="12" t="str">
        <x:f>IF(A40="","",IF(ISNUMBER(H40),H40-'Tableau de bord'!$F$5,""))</x:f>
      </x:c>
      <x:c r="L40" s="12" t="str">
        <x:f>IF(A40="","",IF(ISNUMBER(H40),IF(K40&lt;0,"Expiré",IF(K40&lt;='Paramètres'!$E$6,"À renouveler","À jour")),"À compléter"))</x:f>
      </x:c>
      <x:c r="M40" s="9"/>
    </x:row>
    <x:row r="41" ht="23" customHeight="1">
      <x:c r="A41" s="9"/>
      <x:c r="B41" s="9"/>
      <x:c r="C41" s="9"/>
      <x:c r="D41" s="9"/>
      <x:c r="E41" s="9"/>
      <x:c r="F41" s="9"/>
      <x:c r="G41" s="11"/>
      <x:c r="H41" s="11"/>
      <x:c r="I41" s="9"/>
      <x:c r="J41" s="9"/>
      <x:c r="K41" s="12" t="str">
        <x:f>IF(A41="","",IF(ISNUMBER(H41),H41-'Tableau de bord'!$F$5,""))</x:f>
      </x:c>
      <x:c r="L41" s="12" t="str">
        <x:f>IF(A41="","",IF(ISNUMBER(H41),IF(K41&lt;0,"Expiré",IF(K41&lt;='Paramètres'!$E$6,"À renouveler","À jour")),"À compléter"))</x:f>
      </x:c>
      <x:c r="M41" s="9"/>
    </x:row>
    <x:row r="42" ht="23" customHeight="1">
      <x:c r="A42" s="9"/>
      <x:c r="B42" s="9"/>
      <x:c r="C42" s="9"/>
      <x:c r="D42" s="9"/>
      <x:c r="E42" s="9"/>
      <x:c r="F42" s="9"/>
      <x:c r="G42" s="11"/>
      <x:c r="H42" s="11"/>
      <x:c r="I42" s="9"/>
      <x:c r="J42" s="9"/>
      <x:c r="K42" s="12" t="str">
        <x:f>IF(A42="","",IF(ISNUMBER(H42),H42-'Tableau de bord'!$F$5,""))</x:f>
      </x:c>
      <x:c r="L42" s="12" t="str">
        <x:f>IF(A42="","",IF(ISNUMBER(H42),IF(K42&lt;0,"Expiré",IF(K42&lt;='Paramètres'!$E$6,"À renouveler","À jour")),"À compléter"))</x:f>
      </x:c>
      <x:c r="M42" s="9"/>
    </x:row>
    <x:row r="43" ht="23" customHeight="1">
      <x:c r="A43" s="9"/>
      <x:c r="B43" s="9"/>
      <x:c r="C43" s="9"/>
      <x:c r="D43" s="9"/>
      <x:c r="E43" s="9"/>
      <x:c r="F43" s="9"/>
      <x:c r="G43" s="11"/>
      <x:c r="H43" s="11"/>
      <x:c r="I43" s="9"/>
      <x:c r="J43" s="9"/>
      <x:c r="K43" s="12" t="str">
        <x:f>IF(A43="","",IF(ISNUMBER(H43),H43-'Tableau de bord'!$F$5,""))</x:f>
      </x:c>
      <x:c r="L43" s="12" t="str">
        <x:f>IF(A43="","",IF(ISNUMBER(H43),IF(K43&lt;0,"Expiré",IF(K43&lt;='Paramètres'!$E$6,"À renouveler","À jour")),"À compléter"))</x:f>
      </x:c>
      <x:c r="M43" s="9"/>
    </x:row>
    <x:row r="44" ht="23" customHeight="1">
      <x:c r="A44" s="9"/>
      <x:c r="B44" s="9"/>
      <x:c r="C44" s="9"/>
      <x:c r="D44" s="9"/>
      <x:c r="E44" s="9"/>
      <x:c r="F44" s="9"/>
      <x:c r="G44" s="11"/>
      <x:c r="H44" s="11"/>
      <x:c r="I44" s="9"/>
      <x:c r="J44" s="9"/>
      <x:c r="K44" s="12" t="str">
        <x:f>IF(A44="","",IF(ISNUMBER(H44),H44-'Tableau de bord'!$F$5,""))</x:f>
      </x:c>
      <x:c r="L44" s="12" t="str">
        <x:f>IF(A44="","",IF(ISNUMBER(H44),IF(K44&lt;0,"Expiré",IF(K44&lt;='Paramètres'!$E$6,"À renouveler","À jour")),"À compléter"))</x:f>
      </x:c>
      <x:c r="M44" s="9"/>
    </x:row>
    <x:row r="45" ht="23" customHeight="1">
      <x:c r="A45" s="9"/>
      <x:c r="B45" s="9"/>
      <x:c r="C45" s="9"/>
      <x:c r="D45" s="9"/>
      <x:c r="E45" s="9"/>
      <x:c r="F45" s="9"/>
      <x:c r="G45" s="11"/>
      <x:c r="H45" s="11"/>
      <x:c r="I45" s="9"/>
      <x:c r="J45" s="9"/>
      <x:c r="K45" s="12" t="str">
        <x:f>IF(A45="","",IF(ISNUMBER(H45),H45-'Tableau de bord'!$F$5,""))</x:f>
      </x:c>
      <x:c r="L45" s="12" t="str">
        <x:f>IF(A45="","",IF(ISNUMBER(H45),IF(K45&lt;0,"Expiré",IF(K45&lt;='Paramètres'!$E$6,"À renouveler","À jour")),"À compléter"))</x:f>
      </x:c>
      <x:c r="M45" s="9"/>
    </x:row>
    <x:row r="46" ht="23" customHeight="1">
      <x:c r="A46" s="9"/>
      <x:c r="B46" s="9"/>
      <x:c r="C46" s="9"/>
      <x:c r="D46" s="9"/>
      <x:c r="E46" s="9"/>
      <x:c r="F46" s="9"/>
      <x:c r="G46" s="11"/>
      <x:c r="H46" s="11"/>
      <x:c r="I46" s="9"/>
      <x:c r="J46" s="9"/>
      <x:c r="K46" s="12" t="str">
        <x:f>IF(A46="","",IF(ISNUMBER(H46),H46-'Tableau de bord'!$F$5,""))</x:f>
      </x:c>
      <x:c r="L46" s="12" t="str">
        <x:f>IF(A46="","",IF(ISNUMBER(H46),IF(K46&lt;0,"Expiré",IF(K46&lt;='Paramètres'!$E$6,"À renouveler","À jour")),"À compléter"))</x:f>
      </x:c>
      <x:c r="M46" s="9"/>
    </x:row>
    <x:row r="47" ht="23" customHeight="1">
      <x:c r="A47" s="9"/>
      <x:c r="B47" s="9"/>
      <x:c r="C47" s="9"/>
      <x:c r="D47" s="9"/>
      <x:c r="E47" s="9"/>
      <x:c r="F47" s="9"/>
      <x:c r="G47" s="11"/>
      <x:c r="H47" s="11"/>
      <x:c r="I47" s="9"/>
      <x:c r="J47" s="9"/>
      <x:c r="K47" s="12" t="str">
        <x:f>IF(A47="","",IF(ISNUMBER(H47),H47-'Tableau de bord'!$F$5,""))</x:f>
      </x:c>
      <x:c r="L47" s="12" t="str">
        <x:f>IF(A47="","",IF(ISNUMBER(H47),IF(K47&lt;0,"Expiré",IF(K47&lt;='Paramètres'!$E$6,"À renouveler","À jour")),"À compléter"))</x:f>
      </x:c>
      <x:c r="M47" s="9"/>
    </x:row>
    <x:row r="48" ht="23" customHeight="1">
      <x:c r="A48" s="9"/>
      <x:c r="B48" s="9"/>
      <x:c r="C48" s="9"/>
      <x:c r="D48" s="9"/>
      <x:c r="E48" s="9"/>
      <x:c r="F48" s="9"/>
      <x:c r="G48" s="11"/>
      <x:c r="H48" s="11"/>
      <x:c r="I48" s="9"/>
      <x:c r="J48" s="9"/>
      <x:c r="K48" s="12" t="str">
        <x:f>IF(A48="","",IF(ISNUMBER(H48),H48-'Tableau de bord'!$F$5,""))</x:f>
      </x:c>
      <x:c r="L48" s="12" t="str">
        <x:f>IF(A48="","",IF(ISNUMBER(H48),IF(K48&lt;0,"Expiré",IF(K48&lt;='Paramètres'!$E$6,"À renouveler","À jour")),"À compléter"))</x:f>
      </x:c>
      <x:c r="M48" s="9"/>
    </x:row>
    <x:row r="49" ht="23" customHeight="1">
      <x:c r="A49" s="9"/>
      <x:c r="B49" s="9"/>
      <x:c r="C49" s="9"/>
      <x:c r="D49" s="9"/>
      <x:c r="E49" s="9"/>
      <x:c r="F49" s="9"/>
      <x:c r="G49" s="11"/>
      <x:c r="H49" s="11"/>
      <x:c r="I49" s="9"/>
      <x:c r="J49" s="9"/>
      <x:c r="K49" s="12" t="str">
        <x:f>IF(A49="","",IF(ISNUMBER(H49),H49-'Tableau de bord'!$F$5,""))</x:f>
      </x:c>
      <x:c r="L49" s="12" t="str">
        <x:f>IF(A49="","",IF(ISNUMBER(H49),IF(K49&lt;0,"Expiré",IF(K49&lt;='Paramètres'!$E$6,"À renouveler","À jour")),"À compléter"))</x:f>
      </x:c>
      <x:c r="M49" s="9"/>
    </x:row>
    <x:row r="50" ht="23" customHeight="1">
      <x:c r="A50" s="9"/>
      <x:c r="B50" s="9"/>
      <x:c r="C50" s="9"/>
      <x:c r="D50" s="9"/>
      <x:c r="E50" s="9"/>
      <x:c r="F50" s="9"/>
      <x:c r="G50" s="11"/>
      <x:c r="H50" s="11"/>
      <x:c r="I50" s="9"/>
      <x:c r="J50" s="9"/>
      <x:c r="K50" s="12" t="str">
        <x:f>IF(A50="","",IF(ISNUMBER(H50),H50-'Tableau de bord'!$F$5,""))</x:f>
      </x:c>
      <x:c r="L50" s="12" t="str">
        <x:f>IF(A50="","",IF(ISNUMBER(H50),IF(K50&lt;0,"Expiré",IF(K50&lt;='Paramètres'!$E$6,"À renouveler","À jour")),"À compléter"))</x:f>
      </x:c>
      <x:c r="M50" s="9"/>
    </x:row>
    <x:row r="51" ht="23" customHeight="1">
      <x:c r="A51" s="9"/>
      <x:c r="B51" s="9"/>
      <x:c r="C51" s="9"/>
      <x:c r="D51" s="9"/>
      <x:c r="E51" s="9"/>
      <x:c r="F51" s="9"/>
      <x:c r="G51" s="11"/>
      <x:c r="H51" s="11"/>
      <x:c r="I51" s="9"/>
      <x:c r="J51" s="9"/>
      <x:c r="K51" s="12" t="str">
        <x:f>IF(A51="","",IF(ISNUMBER(H51),H51-'Tableau de bord'!$F$5,""))</x:f>
      </x:c>
      <x:c r="L51" s="12" t="str">
        <x:f>IF(A51="","",IF(ISNUMBER(H51),IF(K51&lt;0,"Expiré",IF(K51&lt;='Paramètres'!$E$6,"À renouveler","À jour")),"À compléter"))</x:f>
      </x:c>
      <x:c r="M51" s="9"/>
    </x:row>
    <x:row r="52" ht="23" customHeight="1">
      <x:c r="A52" s="9"/>
      <x:c r="B52" s="9"/>
      <x:c r="C52" s="9"/>
      <x:c r="D52" s="9"/>
      <x:c r="E52" s="9"/>
      <x:c r="F52" s="9"/>
      <x:c r="G52" s="11"/>
      <x:c r="H52" s="11"/>
      <x:c r="I52" s="9"/>
      <x:c r="J52" s="9"/>
      <x:c r="K52" s="12" t="str">
        <x:f>IF(A52="","",IF(ISNUMBER(H52),H52-'Tableau de bord'!$F$5,""))</x:f>
      </x:c>
      <x:c r="L52" s="12" t="str">
        <x:f>IF(A52="","",IF(ISNUMBER(H52),IF(K52&lt;0,"Expiré",IF(K52&lt;='Paramètres'!$E$6,"À renouveler","À jour")),"À compléter"))</x:f>
      </x:c>
      <x:c r="M52" s="9"/>
    </x:row>
    <x:row r="53" ht="23" customHeight="1">
      <x:c r="A53" s="9"/>
      <x:c r="B53" s="9"/>
      <x:c r="C53" s="9"/>
      <x:c r="D53" s="9"/>
      <x:c r="E53" s="9"/>
      <x:c r="F53" s="9"/>
      <x:c r="G53" s="11"/>
      <x:c r="H53" s="11"/>
      <x:c r="I53" s="9"/>
      <x:c r="J53" s="9"/>
      <x:c r="K53" s="12" t="str">
        <x:f>IF(A53="","",IF(ISNUMBER(H53),H53-'Tableau de bord'!$F$5,""))</x:f>
      </x:c>
      <x:c r="L53" s="12" t="str">
        <x:f>IF(A53="","",IF(ISNUMBER(H53),IF(K53&lt;0,"Expiré",IF(K53&lt;='Paramètres'!$E$6,"À renouveler","À jour")),"À compléter"))</x:f>
      </x:c>
      <x:c r="M53" s="9"/>
    </x:row>
    <x:row r="54" ht="23" customHeight="1">
      <x:c r="A54" s="9"/>
      <x:c r="B54" s="9"/>
      <x:c r="C54" s="9"/>
      <x:c r="D54" s="9"/>
      <x:c r="E54" s="9"/>
      <x:c r="F54" s="9"/>
      <x:c r="G54" s="11"/>
      <x:c r="H54" s="11"/>
      <x:c r="I54" s="9"/>
      <x:c r="J54" s="9"/>
      <x:c r="K54" s="12" t="str">
        <x:f>IF(A54="","",IF(ISNUMBER(H54),H54-'Tableau de bord'!$F$5,""))</x:f>
      </x:c>
      <x:c r="L54" s="12" t="str">
        <x:f>IF(A54="","",IF(ISNUMBER(H54),IF(K54&lt;0,"Expiré",IF(K54&lt;='Paramètres'!$E$6,"À renouveler","À jour")),"À compléter"))</x:f>
      </x:c>
      <x:c r="M54" s="9"/>
    </x:row>
    <x:row r="55" ht="23" customHeight="1">
      <x:c r="A55" s="9"/>
      <x:c r="B55" s="9"/>
      <x:c r="C55" s="9"/>
      <x:c r="D55" s="9"/>
      <x:c r="E55" s="9"/>
      <x:c r="F55" s="9"/>
      <x:c r="G55" s="11"/>
      <x:c r="H55" s="11"/>
      <x:c r="I55" s="9"/>
      <x:c r="J55" s="9"/>
      <x:c r="K55" s="12" t="str">
        <x:f>IF(A55="","",IF(ISNUMBER(H55),H55-'Tableau de bord'!$F$5,""))</x:f>
      </x:c>
      <x:c r="L55" s="12" t="str">
        <x:f>IF(A55="","",IF(ISNUMBER(H55),IF(K55&lt;0,"Expiré",IF(K55&lt;='Paramètres'!$E$6,"À renouveler","À jour")),"À compléter"))</x:f>
      </x:c>
      <x:c r="M55" s="9"/>
    </x:row>
    <x:row r="56" ht="23" customHeight="1">
      <x:c r="A56" s="9"/>
      <x:c r="B56" s="9"/>
      <x:c r="C56" s="9"/>
      <x:c r="D56" s="9"/>
      <x:c r="E56" s="9"/>
      <x:c r="F56" s="9"/>
      <x:c r="G56" s="11"/>
      <x:c r="H56" s="11"/>
      <x:c r="I56" s="9"/>
      <x:c r="J56" s="9"/>
      <x:c r="K56" s="12" t="str">
        <x:f>IF(A56="","",IF(ISNUMBER(H56),H56-'Tableau de bord'!$F$5,""))</x:f>
      </x:c>
      <x:c r="L56" s="12" t="str">
        <x:f>IF(A56="","",IF(ISNUMBER(H56),IF(K56&lt;0,"Expiré",IF(K56&lt;='Paramètres'!$E$6,"À renouveler","À jour")),"À compléter"))</x:f>
      </x:c>
      <x:c r="M56" s="9"/>
    </x:row>
    <x:row r="57" ht="23" customHeight="1">
      <x:c r="A57" s="9"/>
      <x:c r="B57" s="9"/>
      <x:c r="C57" s="9"/>
      <x:c r="D57" s="9"/>
      <x:c r="E57" s="9"/>
      <x:c r="F57" s="9"/>
      <x:c r="G57" s="11"/>
      <x:c r="H57" s="11"/>
      <x:c r="I57" s="9"/>
      <x:c r="J57" s="9"/>
      <x:c r="K57" s="12" t="str">
        <x:f>IF(A57="","",IF(ISNUMBER(H57),H57-'Tableau de bord'!$F$5,""))</x:f>
      </x:c>
      <x:c r="L57" s="12" t="str">
        <x:f>IF(A57="","",IF(ISNUMBER(H57),IF(K57&lt;0,"Expiré",IF(K57&lt;='Paramètres'!$E$6,"À renouveler","À jour")),"À compléter"))</x:f>
      </x:c>
      <x:c r="M57" s="9"/>
    </x:row>
    <x:row r="58" ht="23" customHeight="1">
      <x:c r="A58" s="9"/>
      <x:c r="B58" s="9"/>
      <x:c r="C58" s="9"/>
      <x:c r="D58" s="9"/>
      <x:c r="E58" s="9"/>
      <x:c r="F58" s="9"/>
      <x:c r="G58" s="11"/>
      <x:c r="H58" s="11"/>
      <x:c r="I58" s="9"/>
      <x:c r="J58" s="9"/>
      <x:c r="K58" s="12" t="str">
        <x:f>IF(A58="","",IF(ISNUMBER(H58),H58-'Tableau de bord'!$F$5,""))</x:f>
      </x:c>
      <x:c r="L58" s="12" t="str">
        <x:f>IF(A58="","",IF(ISNUMBER(H58),IF(K58&lt;0,"Expiré",IF(K58&lt;='Paramètres'!$E$6,"À renouveler","À jour")),"À compléter"))</x:f>
      </x:c>
      <x:c r="M58" s="9"/>
    </x:row>
    <x:row r="59" ht="23" customHeight="1">
      <x:c r="A59" s="9"/>
      <x:c r="B59" s="9"/>
      <x:c r="C59" s="9"/>
      <x:c r="D59" s="9"/>
      <x:c r="E59" s="9"/>
      <x:c r="F59" s="9"/>
      <x:c r="G59" s="11"/>
      <x:c r="H59" s="11"/>
      <x:c r="I59" s="9"/>
      <x:c r="J59" s="9"/>
      <x:c r="K59" s="12" t="str">
        <x:f>IF(A59="","",IF(ISNUMBER(H59),H59-'Tableau de bord'!$F$5,""))</x:f>
      </x:c>
      <x:c r="L59" s="12" t="str">
        <x:f>IF(A59="","",IF(ISNUMBER(H59),IF(K59&lt;0,"Expiré",IF(K59&lt;='Paramètres'!$E$6,"À renouveler","À jour")),"À compléter"))</x:f>
      </x:c>
      <x:c r="M59" s="9"/>
    </x:row>
    <x:row r="60" ht="23" customHeight="1">
      <x:c r="A60" s="9"/>
      <x:c r="B60" s="9"/>
      <x:c r="C60" s="9"/>
      <x:c r="D60" s="9"/>
      <x:c r="E60" s="9"/>
      <x:c r="F60" s="9"/>
      <x:c r="G60" s="11"/>
      <x:c r="H60" s="11"/>
      <x:c r="I60" s="9"/>
      <x:c r="J60" s="9"/>
      <x:c r="K60" s="12" t="str">
        <x:f>IF(A60="","",IF(ISNUMBER(H60),H60-'Tableau de bord'!$F$5,""))</x:f>
      </x:c>
      <x:c r="L60" s="12" t="str">
        <x:f>IF(A60="","",IF(ISNUMBER(H60),IF(K60&lt;0,"Expiré",IF(K60&lt;='Paramètres'!$E$6,"À renouveler","À jour")),"À compléter"))</x:f>
      </x:c>
      <x:c r="M60" s="9"/>
    </x:row>
    <x:row r="61" ht="23" customHeight="1">
      <x:c r="A61" s="9"/>
      <x:c r="B61" s="9"/>
      <x:c r="C61" s="9"/>
      <x:c r="D61" s="9"/>
      <x:c r="E61" s="9"/>
      <x:c r="F61" s="9"/>
      <x:c r="G61" s="11"/>
      <x:c r="H61" s="11"/>
      <x:c r="I61" s="9"/>
      <x:c r="J61" s="9"/>
      <x:c r="K61" s="12" t="str">
        <x:f>IF(A61="","",IF(ISNUMBER(H61),H61-'Tableau de bord'!$F$5,""))</x:f>
      </x:c>
      <x:c r="L61" s="12" t="str">
        <x:f>IF(A61="","",IF(ISNUMBER(H61),IF(K61&lt;0,"Expiré",IF(K61&lt;='Paramètres'!$E$6,"À renouveler","À jour")),"À compléter"))</x:f>
      </x:c>
      <x:c r="M61" s="9"/>
    </x:row>
    <x:row r="62" ht="23" customHeight="1">
      <x:c r="A62" s="9"/>
      <x:c r="B62" s="9"/>
      <x:c r="C62" s="9"/>
      <x:c r="D62" s="9"/>
      <x:c r="E62" s="9"/>
      <x:c r="F62" s="9"/>
      <x:c r="G62" s="11"/>
      <x:c r="H62" s="11"/>
      <x:c r="I62" s="9"/>
      <x:c r="J62" s="9"/>
      <x:c r="K62" s="12" t="str">
        <x:f>IF(A62="","",IF(ISNUMBER(H62),H62-'Tableau de bord'!$F$5,""))</x:f>
      </x:c>
      <x:c r="L62" s="12" t="str">
        <x:f>IF(A62="","",IF(ISNUMBER(H62),IF(K62&lt;0,"Expiré",IF(K62&lt;='Paramètres'!$E$6,"À renouveler","À jour")),"À compléter"))</x:f>
      </x:c>
      <x:c r="M62" s="9"/>
    </x:row>
    <x:row r="63" ht="23" customHeight="1">
      <x:c r="A63" s="9"/>
      <x:c r="B63" s="9"/>
      <x:c r="C63" s="9"/>
      <x:c r="D63" s="9"/>
      <x:c r="E63" s="9"/>
      <x:c r="F63" s="9"/>
      <x:c r="G63" s="11"/>
      <x:c r="H63" s="11"/>
      <x:c r="I63" s="9"/>
      <x:c r="J63" s="9"/>
      <x:c r="K63" s="12" t="str">
        <x:f>IF(A63="","",IF(ISNUMBER(H63),H63-'Tableau de bord'!$F$5,""))</x:f>
      </x:c>
      <x:c r="L63" s="12" t="str">
        <x:f>IF(A63="","",IF(ISNUMBER(H63),IF(K63&lt;0,"Expiré",IF(K63&lt;='Paramètres'!$E$6,"À renouveler","À jour")),"À compléter"))</x:f>
      </x:c>
      <x:c r="M63" s="9"/>
    </x:row>
    <x:row r="64" ht="23" customHeight="1">
      <x:c r="A64" s="9"/>
      <x:c r="B64" s="9"/>
      <x:c r="C64" s="9"/>
      <x:c r="D64" s="9"/>
      <x:c r="E64" s="9"/>
      <x:c r="F64" s="9"/>
      <x:c r="G64" s="11"/>
      <x:c r="H64" s="11"/>
      <x:c r="I64" s="9"/>
      <x:c r="J64" s="9"/>
      <x:c r="K64" s="12" t="str">
        <x:f>IF(A64="","",IF(ISNUMBER(H64),H64-'Tableau de bord'!$F$5,""))</x:f>
      </x:c>
      <x:c r="L64" s="12" t="str">
        <x:f>IF(A64="","",IF(ISNUMBER(H64),IF(K64&lt;0,"Expiré",IF(K64&lt;='Paramètres'!$E$6,"À renouveler","À jour")),"À compléter"))</x:f>
      </x:c>
      <x:c r="M64" s="9"/>
    </x:row>
    <x:row r="65" ht="23" customHeight="1">
      <x:c r="A65" s="9"/>
      <x:c r="B65" s="9"/>
      <x:c r="C65" s="9"/>
      <x:c r="D65" s="9"/>
      <x:c r="E65" s="9"/>
      <x:c r="F65" s="9"/>
      <x:c r="G65" s="11"/>
      <x:c r="H65" s="11"/>
      <x:c r="I65" s="9"/>
      <x:c r="J65" s="9"/>
      <x:c r="K65" s="12" t="str">
        <x:f>IF(A65="","",IF(ISNUMBER(H65),H65-'Tableau de bord'!$F$5,""))</x:f>
      </x:c>
      <x:c r="L65" s="12" t="str">
        <x:f>IF(A65="","",IF(ISNUMBER(H65),IF(K65&lt;0,"Expiré",IF(K65&lt;='Paramètres'!$E$6,"À renouveler","À jour")),"À compléter"))</x:f>
      </x:c>
      <x:c r="M65" s="9"/>
    </x:row>
    <x:row r="66" ht="23" customHeight="1">
      <x:c r="A66" s="9"/>
      <x:c r="B66" s="9"/>
      <x:c r="C66" s="9"/>
      <x:c r="D66" s="9"/>
      <x:c r="E66" s="9"/>
      <x:c r="F66" s="9"/>
      <x:c r="G66" s="11"/>
      <x:c r="H66" s="11"/>
      <x:c r="I66" s="9"/>
      <x:c r="J66" s="9"/>
      <x:c r="K66" s="12" t="str">
        <x:f>IF(A66="","",IF(ISNUMBER(H66),H66-'Tableau de bord'!$F$5,""))</x:f>
      </x:c>
      <x:c r="L66" s="12" t="str">
        <x:f>IF(A66="","",IF(ISNUMBER(H66),IF(K66&lt;0,"Expiré",IF(K66&lt;='Paramètres'!$E$6,"À renouveler","À jour")),"À compléter"))</x:f>
      </x:c>
      <x:c r="M66" s="9"/>
    </x:row>
    <x:row r="67" ht="23" customHeight="1">
      <x:c r="A67" s="9"/>
      <x:c r="B67" s="9"/>
      <x:c r="C67" s="9"/>
      <x:c r="D67" s="9"/>
      <x:c r="E67" s="9"/>
      <x:c r="F67" s="9"/>
      <x:c r="G67" s="11"/>
      <x:c r="H67" s="11"/>
      <x:c r="I67" s="9"/>
      <x:c r="J67" s="9"/>
      <x:c r="K67" s="12" t="str">
        <x:f>IF(A67="","",IF(ISNUMBER(H67),H67-'Tableau de bord'!$F$5,""))</x:f>
      </x:c>
      <x:c r="L67" s="12" t="str">
        <x:f>IF(A67="","",IF(ISNUMBER(H67),IF(K67&lt;0,"Expiré",IF(K67&lt;='Paramètres'!$E$6,"À renouveler","À jour")),"À compléter"))</x:f>
      </x:c>
      <x:c r="M67" s="9"/>
    </x:row>
    <x:row r="68" ht="23" customHeight="1">
      <x:c r="A68" s="9"/>
      <x:c r="B68" s="9"/>
      <x:c r="C68" s="9"/>
      <x:c r="D68" s="9"/>
      <x:c r="E68" s="9"/>
      <x:c r="F68" s="9"/>
      <x:c r="G68" s="11"/>
      <x:c r="H68" s="11"/>
      <x:c r="I68" s="9"/>
      <x:c r="J68" s="9"/>
      <x:c r="K68" s="12" t="str">
        <x:f>IF(A68="","",IF(ISNUMBER(H68),H68-'Tableau de bord'!$F$5,""))</x:f>
      </x:c>
      <x:c r="L68" s="12" t="str">
        <x:f>IF(A68="","",IF(ISNUMBER(H68),IF(K68&lt;0,"Expiré",IF(K68&lt;='Paramètres'!$E$6,"À renouveler","À jour")),"À compléter"))</x:f>
      </x:c>
      <x:c r="M68" s="9"/>
    </x:row>
    <x:row r="69" ht="23" customHeight="1">
      <x:c r="A69" s="9"/>
      <x:c r="B69" s="9"/>
      <x:c r="C69" s="9"/>
      <x:c r="D69" s="9"/>
      <x:c r="E69" s="9"/>
      <x:c r="F69" s="9"/>
      <x:c r="G69" s="11"/>
      <x:c r="H69" s="11"/>
      <x:c r="I69" s="9"/>
      <x:c r="J69" s="9"/>
      <x:c r="K69" s="12" t="str">
        <x:f>IF(A69="","",IF(ISNUMBER(H69),H69-'Tableau de bord'!$F$5,""))</x:f>
      </x:c>
      <x:c r="L69" s="12" t="str">
        <x:f>IF(A69="","",IF(ISNUMBER(H69),IF(K69&lt;0,"Expiré",IF(K69&lt;='Paramètres'!$E$6,"À renouveler","À jour")),"À compléter"))</x:f>
      </x:c>
      <x:c r="M69" s="9"/>
    </x:row>
    <x:row r="70" ht="23" customHeight="1">
      <x:c r="A70" s="9"/>
      <x:c r="B70" s="9"/>
      <x:c r="C70" s="9"/>
      <x:c r="D70" s="9"/>
      <x:c r="E70" s="9"/>
      <x:c r="F70" s="9"/>
      <x:c r="G70" s="11"/>
      <x:c r="H70" s="11"/>
      <x:c r="I70" s="9"/>
      <x:c r="J70" s="9"/>
      <x:c r="K70" s="12" t="str">
        <x:f>IF(A70="","",IF(ISNUMBER(H70),H70-'Tableau de bord'!$F$5,""))</x:f>
      </x:c>
      <x:c r="L70" s="12" t="str">
        <x:f>IF(A70="","",IF(ISNUMBER(H70),IF(K70&lt;0,"Expiré",IF(K70&lt;='Paramètres'!$E$6,"À renouveler","À jour")),"À compléter"))</x:f>
      </x:c>
      <x:c r="M70" s="9"/>
    </x:row>
    <x:row r="71" ht="23" customHeight="1">
      <x:c r="A71" s="9"/>
      <x:c r="B71" s="9"/>
      <x:c r="C71" s="9"/>
      <x:c r="D71" s="9"/>
      <x:c r="E71" s="9"/>
      <x:c r="F71" s="9"/>
      <x:c r="G71" s="11"/>
      <x:c r="H71" s="11"/>
      <x:c r="I71" s="9"/>
      <x:c r="J71" s="9"/>
      <x:c r="K71" s="12" t="str">
        <x:f>IF(A71="","",IF(ISNUMBER(H71),H71-'Tableau de bord'!$F$5,""))</x:f>
      </x:c>
      <x:c r="L71" s="12" t="str">
        <x:f>IF(A71="","",IF(ISNUMBER(H71),IF(K71&lt;0,"Expiré",IF(K71&lt;='Paramètres'!$E$6,"À renouveler","À jour")),"À compléter"))</x:f>
      </x:c>
      <x:c r="M71" s="9"/>
    </x:row>
    <x:row r="72" ht="23" customHeight="1">
      <x:c r="A72" s="9"/>
      <x:c r="B72" s="9"/>
      <x:c r="C72" s="9"/>
      <x:c r="D72" s="9"/>
      <x:c r="E72" s="9"/>
      <x:c r="F72" s="9"/>
      <x:c r="G72" s="11"/>
      <x:c r="H72" s="11"/>
      <x:c r="I72" s="9"/>
      <x:c r="J72" s="9"/>
      <x:c r="K72" s="12" t="str">
        <x:f>IF(A72="","",IF(ISNUMBER(H72),H72-'Tableau de bord'!$F$5,""))</x:f>
      </x:c>
      <x:c r="L72" s="12" t="str">
        <x:f>IF(A72="","",IF(ISNUMBER(H72),IF(K72&lt;0,"Expiré",IF(K72&lt;='Paramètres'!$E$6,"À renouveler","À jour")),"À compléter"))</x:f>
      </x:c>
      <x:c r="M72" s="9"/>
    </x:row>
    <x:row r="73" ht="23" customHeight="1">
      <x:c r="A73" s="9"/>
      <x:c r="B73" s="9"/>
      <x:c r="C73" s="9"/>
      <x:c r="D73" s="9"/>
      <x:c r="E73" s="9"/>
      <x:c r="F73" s="9"/>
      <x:c r="G73" s="11"/>
      <x:c r="H73" s="11"/>
      <x:c r="I73" s="9"/>
      <x:c r="J73" s="9"/>
      <x:c r="K73" s="12" t="str">
        <x:f>IF(A73="","",IF(ISNUMBER(H73),H73-'Tableau de bord'!$F$5,""))</x:f>
      </x:c>
      <x:c r="L73" s="12" t="str">
        <x:f>IF(A73="","",IF(ISNUMBER(H73),IF(K73&lt;0,"Expiré",IF(K73&lt;='Paramètres'!$E$6,"À renouveler","À jour")),"À compléter"))</x:f>
      </x:c>
      <x:c r="M73" s="9"/>
    </x:row>
    <x:row r="74" ht="23" customHeight="1">
      <x:c r="A74" s="9"/>
      <x:c r="B74" s="9"/>
      <x:c r="C74" s="9"/>
      <x:c r="D74" s="9"/>
      <x:c r="E74" s="9"/>
      <x:c r="F74" s="9"/>
      <x:c r="G74" s="11"/>
      <x:c r="H74" s="11"/>
      <x:c r="I74" s="9"/>
      <x:c r="J74" s="9"/>
      <x:c r="K74" s="12" t="str">
        <x:f>IF(A74="","",IF(ISNUMBER(H74),H74-'Tableau de bord'!$F$5,""))</x:f>
      </x:c>
      <x:c r="L74" s="12" t="str">
        <x:f>IF(A74="","",IF(ISNUMBER(H74),IF(K74&lt;0,"Expiré",IF(K74&lt;='Paramètres'!$E$6,"À renouveler","À jour")),"À compléter"))</x:f>
      </x:c>
      <x:c r="M74" s="9"/>
    </x:row>
    <x:row r="75" ht="23" customHeight="1">
      <x:c r="A75" s="9"/>
      <x:c r="B75" s="9"/>
      <x:c r="C75" s="9"/>
      <x:c r="D75" s="9"/>
      <x:c r="E75" s="9"/>
      <x:c r="F75" s="9"/>
      <x:c r="G75" s="11"/>
      <x:c r="H75" s="11"/>
      <x:c r="I75" s="9"/>
      <x:c r="J75" s="9"/>
      <x:c r="K75" s="12" t="str">
        <x:f>IF(A75="","",IF(ISNUMBER(H75),H75-'Tableau de bord'!$F$5,""))</x:f>
      </x:c>
      <x:c r="L75" s="12" t="str">
        <x:f>IF(A75="","",IF(ISNUMBER(H75),IF(K75&lt;0,"Expiré",IF(K75&lt;='Paramètres'!$E$6,"À renouveler","À jour")),"À compléter"))</x:f>
      </x:c>
      <x:c r="M75" s="9"/>
    </x:row>
    <x:row r="76" ht="23" customHeight="1">
      <x:c r="A76" s="9"/>
      <x:c r="B76" s="9"/>
      <x:c r="C76" s="9"/>
      <x:c r="D76" s="9"/>
      <x:c r="E76" s="9"/>
      <x:c r="F76" s="9"/>
      <x:c r="G76" s="11"/>
      <x:c r="H76" s="11"/>
      <x:c r="I76" s="9"/>
      <x:c r="J76" s="9"/>
      <x:c r="K76" s="12" t="str">
        <x:f>IF(A76="","",IF(ISNUMBER(H76),H76-'Tableau de bord'!$F$5,""))</x:f>
      </x:c>
      <x:c r="L76" s="12" t="str">
        <x:f>IF(A76="","",IF(ISNUMBER(H76),IF(K76&lt;0,"Expiré",IF(K76&lt;='Paramètres'!$E$6,"À renouveler","À jour")),"À compléter"))</x:f>
      </x:c>
      <x:c r="M76" s="9"/>
    </x:row>
    <x:row r="77" ht="23" customHeight="1">
      <x:c r="A77" s="9"/>
      <x:c r="B77" s="9"/>
      <x:c r="C77" s="9"/>
      <x:c r="D77" s="9"/>
      <x:c r="E77" s="9"/>
      <x:c r="F77" s="9"/>
      <x:c r="G77" s="11"/>
      <x:c r="H77" s="11"/>
      <x:c r="I77" s="9"/>
      <x:c r="J77" s="9"/>
      <x:c r="K77" s="12" t="str">
        <x:f>IF(A77="","",IF(ISNUMBER(H77),H77-'Tableau de bord'!$F$5,""))</x:f>
      </x:c>
      <x:c r="L77" s="12" t="str">
        <x:f>IF(A77="","",IF(ISNUMBER(H77),IF(K77&lt;0,"Expiré",IF(K77&lt;='Paramètres'!$E$6,"À renouveler","À jour")),"À compléter"))</x:f>
      </x:c>
      <x:c r="M77" s="9"/>
    </x:row>
    <x:row r="78" ht="23" customHeight="1">
      <x:c r="A78" s="9"/>
      <x:c r="B78" s="9"/>
      <x:c r="C78" s="9"/>
      <x:c r="D78" s="9"/>
      <x:c r="E78" s="9"/>
      <x:c r="F78" s="9"/>
      <x:c r="G78" s="11"/>
      <x:c r="H78" s="11"/>
      <x:c r="I78" s="9"/>
      <x:c r="J78" s="9"/>
      <x:c r="K78" s="12" t="str">
        <x:f>IF(A78="","",IF(ISNUMBER(H78),H78-'Tableau de bord'!$F$5,""))</x:f>
      </x:c>
      <x:c r="L78" s="12" t="str">
        <x:f>IF(A78="","",IF(ISNUMBER(H78),IF(K78&lt;0,"Expiré",IF(K78&lt;='Paramètres'!$E$6,"À renouveler","À jour")),"À compléter"))</x:f>
      </x:c>
      <x:c r="M78" s="9"/>
    </x:row>
    <x:row r="79" ht="23" customHeight="1">
      <x:c r="A79" s="9"/>
      <x:c r="B79" s="9"/>
      <x:c r="C79" s="9"/>
      <x:c r="D79" s="9"/>
      <x:c r="E79" s="9"/>
      <x:c r="F79" s="9"/>
      <x:c r="G79" s="11"/>
      <x:c r="H79" s="11"/>
      <x:c r="I79" s="9"/>
      <x:c r="J79" s="9"/>
      <x:c r="K79" s="12" t="str">
        <x:f>IF(A79="","",IF(ISNUMBER(H79),H79-'Tableau de bord'!$F$5,""))</x:f>
      </x:c>
      <x:c r="L79" s="12" t="str">
        <x:f>IF(A79="","",IF(ISNUMBER(H79),IF(K79&lt;0,"Expiré",IF(K79&lt;='Paramètres'!$E$6,"À renouveler","À jour")),"À compléter"))</x:f>
      </x:c>
      <x:c r="M79" s="9"/>
    </x:row>
    <x:row r="80" ht="23" customHeight="1">
      <x:c r="A80" s="9"/>
      <x:c r="B80" s="9"/>
      <x:c r="C80" s="9"/>
      <x:c r="D80" s="9"/>
      <x:c r="E80" s="9"/>
      <x:c r="F80" s="9"/>
      <x:c r="G80" s="11"/>
      <x:c r="H80" s="11"/>
      <x:c r="I80" s="9"/>
      <x:c r="J80" s="9"/>
      <x:c r="K80" s="12" t="str">
        <x:f>IF(A80="","",IF(ISNUMBER(H80),H80-'Tableau de bord'!$F$5,""))</x:f>
      </x:c>
      <x:c r="L80" s="12" t="str">
        <x:f>IF(A80="","",IF(ISNUMBER(H80),IF(K80&lt;0,"Expiré",IF(K80&lt;='Paramètres'!$E$6,"À renouveler","À jour")),"À compléter"))</x:f>
      </x:c>
      <x:c r="M80" s="9"/>
    </x:row>
    <x:row r="81" ht="23" customHeight="1">
      <x:c r="A81" s="9"/>
      <x:c r="B81" s="9"/>
      <x:c r="C81" s="9"/>
      <x:c r="D81" s="9"/>
      <x:c r="E81" s="9"/>
      <x:c r="F81" s="9"/>
      <x:c r="G81" s="11"/>
      <x:c r="H81" s="11"/>
      <x:c r="I81" s="9"/>
      <x:c r="J81" s="9"/>
      <x:c r="K81" s="12" t="str">
        <x:f>IF(A81="","",IF(ISNUMBER(H81),H81-'Tableau de bord'!$F$5,""))</x:f>
      </x:c>
      <x:c r="L81" s="12" t="str">
        <x:f>IF(A81="","",IF(ISNUMBER(H81),IF(K81&lt;0,"Expiré",IF(K81&lt;='Paramètres'!$E$6,"À renouveler","À jour")),"À compléter"))</x:f>
      </x:c>
      <x:c r="M81" s="9"/>
    </x:row>
    <x:row r="82" ht="23" customHeight="1">
      <x:c r="A82" s="9"/>
      <x:c r="B82" s="9"/>
      <x:c r="C82" s="9"/>
      <x:c r="D82" s="9"/>
      <x:c r="E82" s="9"/>
      <x:c r="F82" s="9"/>
      <x:c r="G82" s="11"/>
      <x:c r="H82" s="11"/>
      <x:c r="I82" s="9"/>
      <x:c r="J82" s="9"/>
      <x:c r="K82" s="12" t="str">
        <x:f>IF(A82="","",IF(ISNUMBER(H82),H82-'Tableau de bord'!$F$5,""))</x:f>
      </x:c>
      <x:c r="L82" s="12" t="str">
        <x:f>IF(A82="","",IF(ISNUMBER(H82),IF(K82&lt;0,"Expiré",IF(K82&lt;='Paramètres'!$E$6,"À renouveler","À jour")),"À compléter"))</x:f>
      </x:c>
      <x:c r="M82" s="9"/>
    </x:row>
    <x:row r="83" ht="23" customHeight="1">
      <x:c r="A83" s="9"/>
      <x:c r="B83" s="9"/>
      <x:c r="C83" s="9"/>
      <x:c r="D83" s="9"/>
      <x:c r="E83" s="9"/>
      <x:c r="F83" s="9"/>
      <x:c r="G83" s="11"/>
      <x:c r="H83" s="11"/>
      <x:c r="I83" s="9"/>
      <x:c r="J83" s="9"/>
      <x:c r="K83" s="12" t="str">
        <x:f>IF(A83="","",IF(ISNUMBER(H83),H83-'Tableau de bord'!$F$5,""))</x:f>
      </x:c>
      <x:c r="L83" s="12" t="str">
        <x:f>IF(A83="","",IF(ISNUMBER(H83),IF(K83&lt;0,"Expiré",IF(K83&lt;='Paramètres'!$E$6,"À renouveler","À jour")),"À compléter"))</x:f>
      </x:c>
      <x:c r="M83" s="9"/>
    </x:row>
    <x:row r="84" ht="23" customHeight="1">
      <x:c r="A84" s="9"/>
      <x:c r="B84" s="9"/>
      <x:c r="C84" s="9"/>
      <x:c r="D84" s="9"/>
      <x:c r="E84" s="9"/>
      <x:c r="F84" s="9"/>
      <x:c r="G84" s="11"/>
      <x:c r="H84" s="11"/>
      <x:c r="I84" s="9"/>
      <x:c r="J84" s="9"/>
      <x:c r="K84" s="12" t="str">
        <x:f>IF(A84="","",IF(ISNUMBER(H84),H84-'Tableau de bord'!$F$5,""))</x:f>
      </x:c>
      <x:c r="L84" s="12" t="str">
        <x:f>IF(A84="","",IF(ISNUMBER(H84),IF(K84&lt;0,"Expiré",IF(K84&lt;='Paramètres'!$E$6,"À renouveler","À jour")),"À compléter"))</x:f>
      </x:c>
      <x:c r="M84" s="9"/>
    </x:row>
    <x:row r="85" ht="23" customHeight="1">
      <x:c r="A85" s="9"/>
      <x:c r="B85" s="9"/>
      <x:c r="C85" s="9"/>
      <x:c r="D85" s="9"/>
      <x:c r="E85" s="9"/>
      <x:c r="F85" s="9"/>
      <x:c r="G85" s="11"/>
      <x:c r="H85" s="11"/>
      <x:c r="I85" s="9"/>
      <x:c r="J85" s="9"/>
      <x:c r="K85" s="12" t="str">
        <x:f>IF(A85="","",IF(ISNUMBER(H85),H85-'Tableau de bord'!$F$5,""))</x:f>
      </x:c>
      <x:c r="L85" s="12" t="str">
        <x:f>IF(A85="","",IF(ISNUMBER(H85),IF(K85&lt;0,"Expiré",IF(K85&lt;='Paramètres'!$E$6,"À renouveler","À jour")),"À compléter"))</x:f>
      </x:c>
      <x:c r="M85" s="9"/>
    </x:row>
    <x:row r="86" ht="23" customHeight="1">
      <x:c r="A86" s="9"/>
      <x:c r="B86" s="9"/>
      <x:c r="C86" s="9"/>
      <x:c r="D86" s="9"/>
      <x:c r="E86" s="9"/>
      <x:c r="F86" s="9"/>
      <x:c r="G86" s="11"/>
      <x:c r="H86" s="11"/>
      <x:c r="I86" s="9"/>
      <x:c r="J86" s="9"/>
      <x:c r="K86" s="12" t="str">
        <x:f>IF(A86="","",IF(ISNUMBER(H86),H86-'Tableau de bord'!$F$5,""))</x:f>
      </x:c>
      <x:c r="L86" s="12" t="str">
        <x:f>IF(A86="","",IF(ISNUMBER(H86),IF(K86&lt;0,"Expiré",IF(K86&lt;='Paramètres'!$E$6,"À renouveler","À jour")),"À compléter"))</x:f>
      </x:c>
      <x:c r="M86" s="9"/>
    </x:row>
    <x:row r="87" ht="23" customHeight="1">
      <x:c r="A87" s="9"/>
      <x:c r="B87" s="9"/>
      <x:c r="C87" s="9"/>
      <x:c r="D87" s="9"/>
      <x:c r="E87" s="9"/>
      <x:c r="F87" s="9"/>
      <x:c r="G87" s="11"/>
      <x:c r="H87" s="11"/>
      <x:c r="I87" s="9"/>
      <x:c r="J87" s="9"/>
      <x:c r="K87" s="12" t="str">
        <x:f>IF(A87="","",IF(ISNUMBER(H87),H87-'Tableau de bord'!$F$5,""))</x:f>
      </x:c>
      <x:c r="L87" s="12" t="str">
        <x:f>IF(A87="","",IF(ISNUMBER(H87),IF(K87&lt;0,"Expiré",IF(K87&lt;='Paramètres'!$E$6,"À renouveler","À jour")),"À compléter"))</x:f>
      </x:c>
      <x:c r="M87" s="9"/>
    </x:row>
    <x:row r="88" ht="23" customHeight="1">
      <x:c r="A88" s="9"/>
      <x:c r="B88" s="9"/>
      <x:c r="C88" s="9"/>
      <x:c r="D88" s="9"/>
      <x:c r="E88" s="9"/>
      <x:c r="F88" s="9"/>
      <x:c r="G88" s="11"/>
      <x:c r="H88" s="11"/>
      <x:c r="I88" s="9"/>
      <x:c r="J88" s="9"/>
      <x:c r="K88" s="12" t="str">
        <x:f>IF(A88="","",IF(ISNUMBER(H88),H88-'Tableau de bord'!$F$5,""))</x:f>
      </x:c>
      <x:c r="L88" s="12" t="str">
        <x:f>IF(A88="","",IF(ISNUMBER(H88),IF(K88&lt;0,"Expiré",IF(K88&lt;='Paramètres'!$E$6,"À renouveler","À jour")),"À compléter"))</x:f>
      </x:c>
      <x:c r="M88" s="9"/>
    </x:row>
    <x:row r="89" ht="23" customHeight="1">
      <x:c r="A89" s="9"/>
      <x:c r="B89" s="9"/>
      <x:c r="C89" s="9"/>
      <x:c r="D89" s="9"/>
      <x:c r="E89" s="9"/>
      <x:c r="F89" s="9"/>
      <x:c r="G89" s="11"/>
      <x:c r="H89" s="11"/>
      <x:c r="I89" s="9"/>
      <x:c r="J89" s="9"/>
      <x:c r="K89" s="12" t="str">
        <x:f>IF(A89="","",IF(ISNUMBER(H89),H89-'Tableau de bord'!$F$5,""))</x:f>
      </x:c>
      <x:c r="L89" s="12" t="str">
        <x:f>IF(A89="","",IF(ISNUMBER(H89),IF(K89&lt;0,"Expiré",IF(K89&lt;='Paramètres'!$E$6,"À renouveler","À jour")),"À compléter"))</x:f>
      </x:c>
      <x:c r="M89" s="9"/>
    </x:row>
    <x:row r="90" ht="23" customHeight="1">
      <x:c r="A90" s="9"/>
      <x:c r="B90" s="9"/>
      <x:c r="C90" s="9"/>
      <x:c r="D90" s="9"/>
      <x:c r="E90" s="9"/>
      <x:c r="F90" s="9"/>
      <x:c r="G90" s="11"/>
      <x:c r="H90" s="11"/>
      <x:c r="I90" s="9"/>
      <x:c r="J90" s="9"/>
      <x:c r="K90" s="12" t="str">
        <x:f>IF(A90="","",IF(ISNUMBER(H90),H90-'Tableau de bord'!$F$5,""))</x:f>
      </x:c>
      <x:c r="L90" s="12" t="str">
        <x:f>IF(A90="","",IF(ISNUMBER(H90),IF(K90&lt;0,"Expiré",IF(K90&lt;='Paramètres'!$E$6,"À renouveler","À jour")),"À compléter"))</x:f>
      </x:c>
      <x:c r="M90" s="9"/>
    </x:row>
    <x:row r="91" ht="23" customHeight="1">
      <x:c r="A91" s="9"/>
      <x:c r="B91" s="9"/>
      <x:c r="C91" s="9"/>
      <x:c r="D91" s="9"/>
      <x:c r="E91" s="9"/>
      <x:c r="F91" s="9"/>
      <x:c r="G91" s="11"/>
      <x:c r="H91" s="11"/>
      <x:c r="I91" s="9"/>
      <x:c r="J91" s="9"/>
      <x:c r="K91" s="12" t="str">
        <x:f>IF(A91="","",IF(ISNUMBER(H91),H91-'Tableau de bord'!$F$5,""))</x:f>
      </x:c>
      <x:c r="L91" s="12" t="str">
        <x:f>IF(A91="","",IF(ISNUMBER(H91),IF(K91&lt;0,"Expiré",IF(K91&lt;='Paramètres'!$E$6,"À renouveler","À jour")),"À compléter"))</x:f>
      </x:c>
      <x:c r="M91" s="9"/>
    </x:row>
    <x:row r="92" ht="23" customHeight="1">
      <x:c r="A92" s="9"/>
      <x:c r="B92" s="9"/>
      <x:c r="C92" s="9"/>
      <x:c r="D92" s="9"/>
      <x:c r="E92" s="9"/>
      <x:c r="F92" s="9"/>
      <x:c r="G92" s="11"/>
      <x:c r="H92" s="11"/>
      <x:c r="I92" s="9"/>
      <x:c r="J92" s="9"/>
      <x:c r="K92" s="12" t="str">
        <x:f>IF(A92="","",IF(ISNUMBER(H92),H92-'Tableau de bord'!$F$5,""))</x:f>
      </x:c>
      <x:c r="L92" s="12" t="str">
        <x:f>IF(A92="","",IF(ISNUMBER(H92),IF(K92&lt;0,"Expiré",IF(K92&lt;='Paramètres'!$E$6,"À renouveler","À jour")),"À compléter"))</x:f>
      </x:c>
      <x:c r="M92" s="9"/>
    </x:row>
    <x:row r="93" ht="23" customHeight="1">
      <x:c r="A93" s="9"/>
      <x:c r="B93" s="9"/>
      <x:c r="C93" s="9"/>
      <x:c r="D93" s="9"/>
      <x:c r="E93" s="9"/>
      <x:c r="F93" s="9"/>
      <x:c r="G93" s="11"/>
      <x:c r="H93" s="11"/>
      <x:c r="I93" s="9"/>
      <x:c r="J93" s="9"/>
      <x:c r="K93" s="12" t="str">
        <x:f>IF(A93="","",IF(ISNUMBER(H93),H93-'Tableau de bord'!$F$5,""))</x:f>
      </x:c>
      <x:c r="L93" s="12" t="str">
        <x:f>IF(A93="","",IF(ISNUMBER(H93),IF(K93&lt;0,"Expiré",IF(K93&lt;='Paramètres'!$E$6,"À renouveler","À jour")),"À compléter"))</x:f>
      </x:c>
      <x:c r="M93" s="9"/>
    </x:row>
    <x:row r="94" ht="23" customHeight="1">
      <x:c r="A94" s="9"/>
      <x:c r="B94" s="9"/>
      <x:c r="C94" s="9"/>
      <x:c r="D94" s="9"/>
      <x:c r="E94" s="9"/>
      <x:c r="F94" s="9"/>
      <x:c r="G94" s="11"/>
      <x:c r="H94" s="11"/>
      <x:c r="I94" s="9"/>
      <x:c r="J94" s="9"/>
      <x:c r="K94" s="12" t="str">
        <x:f>IF(A94="","",IF(ISNUMBER(H94),H94-'Tableau de bord'!$F$5,""))</x:f>
      </x:c>
      <x:c r="L94" s="12" t="str">
        <x:f>IF(A94="","",IF(ISNUMBER(H94),IF(K94&lt;0,"Expiré",IF(K94&lt;='Paramètres'!$E$6,"À renouveler","À jour")),"À compléter"))</x:f>
      </x:c>
      <x:c r="M94" s="9"/>
    </x:row>
    <x:row r="95" ht="23" customHeight="1">
      <x:c r="A95" s="9"/>
      <x:c r="B95" s="9"/>
      <x:c r="C95" s="9"/>
      <x:c r="D95" s="9"/>
      <x:c r="E95" s="9"/>
      <x:c r="F95" s="9"/>
      <x:c r="G95" s="11"/>
      <x:c r="H95" s="11"/>
      <x:c r="I95" s="9"/>
      <x:c r="J95" s="9"/>
      <x:c r="K95" s="12" t="str">
        <x:f>IF(A95="","",IF(ISNUMBER(H95),H95-'Tableau de bord'!$F$5,""))</x:f>
      </x:c>
      <x:c r="L95" s="12" t="str">
        <x:f>IF(A95="","",IF(ISNUMBER(H95),IF(K95&lt;0,"Expiré",IF(K95&lt;='Paramètres'!$E$6,"À renouveler","À jour")),"À compléter"))</x:f>
      </x:c>
      <x:c r="M95" s="9"/>
    </x:row>
    <x:row r="96" ht="23" customHeight="1">
      <x:c r="A96" s="9"/>
      <x:c r="B96" s="9"/>
      <x:c r="C96" s="9"/>
      <x:c r="D96" s="9"/>
      <x:c r="E96" s="9"/>
      <x:c r="F96" s="9"/>
      <x:c r="G96" s="11"/>
      <x:c r="H96" s="11"/>
      <x:c r="I96" s="9"/>
      <x:c r="J96" s="9"/>
      <x:c r="K96" s="12" t="str">
        <x:f>IF(A96="","",IF(ISNUMBER(H96),H96-'Tableau de bord'!$F$5,""))</x:f>
      </x:c>
      <x:c r="L96" s="12" t="str">
        <x:f>IF(A96="","",IF(ISNUMBER(H96),IF(K96&lt;0,"Expiré",IF(K96&lt;='Paramètres'!$E$6,"À renouveler","À jour")),"À compléter"))</x:f>
      </x:c>
      <x:c r="M96" s="9"/>
    </x:row>
    <x:row r="97" ht="23" customHeight="1">
      <x:c r="A97" s="9"/>
      <x:c r="B97" s="9"/>
      <x:c r="C97" s="9"/>
      <x:c r="D97" s="9"/>
      <x:c r="E97" s="9"/>
      <x:c r="F97" s="9"/>
      <x:c r="G97" s="11"/>
      <x:c r="H97" s="11"/>
      <x:c r="I97" s="9"/>
      <x:c r="J97" s="9"/>
      <x:c r="K97" s="12" t="str">
        <x:f>IF(A97="","",IF(ISNUMBER(H97),H97-'Tableau de bord'!$F$5,""))</x:f>
      </x:c>
      <x:c r="L97" s="12" t="str">
        <x:f>IF(A97="","",IF(ISNUMBER(H97),IF(K97&lt;0,"Expiré",IF(K97&lt;='Paramètres'!$E$6,"À renouveler","À jour")),"À compléter"))</x:f>
      </x:c>
      <x:c r="M97" s="9"/>
    </x:row>
    <x:row r="98" ht="23" customHeight="1">
      <x:c r="A98" s="9"/>
      <x:c r="B98" s="9"/>
      <x:c r="C98" s="9"/>
      <x:c r="D98" s="9"/>
      <x:c r="E98" s="9"/>
      <x:c r="F98" s="9"/>
      <x:c r="G98" s="11"/>
      <x:c r="H98" s="11"/>
      <x:c r="I98" s="9"/>
      <x:c r="J98" s="9"/>
      <x:c r="K98" s="12" t="str">
        <x:f>IF(A98="","",IF(ISNUMBER(H98),H98-'Tableau de bord'!$F$5,""))</x:f>
      </x:c>
      <x:c r="L98" s="12" t="str">
        <x:f>IF(A98="","",IF(ISNUMBER(H98),IF(K98&lt;0,"Expiré",IF(K98&lt;='Paramètres'!$E$6,"À renouveler","À jour")),"À compléter"))</x:f>
      </x:c>
      <x:c r="M98" s="9"/>
    </x:row>
    <x:row r="99" ht="23" customHeight="1">
      <x:c r="A99" s="9"/>
      <x:c r="B99" s="9"/>
      <x:c r="C99" s="9"/>
      <x:c r="D99" s="9"/>
      <x:c r="E99" s="9"/>
      <x:c r="F99" s="9"/>
      <x:c r="G99" s="11"/>
      <x:c r="H99" s="11"/>
      <x:c r="I99" s="9"/>
      <x:c r="J99" s="9"/>
      <x:c r="K99" s="12" t="str">
        <x:f>IF(A99="","",IF(ISNUMBER(H99),H99-'Tableau de bord'!$F$5,""))</x:f>
      </x:c>
      <x:c r="L99" s="12" t="str">
        <x:f>IF(A99="","",IF(ISNUMBER(H99),IF(K99&lt;0,"Expiré",IF(K99&lt;='Paramètres'!$E$6,"À renouveler","À jour")),"À compléter"))</x:f>
      </x:c>
      <x:c r="M99" s="9"/>
    </x:row>
    <x:row r="100" ht="23" customHeight="1">
      <x:c r="A100" s="9"/>
      <x:c r="B100" s="9"/>
      <x:c r="C100" s="9"/>
      <x:c r="D100" s="9"/>
      <x:c r="E100" s="9"/>
      <x:c r="F100" s="9"/>
      <x:c r="G100" s="11"/>
      <x:c r="H100" s="11"/>
      <x:c r="I100" s="9"/>
      <x:c r="J100" s="9"/>
      <x:c r="K100" s="12" t="str">
        <x:f>IF(A100="","",IF(ISNUMBER(H100),H100-'Tableau de bord'!$F$5,""))</x:f>
      </x:c>
      <x:c r="L100" s="12" t="str">
        <x:f>IF(A100="","",IF(ISNUMBER(H100),IF(K100&lt;0,"Expiré",IF(K100&lt;='Paramètres'!$E$6,"À renouveler","À jour")),"À compléter"))</x:f>
      </x:c>
      <x:c r="M100" s="9"/>
    </x:row>
    <x:row r="101" ht="23" customHeight="1">
      <x:c r="A101" s="9"/>
      <x:c r="B101" s="9"/>
      <x:c r="C101" s="9"/>
      <x:c r="D101" s="9"/>
      <x:c r="E101" s="9"/>
      <x:c r="F101" s="9"/>
      <x:c r="G101" s="11"/>
      <x:c r="H101" s="11"/>
      <x:c r="I101" s="9"/>
      <x:c r="J101" s="9"/>
      <x:c r="K101" s="12" t="str">
        <x:f>IF(A101="","",IF(ISNUMBER(H101),H101-'Tableau de bord'!$F$5,""))</x:f>
      </x:c>
      <x:c r="L101" s="12" t="str">
        <x:f>IF(A101="","",IF(ISNUMBER(H101),IF(K101&lt;0,"Expiré",IF(K101&lt;='Paramètres'!$E$6,"À renouveler","À jour")),"À compléter"))</x:f>
      </x:c>
      <x:c r="M101" s="9"/>
    </x:row>
    <x:row r="102" ht="23" customHeight="1">
      <x:c r="A102" s="9"/>
      <x:c r="B102" s="9"/>
      <x:c r="C102" s="9"/>
      <x:c r="D102" s="9"/>
      <x:c r="E102" s="9"/>
      <x:c r="F102" s="9"/>
      <x:c r="G102" s="11"/>
      <x:c r="H102" s="11"/>
      <x:c r="I102" s="9"/>
      <x:c r="J102" s="9"/>
      <x:c r="K102" s="12" t="str">
        <x:f>IF(A102="","",IF(ISNUMBER(H102),H102-'Tableau de bord'!$F$5,""))</x:f>
      </x:c>
      <x:c r="L102" s="12" t="str">
        <x:f>IF(A102="","",IF(ISNUMBER(H102),IF(K102&lt;0,"Expiré",IF(K102&lt;='Paramètres'!$E$6,"À renouveler","À jour")),"À compléter"))</x:f>
      </x:c>
      <x:c r="M102" s="9"/>
    </x:row>
    <x:row r="103" ht="23" customHeight="1">
      <x:c r="A103" s="9"/>
      <x:c r="B103" s="9"/>
      <x:c r="C103" s="9"/>
      <x:c r="D103" s="9"/>
      <x:c r="E103" s="9"/>
      <x:c r="F103" s="9"/>
      <x:c r="G103" s="11"/>
      <x:c r="H103" s="11"/>
      <x:c r="I103" s="9"/>
      <x:c r="J103" s="9"/>
      <x:c r="K103" s="12" t="str">
        <x:f>IF(A103="","",IF(ISNUMBER(H103),H103-'Tableau de bord'!$F$5,""))</x:f>
      </x:c>
      <x:c r="L103" s="12" t="str">
        <x:f>IF(A103="","",IF(ISNUMBER(H103),IF(K103&lt;0,"Expiré",IF(K103&lt;='Paramètres'!$E$6,"À renouveler","À jour")),"À compléter"))</x:f>
      </x:c>
      <x:c r="M103" s="9"/>
    </x:row>
    <x:row r="104" ht="23" customHeight="1">
      <x:c r="A104" s="9"/>
      <x:c r="B104" s="9"/>
      <x:c r="C104" s="9"/>
      <x:c r="D104" s="9"/>
      <x:c r="E104" s="9"/>
      <x:c r="F104" s="9"/>
      <x:c r="G104" s="11"/>
      <x:c r="H104" s="11"/>
      <x:c r="I104" s="9"/>
      <x:c r="J104" s="9"/>
      <x:c r="K104" s="12" t="str">
        <x:f>IF(A104="","",IF(ISNUMBER(H104),H104-'Tableau de bord'!$F$5,""))</x:f>
      </x:c>
      <x:c r="L104" s="12" t="str">
        <x:f>IF(A104="","",IF(ISNUMBER(H104),IF(K104&lt;0,"Expiré",IF(K104&lt;='Paramètres'!$E$6,"À renouveler","À jour")),"À compléter"))</x:f>
      </x:c>
      <x:c r="M104" s="9"/>
    </x:row>
    <x:row r="105" ht="23" customHeight="1">
      <x:c r="A105" s="9"/>
      <x:c r="B105" s="9"/>
      <x:c r="C105" s="9"/>
      <x:c r="D105" s="9"/>
      <x:c r="E105" s="9"/>
      <x:c r="F105" s="9"/>
      <x:c r="G105" s="11"/>
      <x:c r="H105" s="11"/>
      <x:c r="I105" s="9"/>
      <x:c r="J105" s="9"/>
      <x:c r="K105" s="12" t="str">
        <x:f>IF(A105="","",IF(ISNUMBER(H105),H105-'Tableau de bord'!$F$5,""))</x:f>
      </x:c>
      <x:c r="L105" s="12" t="str">
        <x:f>IF(A105="","",IF(ISNUMBER(H105),IF(K105&lt;0,"Expiré",IF(K105&lt;='Paramètres'!$E$6,"À renouveler","À jour")),"À compléter"))</x:f>
      </x:c>
      <x:c r="M105" s="9"/>
    </x:row>
    <x:row r="106" ht="23" customHeight="1">
      <x:c r="A106" s="9"/>
      <x:c r="B106" s="9"/>
      <x:c r="C106" s="9"/>
      <x:c r="D106" s="9"/>
      <x:c r="E106" s="9"/>
      <x:c r="F106" s="9"/>
      <x:c r="G106" s="11"/>
      <x:c r="H106" s="11"/>
      <x:c r="I106" s="9"/>
      <x:c r="J106" s="9"/>
      <x:c r="K106" s="12" t="str">
        <x:f>IF(A106="","",IF(ISNUMBER(H106),H106-'Tableau de bord'!$F$5,""))</x:f>
      </x:c>
      <x:c r="L106" s="12" t="str">
        <x:f>IF(A106="","",IF(ISNUMBER(H106),IF(K106&lt;0,"Expiré",IF(K106&lt;='Paramètres'!$E$6,"À renouveler","À jour")),"À compléter"))</x:f>
      </x:c>
      <x:c r="M106" s="9"/>
    </x:row>
    <x:row r="107" ht="23" customHeight="1">
      <x:c r="A107" s="9"/>
      <x:c r="B107" s="9"/>
      <x:c r="C107" s="9"/>
      <x:c r="D107" s="9"/>
      <x:c r="E107" s="9"/>
      <x:c r="F107" s="9"/>
      <x:c r="G107" s="11"/>
      <x:c r="H107" s="11"/>
      <x:c r="I107" s="9"/>
      <x:c r="J107" s="9"/>
      <x:c r="K107" s="12" t="str">
        <x:f>IF(A107="","",IF(ISNUMBER(H107),H107-'Tableau de bord'!$F$5,""))</x:f>
      </x:c>
      <x:c r="L107" s="12" t="str">
        <x:f>IF(A107="","",IF(ISNUMBER(H107),IF(K107&lt;0,"Expiré",IF(K107&lt;='Paramètres'!$E$6,"À renouveler","À jour")),"À compléter"))</x:f>
      </x:c>
      <x:c r="M107" s="9"/>
    </x:row>
    <x:row r="108" ht="23" customHeight="1">
      <x:c r="A108" s="9"/>
      <x:c r="B108" s="9"/>
      <x:c r="C108" s="9"/>
      <x:c r="D108" s="9"/>
      <x:c r="E108" s="9"/>
      <x:c r="F108" s="9"/>
      <x:c r="G108" s="11"/>
      <x:c r="H108" s="11"/>
      <x:c r="I108" s="9"/>
      <x:c r="J108" s="9"/>
      <x:c r="K108" s="12" t="str">
        <x:f>IF(A108="","",IF(ISNUMBER(H108),H108-'Tableau de bord'!$F$5,""))</x:f>
      </x:c>
      <x:c r="L108" s="12" t="str">
        <x:f>IF(A108="","",IF(ISNUMBER(H108),IF(K108&lt;0,"Expiré",IF(K108&lt;='Paramètres'!$E$6,"À renouveler","À jour")),"À compléter"))</x:f>
      </x:c>
      <x:c r="M108" s="9"/>
    </x:row>
    <x:row r="109" ht="23" customHeight="1">
      <x:c r="A109" s="9"/>
      <x:c r="B109" s="9"/>
      <x:c r="C109" s="9"/>
      <x:c r="D109" s="9"/>
      <x:c r="E109" s="9"/>
      <x:c r="F109" s="9"/>
      <x:c r="G109" s="11"/>
      <x:c r="H109" s="11"/>
      <x:c r="I109" s="9"/>
      <x:c r="J109" s="9"/>
      <x:c r="K109" s="12" t="str">
        <x:f>IF(A109="","",IF(ISNUMBER(H109),H109-'Tableau de bord'!$F$5,""))</x:f>
      </x:c>
      <x:c r="L109" s="12" t="str">
        <x:f>IF(A109="","",IF(ISNUMBER(H109),IF(K109&lt;0,"Expiré",IF(K109&lt;='Paramètres'!$E$6,"À renouveler","À jour")),"À compléter"))</x:f>
      </x:c>
      <x:c r="M109" s="9"/>
    </x:row>
    <x:row r="110" ht="23" customHeight="1">
      <x:c r="A110" s="9"/>
      <x:c r="B110" s="9"/>
      <x:c r="C110" s="9"/>
      <x:c r="D110" s="9"/>
      <x:c r="E110" s="9"/>
      <x:c r="F110" s="9"/>
      <x:c r="G110" s="11"/>
      <x:c r="H110" s="11"/>
      <x:c r="I110" s="9"/>
      <x:c r="J110" s="9"/>
      <x:c r="K110" s="12" t="str">
        <x:f>IF(A110="","",IF(ISNUMBER(H110),H110-'Tableau de bord'!$F$5,""))</x:f>
      </x:c>
      <x:c r="L110" s="12" t="str">
        <x:f>IF(A110="","",IF(ISNUMBER(H110),IF(K110&lt;0,"Expiré",IF(K110&lt;='Paramètres'!$E$6,"À renouveler","À jour")),"À compléter"))</x:f>
      </x:c>
      <x:c r="M110" s="9"/>
    </x:row>
    <x:row r="111" ht="23" customHeight="1">
      <x:c r="A111" s="9"/>
      <x:c r="B111" s="9"/>
      <x:c r="C111" s="9"/>
      <x:c r="D111" s="9"/>
      <x:c r="E111" s="9"/>
      <x:c r="F111" s="9"/>
      <x:c r="G111" s="11"/>
      <x:c r="H111" s="11"/>
      <x:c r="I111" s="9"/>
      <x:c r="J111" s="9"/>
      <x:c r="K111" s="12" t="str">
        <x:f>IF(A111="","",IF(ISNUMBER(H111),H111-'Tableau de bord'!$F$5,""))</x:f>
      </x:c>
      <x:c r="L111" s="12" t="str">
        <x:f>IF(A111="","",IF(ISNUMBER(H111),IF(K111&lt;0,"Expiré",IF(K111&lt;='Paramètres'!$E$6,"À renouveler","À jour")),"À compléter"))</x:f>
      </x:c>
      <x:c r="M111" s="9"/>
    </x:row>
    <x:row r="112" ht="23" customHeight="1">
      <x:c r="A112" s="9"/>
      <x:c r="B112" s="9"/>
      <x:c r="C112" s="9"/>
      <x:c r="D112" s="9"/>
      <x:c r="E112" s="9"/>
      <x:c r="F112" s="9"/>
      <x:c r="G112" s="11"/>
      <x:c r="H112" s="11"/>
      <x:c r="I112" s="9"/>
      <x:c r="J112" s="9"/>
      <x:c r="K112" s="12" t="str">
        <x:f>IF(A112="","",IF(ISNUMBER(H112),H112-'Tableau de bord'!$F$5,""))</x:f>
      </x:c>
      <x:c r="L112" s="12" t="str">
        <x:f>IF(A112="","",IF(ISNUMBER(H112),IF(K112&lt;0,"Expiré",IF(K112&lt;='Paramètres'!$E$6,"À renouveler","À jour")),"À compléter"))</x:f>
      </x:c>
      <x:c r="M112" s="9"/>
    </x:row>
    <x:row r="113" ht="23" customHeight="1">
      <x:c r="A113" s="9"/>
      <x:c r="B113" s="9"/>
      <x:c r="C113" s="9"/>
      <x:c r="D113" s="9"/>
      <x:c r="E113" s="9"/>
      <x:c r="F113" s="9"/>
      <x:c r="G113" s="11"/>
      <x:c r="H113" s="11"/>
      <x:c r="I113" s="9"/>
      <x:c r="J113" s="9"/>
      <x:c r="K113" s="12" t="str">
        <x:f>IF(A113="","",IF(ISNUMBER(H113),H113-'Tableau de bord'!$F$5,""))</x:f>
      </x:c>
      <x:c r="L113" s="12" t="str">
        <x:f>IF(A113="","",IF(ISNUMBER(H113),IF(K113&lt;0,"Expiré",IF(K113&lt;='Paramètres'!$E$6,"À renouveler","À jour")),"À compléter"))</x:f>
      </x:c>
      <x:c r="M113" s="9"/>
    </x:row>
    <x:row r="114" ht="23" customHeight="1">
      <x:c r="A114" s="9"/>
      <x:c r="B114" s="9"/>
      <x:c r="C114" s="9"/>
      <x:c r="D114" s="9"/>
      <x:c r="E114" s="9"/>
      <x:c r="F114" s="9"/>
      <x:c r="G114" s="11"/>
      <x:c r="H114" s="11"/>
      <x:c r="I114" s="9"/>
      <x:c r="J114" s="9"/>
      <x:c r="K114" s="12" t="str">
        <x:f>IF(A114="","",IF(ISNUMBER(H114),H114-'Tableau de bord'!$F$5,""))</x:f>
      </x:c>
      <x:c r="L114" s="12" t="str">
        <x:f>IF(A114="","",IF(ISNUMBER(H114),IF(K114&lt;0,"Expiré",IF(K114&lt;='Paramètres'!$E$6,"À renouveler","À jour")),"À compléter"))</x:f>
      </x:c>
      <x:c r="M114" s="9"/>
    </x:row>
    <x:row r="115" ht="23" customHeight="1">
      <x:c r="A115" s="9"/>
      <x:c r="B115" s="9"/>
      <x:c r="C115" s="9"/>
      <x:c r="D115" s="9"/>
      <x:c r="E115" s="9"/>
      <x:c r="F115" s="9"/>
      <x:c r="G115" s="11"/>
      <x:c r="H115" s="11"/>
      <x:c r="I115" s="9"/>
      <x:c r="J115" s="9"/>
      <x:c r="K115" s="12" t="str">
        <x:f>IF(A115="","",IF(ISNUMBER(H115),H115-'Tableau de bord'!$F$5,""))</x:f>
      </x:c>
      <x:c r="L115" s="12" t="str">
        <x:f>IF(A115="","",IF(ISNUMBER(H115),IF(K115&lt;0,"Expiré",IF(K115&lt;='Paramètres'!$E$6,"À renouveler","À jour")),"À compléter"))</x:f>
      </x:c>
      <x:c r="M115" s="9"/>
    </x:row>
    <x:row r="116" ht="23" customHeight="1">
      <x:c r="A116" s="9"/>
      <x:c r="B116" s="9"/>
      <x:c r="C116" s="9"/>
      <x:c r="D116" s="9"/>
      <x:c r="E116" s="9"/>
      <x:c r="F116" s="9"/>
      <x:c r="G116" s="11"/>
      <x:c r="H116" s="11"/>
      <x:c r="I116" s="9"/>
      <x:c r="J116" s="9"/>
      <x:c r="K116" s="12" t="str">
        <x:f>IF(A116="","",IF(ISNUMBER(H116),H116-'Tableau de bord'!$F$5,""))</x:f>
      </x:c>
      <x:c r="L116" s="12" t="str">
        <x:f>IF(A116="","",IF(ISNUMBER(H116),IF(K116&lt;0,"Expiré",IF(K116&lt;='Paramètres'!$E$6,"À renouveler","À jour")),"À compléter"))</x:f>
      </x:c>
      <x:c r="M116" s="9"/>
    </x:row>
    <x:row r="117" ht="23" customHeight="1">
      <x:c r="A117" s="9"/>
      <x:c r="B117" s="9"/>
      <x:c r="C117" s="9"/>
      <x:c r="D117" s="9"/>
      <x:c r="E117" s="9"/>
      <x:c r="F117" s="9"/>
      <x:c r="G117" s="11"/>
      <x:c r="H117" s="11"/>
      <x:c r="I117" s="9"/>
      <x:c r="J117" s="9"/>
      <x:c r="K117" s="12" t="str">
        <x:f>IF(A117="","",IF(ISNUMBER(H117),H117-'Tableau de bord'!$F$5,""))</x:f>
      </x:c>
      <x:c r="L117" s="12" t="str">
        <x:f>IF(A117="","",IF(ISNUMBER(H117),IF(K117&lt;0,"Expiré",IF(K117&lt;='Paramètres'!$E$6,"À renouveler","À jour")),"À compléter"))</x:f>
      </x:c>
      <x:c r="M117" s="9"/>
    </x:row>
    <x:row r="118" ht="23" customHeight="1">
      <x:c r="A118" s="9"/>
      <x:c r="B118" s="9"/>
      <x:c r="C118" s="9"/>
      <x:c r="D118" s="9"/>
      <x:c r="E118" s="9"/>
      <x:c r="F118" s="9"/>
      <x:c r="G118" s="11"/>
      <x:c r="H118" s="11"/>
      <x:c r="I118" s="9"/>
      <x:c r="J118" s="9"/>
      <x:c r="K118" s="12" t="str">
        <x:f>IF(A118="","",IF(ISNUMBER(H118),H118-'Tableau de bord'!$F$5,""))</x:f>
      </x:c>
      <x:c r="L118" s="12" t="str">
        <x:f>IF(A118="","",IF(ISNUMBER(H118),IF(K118&lt;0,"Expiré",IF(K118&lt;='Paramètres'!$E$6,"À renouveler","À jour")),"À compléter"))</x:f>
      </x:c>
      <x:c r="M118" s="9"/>
    </x:row>
    <x:row r="119" ht="23" customHeight="1">
      <x:c r="A119" s="9"/>
      <x:c r="B119" s="9"/>
      <x:c r="C119" s="9"/>
      <x:c r="D119" s="9"/>
      <x:c r="E119" s="9"/>
      <x:c r="F119" s="9"/>
      <x:c r="G119" s="11"/>
      <x:c r="H119" s="11"/>
      <x:c r="I119" s="9"/>
      <x:c r="J119" s="9"/>
      <x:c r="K119" s="12" t="str">
        <x:f>IF(A119="","",IF(ISNUMBER(H119),H119-'Tableau de bord'!$F$5,""))</x:f>
      </x:c>
      <x:c r="L119" s="12" t="str">
        <x:f>IF(A119="","",IF(ISNUMBER(H119),IF(K119&lt;0,"Expiré",IF(K119&lt;='Paramètres'!$E$6,"À renouveler","À jour")),"À compléter"))</x:f>
      </x:c>
      <x:c r="M119" s="9"/>
    </x:row>
    <x:row r="120" ht="23" customHeight="1">
      <x:c r="A120" s="9"/>
      <x:c r="B120" s="9"/>
      <x:c r="C120" s="9"/>
      <x:c r="D120" s="9"/>
      <x:c r="E120" s="9"/>
      <x:c r="F120" s="9"/>
      <x:c r="G120" s="11"/>
      <x:c r="H120" s="11"/>
      <x:c r="I120" s="9"/>
      <x:c r="J120" s="9"/>
      <x:c r="K120" s="12" t="str">
        <x:f>IF(A120="","",IF(ISNUMBER(H120),H120-'Tableau de bord'!$F$5,""))</x:f>
      </x:c>
      <x:c r="L120" s="12" t="str">
        <x:f>IF(A120="","",IF(ISNUMBER(H120),IF(K120&lt;0,"Expiré",IF(K120&lt;='Paramètres'!$E$6,"À renouveler","À jour")),"À compléter"))</x:f>
      </x:c>
      <x:c r="M120" s="9"/>
    </x:row>
    <x:row r="121" ht="23" customHeight="1">
      <x:c r="A121" s="9"/>
      <x:c r="B121" s="9"/>
      <x:c r="C121" s="9"/>
      <x:c r="D121" s="9"/>
      <x:c r="E121" s="9"/>
      <x:c r="F121" s="9"/>
      <x:c r="G121" s="11"/>
      <x:c r="H121" s="11"/>
      <x:c r="I121" s="9"/>
      <x:c r="J121" s="9"/>
      <x:c r="K121" s="12" t="str">
        <x:f>IF(A121="","",IF(ISNUMBER(H121),H121-'Tableau de bord'!$F$5,""))</x:f>
      </x:c>
      <x:c r="L121" s="12" t="str">
        <x:f>IF(A121="","",IF(ISNUMBER(H121),IF(K121&lt;0,"Expiré",IF(K121&lt;='Paramètres'!$E$6,"À renouveler","À jour")),"À compléter"))</x:f>
      </x:c>
      <x:c r="M121" s="9"/>
    </x:row>
    <x:row r="122" ht="23" customHeight="1">
      <x:c r="A122" s="9"/>
      <x:c r="B122" s="9"/>
      <x:c r="C122" s="9"/>
      <x:c r="D122" s="9"/>
      <x:c r="E122" s="9"/>
      <x:c r="F122" s="9"/>
      <x:c r="G122" s="11"/>
      <x:c r="H122" s="11"/>
      <x:c r="I122" s="9"/>
      <x:c r="J122" s="9"/>
      <x:c r="K122" s="12" t="str">
        <x:f>IF(A122="","",IF(ISNUMBER(H122),H122-'Tableau de bord'!$F$5,""))</x:f>
      </x:c>
      <x:c r="L122" s="12" t="str">
        <x:f>IF(A122="","",IF(ISNUMBER(H122),IF(K122&lt;0,"Expiré",IF(K122&lt;='Paramètres'!$E$6,"À renouveler","À jour")),"À compléter"))</x:f>
      </x:c>
      <x:c r="M122" s="9"/>
    </x:row>
    <x:row r="123" ht="23" customHeight="1">
      <x:c r="A123" s="9"/>
      <x:c r="B123" s="9"/>
      <x:c r="C123" s="9"/>
      <x:c r="D123" s="9"/>
      <x:c r="E123" s="9"/>
      <x:c r="F123" s="9"/>
      <x:c r="G123" s="11"/>
      <x:c r="H123" s="11"/>
      <x:c r="I123" s="9"/>
      <x:c r="J123" s="9"/>
      <x:c r="K123" s="12" t="str">
        <x:f>IF(A123="","",IF(ISNUMBER(H123),H123-'Tableau de bord'!$F$5,""))</x:f>
      </x:c>
      <x:c r="L123" s="12" t="str">
        <x:f>IF(A123="","",IF(ISNUMBER(H123),IF(K123&lt;0,"Expiré",IF(K123&lt;='Paramètres'!$E$6,"À renouveler","À jour")),"À compléter"))</x:f>
      </x:c>
      <x:c r="M123" s="9"/>
    </x:row>
    <x:row r="124" ht="23" customHeight="1">
      <x:c r="A124" s="9"/>
      <x:c r="B124" s="9"/>
      <x:c r="C124" s="9"/>
      <x:c r="D124" s="9"/>
      <x:c r="E124" s="9"/>
      <x:c r="F124" s="9"/>
      <x:c r="G124" s="11"/>
      <x:c r="H124" s="11"/>
      <x:c r="I124" s="9"/>
      <x:c r="J124" s="9"/>
      <x:c r="K124" s="12" t="str">
        <x:f>IF(A124="","",IF(ISNUMBER(H124),H124-'Tableau de bord'!$F$5,""))</x:f>
      </x:c>
      <x:c r="L124" s="12" t="str">
        <x:f>IF(A124="","",IF(ISNUMBER(H124),IF(K124&lt;0,"Expiré",IF(K124&lt;='Paramètres'!$E$6,"À renouveler","À jour")),"À compléter"))</x:f>
      </x:c>
      <x:c r="M124" s="9"/>
    </x:row>
    <x:row r="125" ht="23" customHeight="1">
      <x:c r="A125" s="9"/>
      <x:c r="B125" s="9"/>
      <x:c r="C125" s="9"/>
      <x:c r="D125" s="9"/>
      <x:c r="E125" s="9"/>
      <x:c r="F125" s="9"/>
      <x:c r="G125" s="11"/>
      <x:c r="H125" s="11"/>
      <x:c r="I125" s="9"/>
      <x:c r="J125" s="9"/>
      <x:c r="K125" s="12" t="str">
        <x:f>IF(A125="","",IF(ISNUMBER(H125),H125-'Tableau de bord'!$F$5,""))</x:f>
      </x:c>
      <x:c r="L125" s="12" t="str">
        <x:f>IF(A125="","",IF(ISNUMBER(H125),IF(K125&lt;0,"Expiré",IF(K125&lt;='Paramètres'!$E$6,"À renouveler","À jour")),"À compléter"))</x:f>
      </x:c>
      <x:c r="M125" s="9"/>
    </x:row>
    <x:row r="126" ht="23" customHeight="1">
      <x:c r="A126" s="9"/>
      <x:c r="B126" s="9"/>
      <x:c r="C126" s="9"/>
      <x:c r="D126" s="9"/>
      <x:c r="E126" s="9"/>
      <x:c r="F126" s="9"/>
      <x:c r="G126" s="11"/>
      <x:c r="H126" s="11"/>
      <x:c r="I126" s="9"/>
      <x:c r="J126" s="9"/>
      <x:c r="K126" s="12" t="str">
        <x:f>IF(A126="","",IF(ISNUMBER(H126),H126-'Tableau de bord'!$F$5,""))</x:f>
      </x:c>
      <x:c r="L126" s="12" t="str">
        <x:f>IF(A126="","",IF(ISNUMBER(H126),IF(K126&lt;0,"Expiré",IF(K126&lt;='Paramètres'!$E$6,"À renouveler","À jour")),"À compléter"))</x:f>
      </x:c>
      <x:c r="M126" s="9"/>
    </x:row>
    <x:row r="127" ht="23" customHeight="1">
      <x:c r="A127" s="9"/>
      <x:c r="B127" s="9"/>
      <x:c r="C127" s="9"/>
      <x:c r="D127" s="9"/>
      <x:c r="E127" s="9"/>
      <x:c r="F127" s="9"/>
      <x:c r="G127" s="11"/>
      <x:c r="H127" s="11"/>
      <x:c r="I127" s="9"/>
      <x:c r="J127" s="9"/>
      <x:c r="K127" s="12" t="str">
        <x:f>IF(A127="","",IF(ISNUMBER(H127),H127-'Tableau de bord'!$F$5,""))</x:f>
      </x:c>
      <x:c r="L127" s="12" t="str">
        <x:f>IF(A127="","",IF(ISNUMBER(H127),IF(K127&lt;0,"Expiré",IF(K127&lt;='Paramètres'!$E$6,"À renouveler","À jour")),"À compléter"))</x:f>
      </x:c>
      <x:c r="M127" s="9"/>
    </x:row>
    <x:row r="128" ht="23" customHeight="1">
      <x:c r="A128" s="9"/>
      <x:c r="B128" s="9"/>
      <x:c r="C128" s="9"/>
      <x:c r="D128" s="9"/>
      <x:c r="E128" s="9"/>
      <x:c r="F128" s="9"/>
      <x:c r="G128" s="11"/>
      <x:c r="H128" s="11"/>
      <x:c r="I128" s="9"/>
      <x:c r="J128" s="9"/>
      <x:c r="K128" s="12" t="str">
        <x:f>IF(A128="","",IF(ISNUMBER(H128),H128-'Tableau de bord'!$F$5,""))</x:f>
      </x:c>
      <x:c r="L128" s="12" t="str">
        <x:f>IF(A128="","",IF(ISNUMBER(H128),IF(K128&lt;0,"Expiré",IF(K128&lt;='Paramètres'!$E$6,"À renouveler","À jour")),"À compléter"))</x:f>
      </x:c>
      <x:c r="M128" s="9"/>
    </x:row>
    <x:row r="129" ht="23" customHeight="1">
      <x:c r="A129" s="9"/>
      <x:c r="B129" s="9"/>
      <x:c r="C129" s="9"/>
      <x:c r="D129" s="9"/>
      <x:c r="E129" s="9"/>
      <x:c r="F129" s="9"/>
      <x:c r="G129" s="11"/>
      <x:c r="H129" s="11"/>
      <x:c r="I129" s="9"/>
      <x:c r="J129" s="9"/>
      <x:c r="K129" s="12" t="str">
        <x:f>IF(A129="","",IF(ISNUMBER(H129),H129-'Tableau de bord'!$F$5,""))</x:f>
      </x:c>
      <x:c r="L129" s="12" t="str">
        <x:f>IF(A129="","",IF(ISNUMBER(H129),IF(K129&lt;0,"Expiré",IF(K129&lt;='Paramètres'!$E$6,"À renouveler","À jour")),"À compléter"))</x:f>
      </x:c>
      <x:c r="M129" s="9"/>
    </x:row>
    <x:row r="130" ht="23" customHeight="1">
      <x:c r="A130" s="9"/>
      <x:c r="B130" s="9"/>
      <x:c r="C130" s="9"/>
      <x:c r="D130" s="9"/>
      <x:c r="E130" s="9"/>
      <x:c r="F130" s="9"/>
      <x:c r="G130" s="11"/>
      <x:c r="H130" s="11"/>
      <x:c r="I130" s="9"/>
      <x:c r="J130" s="9"/>
      <x:c r="K130" s="12" t="str">
        <x:f>IF(A130="","",IF(ISNUMBER(H130),H130-'Tableau de bord'!$F$5,""))</x:f>
      </x:c>
      <x:c r="L130" s="12" t="str">
        <x:f>IF(A130="","",IF(ISNUMBER(H130),IF(K130&lt;0,"Expiré",IF(K130&lt;='Paramètres'!$E$6,"À renouveler","À jour")),"À compléter"))</x:f>
      </x:c>
      <x:c r="M130" s="9"/>
    </x:row>
    <x:row r="131" ht="23" customHeight="1">
      <x:c r="A131" s="9"/>
      <x:c r="B131" s="9"/>
      <x:c r="C131" s="9"/>
      <x:c r="D131" s="9"/>
      <x:c r="E131" s="9"/>
      <x:c r="F131" s="9"/>
      <x:c r="G131" s="11"/>
      <x:c r="H131" s="11"/>
      <x:c r="I131" s="9"/>
      <x:c r="J131" s="9"/>
      <x:c r="K131" s="12" t="str">
        <x:f>IF(A131="","",IF(ISNUMBER(H131),H131-'Tableau de bord'!$F$5,""))</x:f>
      </x:c>
      <x:c r="L131" s="12" t="str">
        <x:f>IF(A131="","",IF(ISNUMBER(H131),IF(K131&lt;0,"Expiré",IF(K131&lt;='Paramètres'!$E$6,"À renouveler","À jour")),"À compléter"))</x:f>
      </x:c>
      <x:c r="M131" s="9"/>
    </x:row>
    <x:row r="132" ht="23" customHeight="1">
      <x:c r="A132" s="9"/>
      <x:c r="B132" s="9"/>
      <x:c r="C132" s="9"/>
      <x:c r="D132" s="9"/>
      <x:c r="E132" s="9"/>
      <x:c r="F132" s="9"/>
      <x:c r="G132" s="11"/>
      <x:c r="H132" s="11"/>
      <x:c r="I132" s="9"/>
      <x:c r="J132" s="9"/>
      <x:c r="K132" s="12" t="str">
        <x:f>IF(A132="","",IF(ISNUMBER(H132),H132-'Tableau de bord'!$F$5,""))</x:f>
      </x:c>
      <x:c r="L132" s="12" t="str">
        <x:f>IF(A132="","",IF(ISNUMBER(H132),IF(K132&lt;0,"Expiré",IF(K132&lt;='Paramètres'!$E$6,"À renouveler","À jour")),"À compléter"))</x:f>
      </x:c>
      <x:c r="M132" s="9"/>
    </x:row>
    <x:row r="133" ht="23" customHeight="1">
      <x:c r="A133" s="9"/>
      <x:c r="B133" s="9"/>
      <x:c r="C133" s="9"/>
      <x:c r="D133" s="9"/>
      <x:c r="E133" s="9"/>
      <x:c r="F133" s="9"/>
      <x:c r="G133" s="11"/>
      <x:c r="H133" s="11"/>
      <x:c r="I133" s="9"/>
      <x:c r="J133" s="9"/>
      <x:c r="K133" s="12" t="str">
        <x:f>IF(A133="","",IF(ISNUMBER(H133),H133-'Tableau de bord'!$F$5,""))</x:f>
      </x:c>
      <x:c r="L133" s="12" t="str">
        <x:f>IF(A133="","",IF(ISNUMBER(H133),IF(K133&lt;0,"Expiré",IF(K133&lt;='Paramètres'!$E$6,"À renouveler","À jour")),"À compléter"))</x:f>
      </x:c>
      <x:c r="M133" s="9"/>
    </x:row>
    <x:row r="134" ht="23" customHeight="1">
      <x:c r="A134" s="9"/>
      <x:c r="B134" s="9"/>
      <x:c r="C134" s="9"/>
      <x:c r="D134" s="9"/>
      <x:c r="E134" s="9"/>
      <x:c r="F134" s="9"/>
      <x:c r="G134" s="11"/>
      <x:c r="H134" s="11"/>
      <x:c r="I134" s="9"/>
      <x:c r="J134" s="9"/>
      <x:c r="K134" s="12" t="str">
        <x:f>IF(A134="","",IF(ISNUMBER(H134),H134-'Tableau de bord'!$F$5,""))</x:f>
      </x:c>
      <x:c r="L134" s="12" t="str">
        <x:f>IF(A134="","",IF(ISNUMBER(H134),IF(K134&lt;0,"Expiré",IF(K134&lt;='Paramètres'!$E$6,"À renouveler","À jour")),"À compléter"))</x:f>
      </x:c>
      <x:c r="M134" s="9"/>
    </x:row>
    <x:row r="135" ht="23" customHeight="1">
      <x:c r="A135" s="9"/>
      <x:c r="B135" s="9"/>
      <x:c r="C135" s="9"/>
      <x:c r="D135" s="9"/>
      <x:c r="E135" s="9"/>
      <x:c r="F135" s="9"/>
      <x:c r="G135" s="11"/>
      <x:c r="H135" s="11"/>
      <x:c r="I135" s="9"/>
      <x:c r="J135" s="9"/>
      <x:c r="K135" s="12" t="str">
        <x:f>IF(A135="","",IF(ISNUMBER(H135),H135-'Tableau de bord'!$F$5,""))</x:f>
      </x:c>
      <x:c r="L135" s="12" t="str">
        <x:f>IF(A135="","",IF(ISNUMBER(H135),IF(K135&lt;0,"Expiré",IF(K135&lt;='Paramètres'!$E$6,"À renouveler","À jour")),"À compléter"))</x:f>
      </x:c>
      <x:c r="M135" s="9"/>
    </x:row>
    <x:row r="136" ht="23" customHeight="1">
      <x:c r="A136" s="9"/>
      <x:c r="B136" s="9"/>
      <x:c r="C136" s="9"/>
      <x:c r="D136" s="9"/>
      <x:c r="E136" s="9"/>
      <x:c r="F136" s="9"/>
      <x:c r="G136" s="11"/>
      <x:c r="H136" s="11"/>
      <x:c r="I136" s="9"/>
      <x:c r="J136" s="9"/>
      <x:c r="K136" s="12" t="str">
        <x:f>IF(A136="","",IF(ISNUMBER(H136),H136-'Tableau de bord'!$F$5,""))</x:f>
      </x:c>
      <x:c r="L136" s="12" t="str">
        <x:f>IF(A136="","",IF(ISNUMBER(H136),IF(K136&lt;0,"Expiré",IF(K136&lt;='Paramètres'!$E$6,"À renouveler","À jour")),"À compléter"))</x:f>
      </x:c>
      <x:c r="M136" s="9"/>
    </x:row>
    <x:row r="137" ht="23" customHeight="1">
      <x:c r="A137" s="9"/>
      <x:c r="B137" s="9"/>
      <x:c r="C137" s="9"/>
      <x:c r="D137" s="9"/>
      <x:c r="E137" s="9"/>
      <x:c r="F137" s="9"/>
      <x:c r="G137" s="11"/>
      <x:c r="H137" s="11"/>
      <x:c r="I137" s="9"/>
      <x:c r="J137" s="9"/>
      <x:c r="K137" s="12" t="str">
        <x:f>IF(A137="","",IF(ISNUMBER(H137),H137-'Tableau de bord'!$F$5,""))</x:f>
      </x:c>
      <x:c r="L137" s="12" t="str">
        <x:f>IF(A137="","",IF(ISNUMBER(H137),IF(K137&lt;0,"Expiré",IF(K137&lt;='Paramètres'!$E$6,"À renouveler","À jour")),"À compléter"))</x:f>
      </x:c>
      <x:c r="M137" s="9"/>
    </x:row>
    <x:row r="138" ht="23" customHeight="1">
      <x:c r="A138" s="9"/>
      <x:c r="B138" s="9"/>
      <x:c r="C138" s="9"/>
      <x:c r="D138" s="9"/>
      <x:c r="E138" s="9"/>
      <x:c r="F138" s="9"/>
      <x:c r="G138" s="11"/>
      <x:c r="H138" s="11"/>
      <x:c r="I138" s="9"/>
      <x:c r="J138" s="9"/>
      <x:c r="K138" s="12" t="str">
        <x:f>IF(A138="","",IF(ISNUMBER(H138),H138-'Tableau de bord'!$F$5,""))</x:f>
      </x:c>
      <x:c r="L138" s="12" t="str">
        <x:f>IF(A138="","",IF(ISNUMBER(H138),IF(K138&lt;0,"Expiré",IF(K138&lt;='Paramètres'!$E$6,"À renouveler","À jour")),"À compléter"))</x:f>
      </x:c>
      <x:c r="M138" s="9"/>
    </x:row>
    <x:row r="139" ht="23" customHeight="1">
      <x:c r="A139" s="9"/>
      <x:c r="B139" s="9"/>
      <x:c r="C139" s="9"/>
      <x:c r="D139" s="9"/>
      <x:c r="E139" s="9"/>
      <x:c r="F139" s="9"/>
      <x:c r="G139" s="11"/>
      <x:c r="H139" s="11"/>
      <x:c r="I139" s="9"/>
      <x:c r="J139" s="9"/>
      <x:c r="K139" s="12" t="str">
        <x:f>IF(A139="","",IF(ISNUMBER(H139),H139-'Tableau de bord'!$F$5,""))</x:f>
      </x:c>
      <x:c r="L139" s="12" t="str">
        <x:f>IF(A139="","",IF(ISNUMBER(H139),IF(K139&lt;0,"Expiré",IF(K139&lt;='Paramètres'!$E$6,"À renouveler","À jour")),"À compléter"))</x:f>
      </x:c>
      <x:c r="M139" s="9"/>
    </x:row>
    <x:row r="140" ht="23" customHeight="1">
      <x:c r="A140" s="9"/>
      <x:c r="B140" s="9"/>
      <x:c r="C140" s="9"/>
      <x:c r="D140" s="9"/>
      <x:c r="E140" s="9"/>
      <x:c r="F140" s="9"/>
      <x:c r="G140" s="11"/>
      <x:c r="H140" s="11"/>
      <x:c r="I140" s="9"/>
      <x:c r="J140" s="9"/>
      <x:c r="K140" s="12" t="str">
        <x:f>IF(A140="","",IF(ISNUMBER(H140),H140-'Tableau de bord'!$F$5,""))</x:f>
      </x:c>
      <x:c r="L140" s="12" t="str">
        <x:f>IF(A140="","",IF(ISNUMBER(H140),IF(K140&lt;0,"Expiré",IF(K140&lt;='Paramètres'!$E$6,"À renouveler","À jour")),"À compléter"))</x:f>
      </x:c>
      <x:c r="M140" s="9"/>
    </x:row>
    <x:row r="141" ht="23" customHeight="1">
      <x:c r="A141" s="9"/>
      <x:c r="B141" s="9"/>
      <x:c r="C141" s="9"/>
      <x:c r="D141" s="9"/>
      <x:c r="E141" s="9"/>
      <x:c r="F141" s="9"/>
      <x:c r="G141" s="11"/>
      <x:c r="H141" s="11"/>
      <x:c r="I141" s="9"/>
      <x:c r="J141" s="9"/>
      <x:c r="K141" s="12" t="str">
        <x:f>IF(A141="","",IF(ISNUMBER(H141),H141-'Tableau de bord'!$F$5,""))</x:f>
      </x:c>
      <x:c r="L141" s="12" t="str">
        <x:f>IF(A141="","",IF(ISNUMBER(H141),IF(K141&lt;0,"Expiré",IF(K141&lt;='Paramètres'!$E$6,"À renouveler","À jour")),"À compléter"))</x:f>
      </x:c>
      <x:c r="M141" s="9"/>
    </x:row>
    <x:row r="142" ht="23" customHeight="1">
      <x:c r="A142" s="9"/>
      <x:c r="B142" s="9"/>
      <x:c r="C142" s="9"/>
      <x:c r="D142" s="9"/>
      <x:c r="E142" s="9"/>
      <x:c r="F142" s="9"/>
      <x:c r="G142" s="11"/>
      <x:c r="H142" s="11"/>
      <x:c r="I142" s="9"/>
      <x:c r="J142" s="9"/>
      <x:c r="K142" s="12" t="str">
        <x:f>IF(A142="","",IF(ISNUMBER(H142),H142-'Tableau de bord'!$F$5,""))</x:f>
      </x:c>
      <x:c r="L142" s="12" t="str">
        <x:f>IF(A142="","",IF(ISNUMBER(H142),IF(K142&lt;0,"Expiré",IF(K142&lt;='Paramètres'!$E$6,"À renouveler","À jour")),"À compléter"))</x:f>
      </x:c>
      <x:c r="M142" s="9"/>
    </x:row>
    <x:row r="143" ht="23" customHeight="1">
      <x:c r="A143" s="9"/>
      <x:c r="B143" s="9"/>
      <x:c r="C143" s="9"/>
      <x:c r="D143" s="9"/>
      <x:c r="E143" s="9"/>
      <x:c r="F143" s="9"/>
      <x:c r="G143" s="11"/>
      <x:c r="H143" s="11"/>
      <x:c r="I143" s="9"/>
      <x:c r="J143" s="9"/>
      <x:c r="K143" s="12" t="str">
        <x:f>IF(A143="","",IF(ISNUMBER(H143),H143-'Tableau de bord'!$F$5,""))</x:f>
      </x:c>
      <x:c r="L143" s="12" t="str">
        <x:f>IF(A143="","",IF(ISNUMBER(H143),IF(K143&lt;0,"Expiré",IF(K143&lt;='Paramètres'!$E$6,"À renouveler","À jour")),"À compléter"))</x:f>
      </x:c>
      <x:c r="M143" s="9"/>
    </x:row>
    <x:row r="144" ht="23" customHeight="1">
      <x:c r="A144" s="9"/>
      <x:c r="B144" s="9"/>
      <x:c r="C144" s="9"/>
      <x:c r="D144" s="9"/>
      <x:c r="E144" s="9"/>
      <x:c r="F144" s="9"/>
      <x:c r="G144" s="11"/>
      <x:c r="H144" s="11"/>
      <x:c r="I144" s="9"/>
      <x:c r="J144" s="9"/>
      <x:c r="K144" s="12" t="str">
        <x:f>IF(A144="","",IF(ISNUMBER(H144),H144-'Tableau de bord'!$F$5,""))</x:f>
      </x:c>
      <x:c r="L144" s="12" t="str">
        <x:f>IF(A144="","",IF(ISNUMBER(H144),IF(K144&lt;0,"Expiré",IF(K144&lt;='Paramètres'!$E$6,"À renouveler","À jour")),"À compléter"))</x:f>
      </x:c>
      <x:c r="M144" s="9"/>
    </x:row>
    <x:row r="145" ht="23" customHeight="1">
      <x:c r="A145" s="9"/>
      <x:c r="B145" s="9"/>
      <x:c r="C145" s="9"/>
      <x:c r="D145" s="9"/>
      <x:c r="E145" s="9"/>
      <x:c r="F145" s="9"/>
      <x:c r="G145" s="11"/>
      <x:c r="H145" s="11"/>
      <x:c r="I145" s="9"/>
      <x:c r="J145" s="9"/>
      <x:c r="K145" s="12" t="str">
        <x:f>IF(A145="","",IF(ISNUMBER(H145),H145-'Tableau de bord'!$F$5,""))</x:f>
      </x:c>
      <x:c r="L145" s="12" t="str">
        <x:f>IF(A145="","",IF(ISNUMBER(H145),IF(K145&lt;0,"Expiré",IF(K145&lt;='Paramètres'!$E$6,"À renouveler","À jour")),"À compléter"))</x:f>
      </x:c>
      <x:c r="M145" s="9"/>
    </x:row>
    <x:row r="146" ht="23" customHeight="1">
      <x:c r="A146" s="9"/>
      <x:c r="B146" s="9"/>
      <x:c r="C146" s="9"/>
      <x:c r="D146" s="9"/>
      <x:c r="E146" s="9"/>
      <x:c r="F146" s="9"/>
      <x:c r="G146" s="11"/>
      <x:c r="H146" s="11"/>
      <x:c r="I146" s="9"/>
      <x:c r="J146" s="9"/>
      <x:c r="K146" s="12" t="str">
        <x:f>IF(A146="","",IF(ISNUMBER(H146),H146-'Tableau de bord'!$F$5,""))</x:f>
      </x:c>
      <x:c r="L146" s="12" t="str">
        <x:f>IF(A146="","",IF(ISNUMBER(H146),IF(K146&lt;0,"Expiré",IF(K146&lt;='Paramètres'!$E$6,"À renouveler","À jour")),"À compléter"))</x:f>
      </x:c>
      <x:c r="M146" s="9"/>
    </x:row>
    <x:row r="147" ht="23" customHeight="1">
      <x:c r="A147" s="9"/>
      <x:c r="B147" s="9"/>
      <x:c r="C147" s="9"/>
      <x:c r="D147" s="9"/>
      <x:c r="E147" s="9"/>
      <x:c r="F147" s="9"/>
      <x:c r="G147" s="11"/>
      <x:c r="H147" s="11"/>
      <x:c r="I147" s="9"/>
      <x:c r="J147" s="9"/>
      <x:c r="K147" s="12" t="str">
        <x:f>IF(A147="","",IF(ISNUMBER(H147),H147-'Tableau de bord'!$F$5,""))</x:f>
      </x:c>
      <x:c r="L147" s="12" t="str">
        <x:f>IF(A147="","",IF(ISNUMBER(H147),IF(K147&lt;0,"Expiré",IF(K147&lt;='Paramètres'!$E$6,"À renouveler","À jour")),"À compléter"))</x:f>
      </x:c>
      <x:c r="M147" s="9"/>
    </x:row>
    <x:row r="148" ht="23" customHeight="1">
      <x:c r="A148" s="9"/>
      <x:c r="B148" s="9"/>
      <x:c r="C148" s="9"/>
      <x:c r="D148" s="9"/>
      <x:c r="E148" s="9"/>
      <x:c r="F148" s="9"/>
      <x:c r="G148" s="11"/>
      <x:c r="H148" s="11"/>
      <x:c r="I148" s="9"/>
      <x:c r="J148" s="9"/>
      <x:c r="K148" s="12" t="str">
        <x:f>IF(A148="","",IF(ISNUMBER(H148),H148-'Tableau de bord'!$F$5,""))</x:f>
      </x:c>
      <x:c r="L148" s="12" t="str">
        <x:f>IF(A148="","",IF(ISNUMBER(H148),IF(K148&lt;0,"Expiré",IF(K148&lt;='Paramètres'!$E$6,"À renouveler","À jour")),"À compléter"))</x:f>
      </x:c>
      <x:c r="M148" s="9"/>
    </x:row>
    <x:row r="149" ht="23" customHeight="1">
      <x:c r="A149" s="9"/>
      <x:c r="B149" s="9"/>
      <x:c r="C149" s="9"/>
      <x:c r="D149" s="9"/>
      <x:c r="E149" s="9"/>
      <x:c r="F149" s="9"/>
      <x:c r="G149" s="11"/>
      <x:c r="H149" s="11"/>
      <x:c r="I149" s="9"/>
      <x:c r="J149" s="9"/>
      <x:c r="K149" s="12" t="str">
        <x:f>IF(A149="","",IF(ISNUMBER(H149),H149-'Tableau de bord'!$F$5,""))</x:f>
      </x:c>
      <x:c r="L149" s="12" t="str">
        <x:f>IF(A149="","",IF(ISNUMBER(H149),IF(K149&lt;0,"Expiré",IF(K149&lt;='Paramètres'!$E$6,"À renouveler","À jour")),"À compléter"))</x:f>
      </x:c>
      <x:c r="M149" s="9"/>
    </x:row>
    <x:row r="150" ht="23" customHeight="1">
      <x:c r="A150" s="9"/>
      <x:c r="B150" s="9"/>
      <x:c r="C150" s="9"/>
      <x:c r="D150" s="9"/>
      <x:c r="E150" s="9"/>
      <x:c r="F150" s="9"/>
      <x:c r="G150" s="11"/>
      <x:c r="H150" s="11"/>
      <x:c r="I150" s="9"/>
      <x:c r="J150" s="9"/>
      <x:c r="K150" s="12" t="str">
        <x:f>IF(A150="","",IF(ISNUMBER(H150),H150-'Tableau de bord'!$F$5,""))</x:f>
      </x:c>
      <x:c r="L150" s="12" t="str">
        <x:f>IF(A150="","",IF(ISNUMBER(H150),IF(K150&lt;0,"Expiré",IF(K150&lt;='Paramètres'!$E$6,"À renouveler","À jour")),"À compléter"))</x:f>
      </x:c>
      <x:c r="M150" s="9"/>
    </x:row>
    <x:row r="151" ht="23" customHeight="1">
      <x:c r="A151" s="9"/>
      <x:c r="B151" s="9"/>
      <x:c r="C151" s="9"/>
      <x:c r="D151" s="9"/>
      <x:c r="E151" s="9"/>
      <x:c r="F151" s="9"/>
      <x:c r="G151" s="11"/>
      <x:c r="H151" s="11"/>
      <x:c r="I151" s="9"/>
      <x:c r="J151" s="9"/>
      <x:c r="K151" s="12" t="str">
        <x:f>IF(A151="","",IF(ISNUMBER(H151),H151-'Tableau de bord'!$F$5,""))</x:f>
      </x:c>
      <x:c r="L151" s="12" t="str">
        <x:f>IF(A151="","",IF(ISNUMBER(H151),IF(K151&lt;0,"Expiré",IF(K151&lt;='Paramètres'!$E$6,"À renouveler","À jour")),"À compléter"))</x:f>
      </x:c>
      <x:c r="M151" s="9"/>
    </x:row>
    <x:row r="152" ht="23" customHeight="1">
      <x:c r="A152" s="9"/>
      <x:c r="B152" s="9"/>
      <x:c r="C152" s="9"/>
      <x:c r="D152" s="9"/>
      <x:c r="E152" s="9"/>
      <x:c r="F152" s="9"/>
      <x:c r="G152" s="11"/>
      <x:c r="H152" s="11"/>
      <x:c r="I152" s="9"/>
      <x:c r="J152" s="9"/>
      <x:c r="K152" s="12" t="str">
        <x:f>IF(A152="","",IF(ISNUMBER(H152),H152-'Tableau de bord'!$F$5,""))</x:f>
      </x:c>
      <x:c r="L152" s="12" t="str">
        <x:f>IF(A152="","",IF(ISNUMBER(H152),IF(K152&lt;0,"Expiré",IF(K152&lt;='Paramètres'!$E$6,"À renouveler","À jour")),"À compléter"))</x:f>
      </x:c>
      <x:c r="M152" s="9"/>
    </x:row>
    <x:row r="153" ht="23" customHeight="1">
      <x:c r="A153" s="9"/>
      <x:c r="B153" s="9"/>
      <x:c r="C153" s="9"/>
      <x:c r="D153" s="9"/>
      <x:c r="E153" s="9"/>
      <x:c r="F153" s="9"/>
      <x:c r="G153" s="11"/>
      <x:c r="H153" s="11"/>
      <x:c r="I153" s="9"/>
      <x:c r="J153" s="9"/>
      <x:c r="K153" s="12" t="str">
        <x:f>IF(A153="","",IF(ISNUMBER(H153),H153-'Tableau de bord'!$F$5,""))</x:f>
      </x:c>
      <x:c r="L153" s="12" t="str">
        <x:f>IF(A153="","",IF(ISNUMBER(H153),IF(K153&lt;0,"Expiré",IF(K153&lt;='Paramètres'!$E$6,"À renouveler","À jour")),"À compléter"))</x:f>
      </x:c>
      <x:c r="M153" s="9"/>
    </x:row>
    <x:row r="154" ht="23" customHeight="1">
      <x:c r="A154" s="9"/>
      <x:c r="B154" s="9"/>
      <x:c r="C154" s="9"/>
      <x:c r="D154" s="9"/>
      <x:c r="E154" s="9"/>
      <x:c r="F154" s="9"/>
      <x:c r="G154" s="11"/>
      <x:c r="H154" s="11"/>
      <x:c r="I154" s="9"/>
      <x:c r="J154" s="9"/>
      <x:c r="K154" s="12" t="str">
        <x:f>IF(A154="","",IF(ISNUMBER(H154),H154-'Tableau de bord'!$F$5,""))</x:f>
      </x:c>
      <x:c r="L154" s="12" t="str">
        <x:f>IF(A154="","",IF(ISNUMBER(H154),IF(K154&lt;0,"Expiré",IF(K154&lt;='Paramètres'!$E$6,"À renouveler","À jour")),"À compléter"))</x:f>
      </x:c>
      <x:c r="M154" s="9"/>
    </x:row>
    <x:row r="155" ht="23" customHeight="1">
      <x:c r="A155" s="9"/>
      <x:c r="B155" s="9"/>
      <x:c r="C155" s="9"/>
      <x:c r="D155" s="9"/>
      <x:c r="E155" s="9"/>
      <x:c r="F155" s="9"/>
      <x:c r="G155" s="11"/>
      <x:c r="H155" s="11"/>
      <x:c r="I155" s="9"/>
      <x:c r="J155" s="9"/>
      <x:c r="K155" s="12" t="str">
        <x:f>IF(A155="","",IF(ISNUMBER(H155),H155-'Tableau de bord'!$F$5,""))</x:f>
      </x:c>
      <x:c r="L155" s="12" t="str">
        <x:f>IF(A155="","",IF(ISNUMBER(H155),IF(K155&lt;0,"Expiré",IF(K155&lt;='Paramètres'!$E$6,"À renouveler","À jour")),"À compléter"))</x:f>
      </x:c>
      <x:c r="M155" s="9"/>
    </x:row>
    <x:row r="156" ht="23" customHeight="1">
      <x:c r="A156" s="9"/>
      <x:c r="B156" s="9"/>
      <x:c r="C156" s="9"/>
      <x:c r="D156" s="9"/>
      <x:c r="E156" s="9"/>
      <x:c r="F156" s="9"/>
      <x:c r="G156" s="11"/>
      <x:c r="H156" s="11"/>
      <x:c r="I156" s="9"/>
      <x:c r="J156" s="9"/>
      <x:c r="K156" s="12" t="str">
        <x:f>IF(A156="","",IF(ISNUMBER(H156),H156-'Tableau de bord'!$F$5,""))</x:f>
      </x:c>
      <x:c r="L156" s="12" t="str">
        <x:f>IF(A156="","",IF(ISNUMBER(H156),IF(K156&lt;0,"Expiré",IF(K156&lt;='Paramètres'!$E$6,"À renouveler","À jour")),"À compléter"))</x:f>
      </x:c>
      <x:c r="M156" s="9"/>
    </x:row>
    <x:row r="157" ht="23" customHeight="1">
      <x:c r="A157" s="9"/>
      <x:c r="B157" s="9"/>
      <x:c r="C157" s="9"/>
      <x:c r="D157" s="9"/>
      <x:c r="E157" s="9"/>
      <x:c r="F157" s="9"/>
      <x:c r="G157" s="11"/>
      <x:c r="H157" s="11"/>
      <x:c r="I157" s="9"/>
      <x:c r="J157" s="9"/>
      <x:c r="K157" s="12" t="str">
        <x:f>IF(A157="","",IF(ISNUMBER(H157),H157-'Tableau de bord'!$F$5,""))</x:f>
      </x:c>
      <x:c r="L157" s="12" t="str">
        <x:f>IF(A157="","",IF(ISNUMBER(H157),IF(K157&lt;0,"Expiré",IF(K157&lt;='Paramètres'!$E$6,"À renouveler","À jour")),"À compléter"))</x:f>
      </x:c>
      <x:c r="M157" s="9"/>
    </x:row>
    <x:row r="158" ht="23" customHeight="1">
      <x:c r="A158" s="9"/>
      <x:c r="B158" s="9"/>
      <x:c r="C158" s="9"/>
      <x:c r="D158" s="9"/>
      <x:c r="E158" s="9"/>
      <x:c r="F158" s="9"/>
      <x:c r="G158" s="11"/>
      <x:c r="H158" s="11"/>
      <x:c r="I158" s="9"/>
      <x:c r="J158" s="9"/>
      <x:c r="K158" s="12" t="str">
        <x:f>IF(A158="","",IF(ISNUMBER(H158),H158-'Tableau de bord'!$F$5,""))</x:f>
      </x:c>
      <x:c r="L158" s="12" t="str">
        <x:f>IF(A158="","",IF(ISNUMBER(H158),IF(K158&lt;0,"Expiré",IF(K158&lt;='Paramètres'!$E$6,"À renouveler","À jour")),"À compléter"))</x:f>
      </x:c>
      <x:c r="M158" s="9"/>
    </x:row>
    <x:row r="159" ht="23" customHeight="1">
      <x:c r="A159" s="9"/>
      <x:c r="B159" s="9"/>
      <x:c r="C159" s="9"/>
      <x:c r="D159" s="9"/>
      <x:c r="E159" s="9"/>
      <x:c r="F159" s="9"/>
      <x:c r="G159" s="11"/>
      <x:c r="H159" s="11"/>
      <x:c r="I159" s="9"/>
      <x:c r="J159" s="9"/>
      <x:c r="K159" s="12" t="str">
        <x:f>IF(A159="","",IF(ISNUMBER(H159),H159-'Tableau de bord'!$F$5,""))</x:f>
      </x:c>
      <x:c r="L159" s="12" t="str">
        <x:f>IF(A159="","",IF(ISNUMBER(H159),IF(K159&lt;0,"Expiré",IF(K159&lt;='Paramètres'!$E$6,"À renouveler","À jour")),"À compléter"))</x:f>
      </x:c>
      <x:c r="M159" s="9"/>
    </x:row>
    <x:row r="160" ht="23" customHeight="1">
      <x:c r="A160" s="9"/>
      <x:c r="B160" s="9"/>
      <x:c r="C160" s="9"/>
      <x:c r="D160" s="9"/>
      <x:c r="E160" s="9"/>
      <x:c r="F160" s="9"/>
      <x:c r="G160" s="11"/>
      <x:c r="H160" s="11"/>
      <x:c r="I160" s="9"/>
      <x:c r="J160" s="9"/>
      <x:c r="K160" s="12" t="str">
        <x:f>IF(A160="","",IF(ISNUMBER(H160),H160-'Tableau de bord'!$F$5,""))</x:f>
      </x:c>
      <x:c r="L160" s="12" t="str">
        <x:f>IF(A160="","",IF(ISNUMBER(H160),IF(K160&lt;0,"Expiré",IF(K160&lt;='Paramètres'!$E$6,"À renouveler","À jour")),"À compléter"))</x:f>
      </x:c>
      <x:c r="M160" s="9"/>
    </x:row>
    <x:row r="161" ht="23" customHeight="1">
      <x:c r="A161" s="9"/>
      <x:c r="B161" s="9"/>
      <x:c r="C161" s="9"/>
      <x:c r="D161" s="9"/>
      <x:c r="E161" s="9"/>
      <x:c r="F161" s="9"/>
      <x:c r="G161" s="11"/>
      <x:c r="H161" s="11"/>
      <x:c r="I161" s="9"/>
      <x:c r="J161" s="9"/>
      <x:c r="K161" s="12" t="str">
        <x:f>IF(A161="","",IF(ISNUMBER(H161),H161-'Tableau de bord'!$F$5,""))</x:f>
      </x:c>
      <x:c r="L161" s="12" t="str">
        <x:f>IF(A161="","",IF(ISNUMBER(H161),IF(K161&lt;0,"Expiré",IF(K161&lt;='Paramètres'!$E$6,"À renouveler","À jour")),"À compléter"))</x:f>
      </x:c>
      <x:c r="M161" s="9"/>
    </x:row>
    <x:row r="162" ht="23" customHeight="1">
      <x:c r="A162" s="9"/>
      <x:c r="B162" s="9"/>
      <x:c r="C162" s="9"/>
      <x:c r="D162" s="9"/>
      <x:c r="E162" s="9"/>
      <x:c r="F162" s="9"/>
      <x:c r="G162" s="11"/>
      <x:c r="H162" s="11"/>
      <x:c r="I162" s="9"/>
      <x:c r="J162" s="9"/>
      <x:c r="K162" s="12" t="str">
        <x:f>IF(A162="","",IF(ISNUMBER(H162),H162-'Tableau de bord'!$F$5,""))</x:f>
      </x:c>
      <x:c r="L162" s="12" t="str">
        <x:f>IF(A162="","",IF(ISNUMBER(H162),IF(K162&lt;0,"Expiré",IF(K162&lt;='Paramètres'!$E$6,"À renouveler","À jour")),"À compléter"))</x:f>
      </x:c>
      <x:c r="M162" s="9"/>
    </x:row>
    <x:row r="163" ht="23" customHeight="1">
      <x:c r="A163" s="9"/>
      <x:c r="B163" s="9"/>
      <x:c r="C163" s="9"/>
      <x:c r="D163" s="9"/>
      <x:c r="E163" s="9"/>
      <x:c r="F163" s="9"/>
      <x:c r="G163" s="11"/>
      <x:c r="H163" s="11"/>
      <x:c r="I163" s="9"/>
      <x:c r="J163" s="9"/>
      <x:c r="K163" s="12" t="str">
        <x:f>IF(A163="","",IF(ISNUMBER(H163),H163-'Tableau de bord'!$F$5,""))</x:f>
      </x:c>
      <x:c r="L163" s="12" t="str">
        <x:f>IF(A163="","",IF(ISNUMBER(H163),IF(K163&lt;0,"Expiré",IF(K163&lt;='Paramètres'!$E$6,"À renouveler","À jour")),"À compléter"))</x:f>
      </x:c>
      <x:c r="M163" s="9"/>
    </x:row>
    <x:row r="164" ht="23" customHeight="1">
      <x:c r="A164" s="9"/>
      <x:c r="B164" s="9"/>
      <x:c r="C164" s="9"/>
      <x:c r="D164" s="9"/>
      <x:c r="E164" s="9"/>
      <x:c r="F164" s="9"/>
      <x:c r="G164" s="11"/>
      <x:c r="H164" s="11"/>
      <x:c r="I164" s="9"/>
      <x:c r="J164" s="9"/>
      <x:c r="K164" s="12" t="str">
        <x:f>IF(A164="","",IF(ISNUMBER(H164),H164-'Tableau de bord'!$F$5,""))</x:f>
      </x:c>
      <x:c r="L164" s="12" t="str">
        <x:f>IF(A164="","",IF(ISNUMBER(H164),IF(K164&lt;0,"Expiré",IF(K164&lt;='Paramètres'!$E$6,"À renouveler","À jour")),"À compléter"))</x:f>
      </x:c>
      <x:c r="M164" s="9"/>
    </x:row>
    <x:row r="165" ht="23" customHeight="1">
      <x:c r="A165" s="9"/>
      <x:c r="B165" s="9"/>
      <x:c r="C165" s="9"/>
      <x:c r="D165" s="9"/>
      <x:c r="E165" s="9"/>
      <x:c r="F165" s="9"/>
      <x:c r="G165" s="11"/>
      <x:c r="H165" s="11"/>
      <x:c r="I165" s="9"/>
      <x:c r="J165" s="9"/>
      <x:c r="K165" s="12" t="str">
        <x:f>IF(A165="","",IF(ISNUMBER(H165),H165-'Tableau de bord'!$F$5,""))</x:f>
      </x:c>
      <x:c r="L165" s="12" t="str">
        <x:f>IF(A165="","",IF(ISNUMBER(H165),IF(K165&lt;0,"Expiré",IF(K165&lt;='Paramètres'!$E$6,"À renouveler","À jour")),"À compléter"))</x:f>
      </x:c>
      <x:c r="M165" s="9"/>
    </x:row>
    <x:row r="166" ht="23" customHeight="1">
      <x:c r="A166" s="9"/>
      <x:c r="B166" s="9"/>
      <x:c r="C166" s="9"/>
      <x:c r="D166" s="9"/>
      <x:c r="E166" s="9"/>
      <x:c r="F166" s="9"/>
      <x:c r="G166" s="11"/>
      <x:c r="H166" s="11"/>
      <x:c r="I166" s="9"/>
      <x:c r="J166" s="9"/>
      <x:c r="K166" s="12" t="str">
        <x:f>IF(A166="","",IF(ISNUMBER(H166),H166-'Tableau de bord'!$F$5,""))</x:f>
      </x:c>
      <x:c r="L166" s="12" t="str">
        <x:f>IF(A166="","",IF(ISNUMBER(H166),IF(K166&lt;0,"Expiré",IF(K166&lt;='Paramètres'!$E$6,"À renouveler","À jour")),"À compléter"))</x:f>
      </x:c>
      <x:c r="M166" s="9"/>
    </x:row>
    <x:row r="167" ht="23" customHeight="1">
      <x:c r="A167" s="9"/>
      <x:c r="B167" s="9"/>
      <x:c r="C167" s="9"/>
      <x:c r="D167" s="9"/>
      <x:c r="E167" s="9"/>
      <x:c r="F167" s="9"/>
      <x:c r="G167" s="11"/>
      <x:c r="H167" s="11"/>
      <x:c r="I167" s="9"/>
      <x:c r="J167" s="9"/>
      <x:c r="K167" s="12" t="str">
        <x:f>IF(A167="","",IF(ISNUMBER(H167),H167-'Tableau de bord'!$F$5,""))</x:f>
      </x:c>
      <x:c r="L167" s="12" t="str">
        <x:f>IF(A167="","",IF(ISNUMBER(H167),IF(K167&lt;0,"Expiré",IF(K167&lt;='Paramètres'!$E$6,"À renouveler","À jour")),"À compléter"))</x:f>
      </x:c>
      <x:c r="M167" s="9"/>
    </x:row>
    <x:row r="168" ht="23" customHeight="1">
      <x:c r="A168" s="9"/>
      <x:c r="B168" s="9"/>
      <x:c r="C168" s="9"/>
      <x:c r="D168" s="9"/>
      <x:c r="E168" s="9"/>
      <x:c r="F168" s="9"/>
      <x:c r="G168" s="11"/>
      <x:c r="H168" s="11"/>
      <x:c r="I168" s="9"/>
      <x:c r="J168" s="9"/>
      <x:c r="K168" s="12" t="str">
        <x:f>IF(A168="","",IF(ISNUMBER(H168),H168-'Tableau de bord'!$F$5,""))</x:f>
      </x:c>
      <x:c r="L168" s="12" t="str">
        <x:f>IF(A168="","",IF(ISNUMBER(H168),IF(K168&lt;0,"Expiré",IF(K168&lt;='Paramètres'!$E$6,"À renouveler","À jour")),"À compléter"))</x:f>
      </x:c>
      <x:c r="M168" s="9"/>
    </x:row>
    <x:row r="169" ht="23" customHeight="1">
      <x:c r="A169" s="9"/>
      <x:c r="B169" s="9"/>
      <x:c r="C169" s="9"/>
      <x:c r="D169" s="9"/>
      <x:c r="E169" s="9"/>
      <x:c r="F169" s="9"/>
      <x:c r="G169" s="11"/>
      <x:c r="H169" s="11"/>
      <x:c r="I169" s="9"/>
      <x:c r="J169" s="9"/>
      <x:c r="K169" s="12" t="str">
        <x:f>IF(A169="","",IF(ISNUMBER(H169),H169-'Tableau de bord'!$F$5,""))</x:f>
      </x:c>
      <x:c r="L169" s="12" t="str">
        <x:f>IF(A169="","",IF(ISNUMBER(H169),IF(K169&lt;0,"Expiré",IF(K169&lt;='Paramètres'!$E$6,"À renouveler","À jour")),"À compléter"))</x:f>
      </x:c>
      <x:c r="M169" s="9"/>
    </x:row>
    <x:row r="170" ht="23" customHeight="1">
      <x:c r="A170" s="9"/>
      <x:c r="B170" s="9"/>
      <x:c r="C170" s="9"/>
      <x:c r="D170" s="9"/>
      <x:c r="E170" s="9"/>
      <x:c r="F170" s="9"/>
      <x:c r="G170" s="11"/>
      <x:c r="H170" s="11"/>
      <x:c r="I170" s="9"/>
      <x:c r="J170" s="9"/>
      <x:c r="K170" s="12" t="str">
        <x:f>IF(A170="","",IF(ISNUMBER(H170),H170-'Tableau de bord'!$F$5,""))</x:f>
      </x:c>
      <x:c r="L170" s="12" t="str">
        <x:f>IF(A170="","",IF(ISNUMBER(H170),IF(K170&lt;0,"Expiré",IF(K170&lt;='Paramètres'!$E$6,"À renouveler","À jour")),"À compléter"))</x:f>
      </x:c>
      <x:c r="M170" s="9"/>
    </x:row>
    <x:row r="171" ht="23" customHeight="1">
      <x:c r="A171" s="9"/>
      <x:c r="B171" s="9"/>
      <x:c r="C171" s="9"/>
      <x:c r="D171" s="9"/>
      <x:c r="E171" s="9"/>
      <x:c r="F171" s="9"/>
      <x:c r="G171" s="11"/>
      <x:c r="H171" s="11"/>
      <x:c r="I171" s="9"/>
      <x:c r="J171" s="9"/>
      <x:c r="K171" s="12" t="str">
        <x:f>IF(A171="","",IF(ISNUMBER(H171),H171-'Tableau de bord'!$F$5,""))</x:f>
      </x:c>
      <x:c r="L171" s="12" t="str">
        <x:f>IF(A171="","",IF(ISNUMBER(H171),IF(K171&lt;0,"Expiré",IF(K171&lt;='Paramètres'!$E$6,"À renouveler","À jour")),"À compléter"))</x:f>
      </x:c>
      <x:c r="M171" s="9"/>
    </x:row>
    <x:row r="172" ht="23" customHeight="1">
      <x:c r="A172" s="9"/>
      <x:c r="B172" s="9"/>
      <x:c r="C172" s="9"/>
      <x:c r="D172" s="9"/>
      <x:c r="E172" s="9"/>
      <x:c r="F172" s="9"/>
      <x:c r="G172" s="11"/>
      <x:c r="H172" s="11"/>
      <x:c r="I172" s="9"/>
      <x:c r="J172" s="9"/>
      <x:c r="K172" s="12" t="str">
        <x:f>IF(A172="","",IF(ISNUMBER(H172),H172-'Tableau de bord'!$F$5,""))</x:f>
      </x:c>
      <x:c r="L172" s="12" t="str">
        <x:f>IF(A172="","",IF(ISNUMBER(H172),IF(K172&lt;0,"Expiré",IF(K172&lt;='Paramètres'!$E$6,"À renouveler","À jour")),"À compléter"))</x:f>
      </x:c>
      <x:c r="M172" s="9"/>
    </x:row>
    <x:row r="173" ht="23" customHeight="1">
      <x:c r="A173" s="9"/>
      <x:c r="B173" s="9"/>
      <x:c r="C173" s="9"/>
      <x:c r="D173" s="9"/>
      <x:c r="E173" s="9"/>
      <x:c r="F173" s="9"/>
      <x:c r="G173" s="11"/>
      <x:c r="H173" s="11"/>
      <x:c r="I173" s="9"/>
      <x:c r="J173" s="9"/>
      <x:c r="K173" s="12" t="str">
        <x:f>IF(A173="","",IF(ISNUMBER(H173),H173-'Tableau de bord'!$F$5,""))</x:f>
      </x:c>
      <x:c r="L173" s="12" t="str">
        <x:f>IF(A173="","",IF(ISNUMBER(H173),IF(K173&lt;0,"Expiré",IF(K173&lt;='Paramètres'!$E$6,"À renouveler","À jour")),"À compléter"))</x:f>
      </x:c>
      <x:c r="M173" s="9"/>
    </x:row>
    <x:row r="174" ht="23" customHeight="1">
      <x:c r="A174" s="9"/>
      <x:c r="B174" s="9"/>
      <x:c r="C174" s="9"/>
      <x:c r="D174" s="9"/>
      <x:c r="E174" s="9"/>
      <x:c r="F174" s="9"/>
      <x:c r="G174" s="11"/>
      <x:c r="H174" s="11"/>
      <x:c r="I174" s="9"/>
      <x:c r="J174" s="9"/>
      <x:c r="K174" s="12" t="str">
        <x:f>IF(A174="","",IF(ISNUMBER(H174),H174-'Tableau de bord'!$F$5,""))</x:f>
      </x:c>
      <x:c r="L174" s="12" t="str">
        <x:f>IF(A174="","",IF(ISNUMBER(H174),IF(K174&lt;0,"Expiré",IF(K174&lt;='Paramètres'!$E$6,"À renouveler","À jour")),"À compléter"))</x:f>
      </x:c>
      <x:c r="M174" s="9"/>
    </x:row>
    <x:row r="175" ht="23" customHeight="1">
      <x:c r="A175" s="9"/>
      <x:c r="B175" s="9"/>
      <x:c r="C175" s="9"/>
      <x:c r="D175" s="9"/>
      <x:c r="E175" s="9"/>
      <x:c r="F175" s="9"/>
      <x:c r="G175" s="11"/>
      <x:c r="H175" s="11"/>
      <x:c r="I175" s="9"/>
      <x:c r="J175" s="9"/>
      <x:c r="K175" s="12" t="str">
        <x:f>IF(A175="","",IF(ISNUMBER(H175),H175-'Tableau de bord'!$F$5,""))</x:f>
      </x:c>
      <x:c r="L175" s="12" t="str">
        <x:f>IF(A175="","",IF(ISNUMBER(H175),IF(K175&lt;0,"Expiré",IF(K175&lt;='Paramètres'!$E$6,"À renouveler","À jour")),"À compléter"))</x:f>
      </x:c>
      <x:c r="M175" s="9"/>
    </x:row>
    <x:row r="176" ht="23" customHeight="1">
      <x:c r="A176" s="9"/>
      <x:c r="B176" s="9"/>
      <x:c r="C176" s="9"/>
      <x:c r="D176" s="9"/>
      <x:c r="E176" s="9"/>
      <x:c r="F176" s="9"/>
      <x:c r="G176" s="11"/>
      <x:c r="H176" s="11"/>
      <x:c r="I176" s="9"/>
      <x:c r="J176" s="9"/>
      <x:c r="K176" s="12" t="str">
        <x:f>IF(A176="","",IF(ISNUMBER(H176),H176-'Tableau de bord'!$F$5,""))</x:f>
      </x:c>
      <x:c r="L176" s="12" t="str">
        <x:f>IF(A176="","",IF(ISNUMBER(H176),IF(K176&lt;0,"Expiré",IF(K176&lt;='Paramètres'!$E$6,"À renouveler","À jour")),"À compléter"))</x:f>
      </x:c>
      <x:c r="M176" s="9"/>
    </x:row>
    <x:row r="177" ht="23" customHeight="1">
      <x:c r="A177" s="9"/>
      <x:c r="B177" s="9"/>
      <x:c r="C177" s="9"/>
      <x:c r="D177" s="9"/>
      <x:c r="E177" s="9"/>
      <x:c r="F177" s="9"/>
      <x:c r="G177" s="11"/>
      <x:c r="H177" s="11"/>
      <x:c r="I177" s="9"/>
      <x:c r="J177" s="9"/>
      <x:c r="K177" s="12" t="str">
        <x:f>IF(A177="","",IF(ISNUMBER(H177),H177-'Tableau de bord'!$F$5,""))</x:f>
      </x:c>
      <x:c r="L177" s="12" t="str">
        <x:f>IF(A177="","",IF(ISNUMBER(H177),IF(K177&lt;0,"Expiré",IF(K177&lt;='Paramètres'!$E$6,"À renouveler","À jour")),"À compléter"))</x:f>
      </x:c>
      <x:c r="M177" s="9"/>
    </x:row>
    <x:row r="178" ht="23" customHeight="1">
      <x:c r="A178" s="9"/>
      <x:c r="B178" s="9"/>
      <x:c r="C178" s="9"/>
      <x:c r="D178" s="9"/>
      <x:c r="E178" s="9"/>
      <x:c r="F178" s="9"/>
      <x:c r="G178" s="11"/>
      <x:c r="H178" s="11"/>
      <x:c r="I178" s="9"/>
      <x:c r="J178" s="9"/>
      <x:c r="K178" s="12" t="str">
        <x:f>IF(A178="","",IF(ISNUMBER(H178),H178-'Tableau de bord'!$F$5,""))</x:f>
      </x:c>
      <x:c r="L178" s="12" t="str">
        <x:f>IF(A178="","",IF(ISNUMBER(H178),IF(K178&lt;0,"Expiré",IF(K178&lt;='Paramètres'!$E$6,"À renouveler","À jour")),"À compléter"))</x:f>
      </x:c>
      <x:c r="M178" s="9"/>
    </x:row>
    <x:row r="179" ht="23" customHeight="1">
      <x:c r="A179" s="9"/>
      <x:c r="B179" s="9"/>
      <x:c r="C179" s="9"/>
      <x:c r="D179" s="9"/>
      <x:c r="E179" s="9"/>
      <x:c r="F179" s="9"/>
      <x:c r="G179" s="11"/>
      <x:c r="H179" s="11"/>
      <x:c r="I179" s="9"/>
      <x:c r="J179" s="9"/>
      <x:c r="K179" s="12" t="str">
        <x:f>IF(A179="","",IF(ISNUMBER(H179),H179-'Tableau de bord'!$F$5,""))</x:f>
      </x:c>
      <x:c r="L179" s="12" t="str">
        <x:f>IF(A179="","",IF(ISNUMBER(H179),IF(K179&lt;0,"Expiré",IF(K179&lt;='Paramètres'!$E$6,"À renouveler","À jour")),"À compléter"))</x:f>
      </x:c>
      <x:c r="M179" s="9"/>
    </x:row>
    <x:row r="180" ht="23" customHeight="1">
      <x:c r="A180" s="9"/>
      <x:c r="B180" s="9"/>
      <x:c r="C180" s="9"/>
      <x:c r="D180" s="9"/>
      <x:c r="E180" s="9"/>
      <x:c r="F180" s="9"/>
      <x:c r="G180" s="11"/>
      <x:c r="H180" s="11"/>
      <x:c r="I180" s="9"/>
      <x:c r="J180" s="9"/>
      <x:c r="K180" s="12" t="str">
        <x:f>IF(A180="","",IF(ISNUMBER(H180),H180-'Tableau de bord'!$F$5,""))</x:f>
      </x:c>
      <x:c r="L180" s="12" t="str">
        <x:f>IF(A180="","",IF(ISNUMBER(H180),IF(K180&lt;0,"Expiré",IF(K180&lt;='Paramètres'!$E$6,"À renouveler","À jour")),"À compléter"))</x:f>
      </x:c>
      <x:c r="M180" s="9"/>
    </x:row>
    <x:row r="181" ht="23" customHeight="1">
      <x:c r="A181" s="9"/>
      <x:c r="B181" s="9"/>
      <x:c r="C181" s="9"/>
      <x:c r="D181" s="9"/>
      <x:c r="E181" s="9"/>
      <x:c r="F181" s="9"/>
      <x:c r="G181" s="11"/>
      <x:c r="H181" s="11"/>
      <x:c r="I181" s="9"/>
      <x:c r="J181" s="9"/>
      <x:c r="K181" s="12" t="str">
        <x:f>IF(A181="","",IF(ISNUMBER(H181),H181-'Tableau de bord'!$F$5,""))</x:f>
      </x:c>
      <x:c r="L181" s="12" t="str">
        <x:f>IF(A181="","",IF(ISNUMBER(H181),IF(K181&lt;0,"Expiré",IF(K181&lt;='Paramètres'!$E$6,"À renouveler","À jour")),"À compléter"))</x:f>
      </x:c>
      <x:c r="M181" s="9"/>
    </x:row>
    <x:row r="182" ht="23" customHeight="1">
      <x:c r="A182" s="9"/>
      <x:c r="B182" s="9"/>
      <x:c r="C182" s="9"/>
      <x:c r="D182" s="9"/>
      <x:c r="E182" s="9"/>
      <x:c r="F182" s="9"/>
      <x:c r="G182" s="11"/>
      <x:c r="H182" s="11"/>
      <x:c r="I182" s="9"/>
      <x:c r="J182" s="9"/>
      <x:c r="K182" s="12" t="str">
        <x:f>IF(A182="","",IF(ISNUMBER(H182),H182-'Tableau de bord'!$F$5,""))</x:f>
      </x:c>
      <x:c r="L182" s="12" t="str">
        <x:f>IF(A182="","",IF(ISNUMBER(H182),IF(K182&lt;0,"Expiré",IF(K182&lt;='Paramètres'!$E$6,"À renouveler","À jour")),"À compléter"))</x:f>
      </x:c>
      <x:c r="M182" s="9"/>
    </x:row>
    <x:row r="183" ht="23" customHeight="1">
      <x:c r="A183" s="9"/>
      <x:c r="B183" s="9"/>
      <x:c r="C183" s="9"/>
      <x:c r="D183" s="9"/>
      <x:c r="E183" s="9"/>
      <x:c r="F183" s="9"/>
      <x:c r="G183" s="11"/>
      <x:c r="H183" s="11"/>
      <x:c r="I183" s="9"/>
      <x:c r="J183" s="9"/>
      <x:c r="K183" s="12" t="str">
        <x:f>IF(A183="","",IF(ISNUMBER(H183),H183-'Tableau de bord'!$F$5,""))</x:f>
      </x:c>
      <x:c r="L183" s="12" t="str">
        <x:f>IF(A183="","",IF(ISNUMBER(H183),IF(K183&lt;0,"Expiré",IF(K183&lt;='Paramètres'!$E$6,"À renouveler","À jour")),"À compléter"))</x:f>
      </x:c>
      <x:c r="M183" s="9"/>
    </x:row>
    <x:row r="184" ht="23" customHeight="1">
      <x:c r="A184" s="9"/>
      <x:c r="B184" s="9"/>
      <x:c r="C184" s="9"/>
      <x:c r="D184" s="9"/>
      <x:c r="E184" s="9"/>
      <x:c r="F184" s="9"/>
      <x:c r="G184" s="11"/>
      <x:c r="H184" s="11"/>
      <x:c r="I184" s="9"/>
      <x:c r="J184" s="9"/>
      <x:c r="K184" s="12" t="str">
        <x:f>IF(A184="","",IF(ISNUMBER(H184),H184-'Tableau de bord'!$F$5,""))</x:f>
      </x:c>
      <x:c r="L184" s="12" t="str">
        <x:f>IF(A184="","",IF(ISNUMBER(H184),IF(K184&lt;0,"Expiré",IF(K184&lt;='Paramètres'!$E$6,"À renouveler","À jour")),"À compléter"))</x:f>
      </x:c>
      <x:c r="M184" s="9"/>
    </x:row>
    <x:row r="185" ht="23" customHeight="1">
      <x:c r="A185" s="9"/>
      <x:c r="B185" s="9"/>
      <x:c r="C185" s="9"/>
      <x:c r="D185" s="9"/>
      <x:c r="E185" s="9"/>
      <x:c r="F185" s="9"/>
      <x:c r="G185" s="11"/>
      <x:c r="H185" s="11"/>
      <x:c r="I185" s="9"/>
      <x:c r="J185" s="9"/>
      <x:c r="K185" s="12" t="str">
        <x:f>IF(A185="","",IF(ISNUMBER(H185),H185-'Tableau de bord'!$F$5,""))</x:f>
      </x:c>
      <x:c r="L185" s="12" t="str">
        <x:f>IF(A185="","",IF(ISNUMBER(H185),IF(K185&lt;0,"Expiré",IF(K185&lt;='Paramètres'!$E$6,"À renouveler","À jour")),"À compléter"))</x:f>
      </x:c>
      <x:c r="M185" s="9"/>
    </x:row>
    <x:row r="186" ht="23" customHeight="1">
      <x:c r="A186" s="9"/>
      <x:c r="B186" s="9"/>
      <x:c r="C186" s="9"/>
      <x:c r="D186" s="9"/>
      <x:c r="E186" s="9"/>
      <x:c r="F186" s="9"/>
      <x:c r="G186" s="11"/>
      <x:c r="H186" s="11"/>
      <x:c r="I186" s="9"/>
      <x:c r="J186" s="9"/>
      <x:c r="K186" s="12" t="str">
        <x:f>IF(A186="","",IF(ISNUMBER(H186),H186-'Tableau de bord'!$F$5,""))</x:f>
      </x:c>
      <x:c r="L186" s="12" t="str">
        <x:f>IF(A186="","",IF(ISNUMBER(H186),IF(K186&lt;0,"Expiré",IF(K186&lt;='Paramètres'!$E$6,"À renouveler","À jour")),"À compléter"))</x:f>
      </x:c>
      <x:c r="M186" s="9"/>
    </x:row>
    <x:row r="187" ht="23" customHeight="1">
      <x:c r="A187" s="9"/>
      <x:c r="B187" s="9"/>
      <x:c r="C187" s="9"/>
      <x:c r="D187" s="9"/>
      <x:c r="E187" s="9"/>
      <x:c r="F187" s="9"/>
      <x:c r="G187" s="11"/>
      <x:c r="H187" s="11"/>
      <x:c r="I187" s="9"/>
      <x:c r="J187" s="9"/>
      <x:c r="K187" s="12" t="str">
        <x:f>IF(A187="","",IF(ISNUMBER(H187),H187-'Tableau de bord'!$F$5,""))</x:f>
      </x:c>
      <x:c r="L187" s="12" t="str">
        <x:f>IF(A187="","",IF(ISNUMBER(H187),IF(K187&lt;0,"Expiré",IF(K187&lt;='Paramètres'!$E$6,"À renouveler","À jour")),"À compléter"))</x:f>
      </x:c>
      <x:c r="M187" s="9"/>
    </x:row>
    <x:row r="188" ht="23" customHeight="1">
      <x:c r="A188" s="9"/>
      <x:c r="B188" s="9"/>
      <x:c r="C188" s="9"/>
      <x:c r="D188" s="9"/>
      <x:c r="E188" s="9"/>
      <x:c r="F188" s="9"/>
      <x:c r="G188" s="11"/>
      <x:c r="H188" s="11"/>
      <x:c r="I188" s="9"/>
      <x:c r="J188" s="9"/>
      <x:c r="K188" s="12" t="str">
        <x:f>IF(A188="","",IF(ISNUMBER(H188),H188-'Tableau de bord'!$F$5,""))</x:f>
      </x:c>
      <x:c r="L188" s="12" t="str">
        <x:f>IF(A188="","",IF(ISNUMBER(H188),IF(K188&lt;0,"Expiré",IF(K188&lt;='Paramètres'!$E$6,"À renouveler","À jour")),"À compléter"))</x:f>
      </x:c>
      <x:c r="M188" s="9"/>
    </x:row>
    <x:row r="189" ht="23" customHeight="1">
      <x:c r="A189" s="9"/>
      <x:c r="B189" s="9"/>
      <x:c r="C189" s="9"/>
      <x:c r="D189" s="9"/>
      <x:c r="E189" s="9"/>
      <x:c r="F189" s="9"/>
      <x:c r="G189" s="11"/>
      <x:c r="H189" s="11"/>
      <x:c r="I189" s="9"/>
      <x:c r="J189" s="9"/>
      <x:c r="K189" s="12" t="str">
        <x:f>IF(A189="","",IF(ISNUMBER(H189),H189-'Tableau de bord'!$F$5,""))</x:f>
      </x:c>
      <x:c r="L189" s="12" t="str">
        <x:f>IF(A189="","",IF(ISNUMBER(H189),IF(K189&lt;0,"Expiré",IF(K189&lt;='Paramètres'!$E$6,"À renouveler","À jour")),"À compléter"))</x:f>
      </x:c>
      <x:c r="M189" s="9"/>
    </x:row>
    <x:row r="190" ht="23" customHeight="1">
      <x:c r="A190" s="9"/>
      <x:c r="B190" s="9"/>
      <x:c r="C190" s="9"/>
      <x:c r="D190" s="9"/>
      <x:c r="E190" s="9"/>
      <x:c r="F190" s="9"/>
      <x:c r="G190" s="11"/>
      <x:c r="H190" s="11"/>
      <x:c r="I190" s="9"/>
      <x:c r="J190" s="9"/>
      <x:c r="K190" s="12" t="str">
        <x:f>IF(A190="","",IF(ISNUMBER(H190),H190-'Tableau de bord'!$F$5,""))</x:f>
      </x:c>
      <x:c r="L190" s="12" t="str">
        <x:f>IF(A190="","",IF(ISNUMBER(H190),IF(K190&lt;0,"Expiré",IF(K190&lt;='Paramètres'!$E$6,"À renouveler","À jour")),"À compléter"))</x:f>
      </x:c>
      <x:c r="M190" s="9"/>
    </x:row>
    <x:row r="191" ht="23" customHeight="1">
      <x:c r="A191" s="9"/>
      <x:c r="B191" s="9"/>
      <x:c r="C191" s="9"/>
      <x:c r="D191" s="9"/>
      <x:c r="E191" s="9"/>
      <x:c r="F191" s="9"/>
      <x:c r="G191" s="11"/>
      <x:c r="H191" s="11"/>
      <x:c r="I191" s="9"/>
      <x:c r="J191" s="9"/>
      <x:c r="K191" s="12" t="str">
        <x:f>IF(A191="","",IF(ISNUMBER(H191),H191-'Tableau de bord'!$F$5,""))</x:f>
      </x:c>
      <x:c r="L191" s="12" t="str">
        <x:f>IF(A191="","",IF(ISNUMBER(H191),IF(K191&lt;0,"Expiré",IF(K191&lt;='Paramètres'!$E$6,"À renouveler","À jour")),"À compléter"))</x:f>
      </x:c>
      <x:c r="M191" s="9"/>
    </x:row>
    <x:row r="192" ht="23" customHeight="1">
      <x:c r="A192" s="9"/>
      <x:c r="B192" s="9"/>
      <x:c r="C192" s="9"/>
      <x:c r="D192" s="9"/>
      <x:c r="E192" s="9"/>
      <x:c r="F192" s="9"/>
      <x:c r="G192" s="11"/>
      <x:c r="H192" s="11"/>
      <x:c r="I192" s="9"/>
      <x:c r="J192" s="9"/>
      <x:c r="K192" s="12" t="str">
        <x:f>IF(A192="","",IF(ISNUMBER(H192),H192-'Tableau de bord'!$F$5,""))</x:f>
      </x:c>
      <x:c r="L192" s="12" t="str">
        <x:f>IF(A192="","",IF(ISNUMBER(H192),IF(K192&lt;0,"Expiré",IF(K192&lt;='Paramètres'!$E$6,"À renouveler","À jour")),"À compléter"))</x:f>
      </x:c>
      <x:c r="M192" s="9"/>
    </x:row>
    <x:row r="193" ht="23" customHeight="1">
      <x:c r="A193" s="9"/>
      <x:c r="B193" s="9"/>
      <x:c r="C193" s="9"/>
      <x:c r="D193" s="9"/>
      <x:c r="E193" s="9"/>
      <x:c r="F193" s="9"/>
      <x:c r="G193" s="11"/>
      <x:c r="H193" s="11"/>
      <x:c r="I193" s="9"/>
      <x:c r="J193" s="9"/>
      <x:c r="K193" s="12" t="str">
        <x:f>IF(A193="","",IF(ISNUMBER(H193),H193-'Tableau de bord'!$F$5,""))</x:f>
      </x:c>
      <x:c r="L193" s="12" t="str">
        <x:f>IF(A193="","",IF(ISNUMBER(H193),IF(K193&lt;0,"Expiré",IF(K193&lt;='Paramètres'!$E$6,"À renouveler","À jour")),"À compléter"))</x:f>
      </x:c>
      <x:c r="M193" s="9"/>
    </x:row>
    <x:row r="194" ht="23" customHeight="1">
      <x:c r="A194" s="9"/>
      <x:c r="B194" s="9"/>
      <x:c r="C194" s="9"/>
      <x:c r="D194" s="9"/>
      <x:c r="E194" s="9"/>
      <x:c r="F194" s="9"/>
      <x:c r="G194" s="11"/>
      <x:c r="H194" s="11"/>
      <x:c r="I194" s="9"/>
      <x:c r="J194" s="9"/>
      <x:c r="K194" s="12" t="str">
        <x:f>IF(A194="","",IF(ISNUMBER(H194),H194-'Tableau de bord'!$F$5,""))</x:f>
      </x:c>
      <x:c r="L194" s="12" t="str">
        <x:f>IF(A194="","",IF(ISNUMBER(H194),IF(K194&lt;0,"Expiré",IF(K194&lt;='Paramètres'!$E$6,"À renouveler","À jour")),"À compléter"))</x:f>
      </x:c>
      <x:c r="M194" s="9"/>
    </x:row>
    <x:row r="195" ht="23" customHeight="1">
      <x:c r="A195" s="9"/>
      <x:c r="B195" s="9"/>
      <x:c r="C195" s="9"/>
      <x:c r="D195" s="9"/>
      <x:c r="E195" s="9"/>
      <x:c r="F195" s="9"/>
      <x:c r="G195" s="11"/>
      <x:c r="H195" s="11"/>
      <x:c r="I195" s="9"/>
      <x:c r="J195" s="9"/>
      <x:c r="K195" s="12" t="str">
        <x:f>IF(A195="","",IF(ISNUMBER(H195),H195-'Tableau de bord'!$F$5,""))</x:f>
      </x:c>
      <x:c r="L195" s="12" t="str">
        <x:f>IF(A195="","",IF(ISNUMBER(H195),IF(K195&lt;0,"Expiré",IF(K195&lt;='Paramètres'!$E$6,"À renouveler","À jour")),"À compléter"))</x:f>
      </x:c>
      <x:c r="M195" s="9"/>
    </x:row>
    <x:row r="196" ht="23" customHeight="1">
      <x:c r="A196" s="9"/>
      <x:c r="B196" s="9"/>
      <x:c r="C196" s="9"/>
      <x:c r="D196" s="9"/>
      <x:c r="E196" s="9"/>
      <x:c r="F196" s="9"/>
      <x:c r="G196" s="11"/>
      <x:c r="H196" s="11"/>
      <x:c r="I196" s="9"/>
      <x:c r="J196" s="9"/>
      <x:c r="K196" s="12" t="str">
        <x:f>IF(A196="","",IF(ISNUMBER(H196),H196-'Tableau de bord'!$F$5,""))</x:f>
      </x:c>
      <x:c r="L196" s="12" t="str">
        <x:f>IF(A196="","",IF(ISNUMBER(H196),IF(K196&lt;0,"Expiré",IF(K196&lt;='Paramètres'!$E$6,"À renouveler","À jour")),"À compléter"))</x:f>
      </x:c>
      <x:c r="M196" s="9"/>
    </x:row>
    <x:row r="197" ht="23" customHeight="1">
      <x:c r="A197" s="9"/>
      <x:c r="B197" s="9"/>
      <x:c r="C197" s="9"/>
      <x:c r="D197" s="9"/>
      <x:c r="E197" s="9"/>
      <x:c r="F197" s="9"/>
      <x:c r="G197" s="11"/>
      <x:c r="H197" s="11"/>
      <x:c r="I197" s="9"/>
      <x:c r="J197" s="9"/>
      <x:c r="K197" s="12" t="str">
        <x:f>IF(A197="","",IF(ISNUMBER(H197),H197-'Tableau de bord'!$F$5,""))</x:f>
      </x:c>
      <x:c r="L197" s="12" t="str">
        <x:f>IF(A197="","",IF(ISNUMBER(H197),IF(K197&lt;0,"Expiré",IF(K197&lt;='Paramètres'!$E$6,"À renouveler","À jour")),"À compléter"))</x:f>
      </x:c>
      <x:c r="M197" s="9"/>
    </x:row>
    <x:row r="198" ht="23" customHeight="1">
      <x:c r="A198" s="9"/>
      <x:c r="B198" s="9"/>
      <x:c r="C198" s="9"/>
      <x:c r="D198" s="9"/>
      <x:c r="E198" s="9"/>
      <x:c r="F198" s="9"/>
      <x:c r="G198" s="11"/>
      <x:c r="H198" s="11"/>
      <x:c r="I198" s="9"/>
      <x:c r="J198" s="9"/>
      <x:c r="K198" s="12" t="str">
        <x:f>IF(A198="","",IF(ISNUMBER(H198),H198-'Tableau de bord'!$F$5,""))</x:f>
      </x:c>
      <x:c r="L198" s="12" t="str">
        <x:f>IF(A198="","",IF(ISNUMBER(H198),IF(K198&lt;0,"Expiré",IF(K198&lt;='Paramètres'!$E$6,"À renouveler","À jour")),"À compléter"))</x:f>
      </x:c>
      <x:c r="M198" s="9"/>
    </x:row>
    <x:row r="199" ht="23" customHeight="1">
      <x:c r="A199" s="9"/>
      <x:c r="B199" s="9"/>
      <x:c r="C199" s="9"/>
      <x:c r="D199" s="9"/>
      <x:c r="E199" s="9"/>
      <x:c r="F199" s="9"/>
      <x:c r="G199" s="11"/>
      <x:c r="H199" s="11"/>
      <x:c r="I199" s="9"/>
      <x:c r="J199" s="9"/>
      <x:c r="K199" s="12" t="str">
        <x:f>IF(A199="","",IF(ISNUMBER(H199),H199-'Tableau de bord'!$F$5,""))</x:f>
      </x:c>
      <x:c r="L199" s="12" t="str">
        <x:f>IF(A199="","",IF(ISNUMBER(H199),IF(K199&lt;0,"Expiré",IF(K199&lt;='Paramètres'!$E$6,"À renouveler","À jour")),"À compléter"))</x:f>
      </x:c>
      <x:c r="M199" s="9"/>
    </x:row>
    <x:row r="200" ht="23" customHeight="1">
      <x:c r="A200" s="9"/>
      <x:c r="B200" s="9"/>
      <x:c r="C200" s="9"/>
      <x:c r="D200" s="9"/>
      <x:c r="E200" s="9"/>
      <x:c r="F200" s="9"/>
      <x:c r="G200" s="11"/>
      <x:c r="H200" s="11"/>
      <x:c r="I200" s="9"/>
      <x:c r="J200" s="9"/>
      <x:c r="K200" s="12" t="str">
        <x:f>IF(A200="","",IF(ISNUMBER(H200),H200-'Tableau de bord'!$F$5,""))</x:f>
      </x:c>
      <x:c r="L200" s="12" t="str">
        <x:f>IF(A200="","",IF(ISNUMBER(H200),IF(K200&lt;0,"Expiré",IF(K200&lt;='Paramètres'!$E$6,"À renouveler","À jour")),"À compléter"))</x:f>
      </x:c>
      <x:c r="M200" s="9"/>
    </x:row>
    <x:row r="201" ht="23" customHeight="1">
      <x:c r="A201" s="9"/>
      <x:c r="B201" s="9"/>
      <x:c r="C201" s="9"/>
      <x:c r="D201" s="9"/>
      <x:c r="E201" s="9"/>
      <x:c r="F201" s="9"/>
      <x:c r="G201" s="11"/>
      <x:c r="H201" s="11"/>
      <x:c r="I201" s="9"/>
      <x:c r="J201" s="9"/>
      <x:c r="K201" s="12" t="str">
        <x:f>IF(A201="","",IF(ISNUMBER(H201),H201-'Tableau de bord'!$F$5,""))</x:f>
      </x:c>
      <x:c r="L201" s="12" t="str">
        <x:f>IF(A201="","",IF(ISNUMBER(H201),IF(K201&lt;0,"Expiré",IF(K201&lt;='Paramètres'!$E$6,"À renouveler","À jour")),"À compléter"))</x:f>
      </x:c>
      <x:c r="M201" s="9"/>
    </x:row>
    <x:row r="202" ht="23" customHeight="1">
      <x:c r="A202" s="9"/>
      <x:c r="B202" s="9"/>
      <x:c r="C202" s="9"/>
      <x:c r="D202" s="9"/>
      <x:c r="E202" s="9"/>
      <x:c r="F202" s="9"/>
      <x:c r="G202" s="11"/>
      <x:c r="H202" s="11"/>
      <x:c r="I202" s="9"/>
      <x:c r="J202" s="9"/>
      <x:c r="K202" s="12" t="str">
        <x:f>IF(A202="","",IF(ISNUMBER(H202),H202-'Tableau de bord'!$F$5,""))</x:f>
      </x:c>
      <x:c r="L202" s="12" t="str">
        <x:f>IF(A202="","",IF(ISNUMBER(H202),IF(K202&lt;0,"Expiré",IF(K202&lt;='Paramètres'!$E$6,"À renouveler","À jour")),"À compléter"))</x:f>
      </x:c>
      <x:c r="M202" s="9"/>
    </x:row>
    <x:row r="203" ht="23" customHeight="1">
      <x:c r="A203" s="9"/>
      <x:c r="B203" s="9"/>
      <x:c r="C203" s="9"/>
      <x:c r="D203" s="9"/>
      <x:c r="E203" s="9"/>
      <x:c r="F203" s="9"/>
      <x:c r="G203" s="11"/>
      <x:c r="H203" s="11"/>
      <x:c r="I203" s="9"/>
      <x:c r="J203" s="9"/>
      <x:c r="K203" s="12" t="str">
        <x:f>IF(A203="","",IF(ISNUMBER(H203),H203-'Tableau de bord'!$F$5,""))</x:f>
      </x:c>
      <x:c r="L203" s="12" t="str">
        <x:f>IF(A203="","",IF(ISNUMBER(H203),IF(K203&lt;0,"Expiré",IF(K203&lt;='Paramètres'!$E$6,"À renouveler","À jour")),"À compléter"))</x:f>
      </x:c>
      <x:c r="M203" s="9"/>
    </x:row>
    <x:row r="204" ht="23" customHeight="1">
      <x:c r="A204" s="9"/>
      <x:c r="B204" s="9"/>
      <x:c r="C204" s="9"/>
      <x:c r="D204" s="9"/>
      <x:c r="E204" s="9"/>
      <x:c r="F204" s="9"/>
      <x:c r="G204" s="11"/>
      <x:c r="H204" s="11"/>
      <x:c r="I204" s="9"/>
      <x:c r="J204" s="9"/>
      <x:c r="K204" s="12" t="str">
        <x:f>IF(A204="","",IF(ISNUMBER(H204),H204-'Tableau de bord'!$F$5,""))</x:f>
      </x:c>
      <x:c r="L204" s="12" t="str">
        <x:f>IF(A204="","",IF(ISNUMBER(H204),IF(K204&lt;0,"Expiré",IF(K204&lt;='Paramètres'!$E$6,"À renouveler","À jour")),"À compléter"))</x:f>
      </x:c>
      <x:c r="M204" s="9"/>
    </x:row>
    <x:row r="205" ht="23" customHeight="1">
      <x:c r="A205" s="9"/>
      <x:c r="B205" s="9"/>
      <x:c r="C205" s="9"/>
      <x:c r="D205" s="9"/>
      <x:c r="E205" s="9"/>
      <x:c r="F205" s="9"/>
      <x:c r="G205" s="11"/>
      <x:c r="H205" s="11"/>
      <x:c r="I205" s="9"/>
      <x:c r="J205" s="9"/>
      <x:c r="K205" s="12" t="str">
        <x:f>IF(A205="","",IF(ISNUMBER(H205),H205-'Tableau de bord'!$F$5,""))</x:f>
      </x:c>
      <x:c r="L205" s="12" t="str">
        <x:f>IF(A205="","",IF(ISNUMBER(H205),IF(K205&lt;0,"Expiré",IF(K205&lt;='Paramètres'!$E$6,"À renouveler","À jour")),"À compléter"))</x:f>
      </x:c>
      <x:c r="M205" s="9"/>
    </x:row>
    <x:row r="206" ht="23" customHeight="1">
      <x:c r="A206" s="9"/>
      <x:c r="B206" s="9"/>
      <x:c r="C206" s="9"/>
      <x:c r="D206" s="9"/>
      <x:c r="E206" s="9"/>
      <x:c r="F206" s="9"/>
      <x:c r="G206" s="11"/>
      <x:c r="H206" s="11"/>
      <x:c r="I206" s="9"/>
      <x:c r="J206" s="9"/>
      <x:c r="K206" s="12" t="str">
        <x:f>IF(A206="","",IF(ISNUMBER(H206),H206-'Tableau de bord'!$F$5,""))</x:f>
      </x:c>
      <x:c r="L206" s="12" t="str">
        <x:f>IF(A206="","",IF(ISNUMBER(H206),IF(K206&lt;0,"Expiré",IF(K206&lt;='Paramètres'!$E$6,"À renouveler","À jour")),"À compléter"))</x:f>
      </x:c>
      <x:c r="M206" s="9"/>
    </x:row>
    <x:row r="207" ht="23" customHeight="1">
      <x:c r="A207" s="9"/>
      <x:c r="B207" s="9"/>
      <x:c r="C207" s="9"/>
      <x:c r="D207" s="9"/>
      <x:c r="E207" s="9"/>
      <x:c r="F207" s="9"/>
      <x:c r="G207" s="11"/>
      <x:c r="H207" s="11"/>
      <x:c r="I207" s="9"/>
      <x:c r="J207" s="9"/>
      <x:c r="K207" s="12" t="str">
        <x:f>IF(A207="","",IF(ISNUMBER(H207),H207-'Tableau de bord'!$F$5,""))</x:f>
      </x:c>
      <x:c r="L207" s="12" t="str">
        <x:f>IF(A207="","",IF(ISNUMBER(H207),IF(K207&lt;0,"Expiré",IF(K207&lt;='Paramètres'!$E$6,"À renouveler","À jour")),"À compléter"))</x:f>
      </x:c>
      <x:c r="M207" s="9"/>
    </x:row>
    <x:row r="208" ht="23" customHeight="1">
      <x:c r="A208" s="9"/>
      <x:c r="B208" s="9"/>
      <x:c r="C208" s="9"/>
      <x:c r="D208" s="9"/>
      <x:c r="E208" s="9"/>
      <x:c r="F208" s="9"/>
      <x:c r="G208" s="11"/>
      <x:c r="H208" s="11"/>
      <x:c r="I208" s="9"/>
      <x:c r="J208" s="9"/>
      <x:c r="K208" s="12" t="str">
        <x:f>IF(A208="","",IF(ISNUMBER(H208),H208-'Tableau de bord'!$F$5,""))</x:f>
      </x:c>
      <x:c r="L208" s="12" t="str">
        <x:f>IF(A208="","",IF(ISNUMBER(H208),IF(K208&lt;0,"Expiré",IF(K208&lt;='Paramètres'!$E$6,"À renouveler","À jour")),"À compléter"))</x:f>
      </x:c>
      <x:c r="M208" s="9"/>
    </x:row>
    <x:row r="209" ht="23" customHeight="1">
      <x:c r="A209" s="9"/>
      <x:c r="B209" s="9"/>
      <x:c r="C209" s="9"/>
      <x:c r="D209" s="9"/>
      <x:c r="E209" s="9"/>
      <x:c r="F209" s="9"/>
      <x:c r="G209" s="11"/>
      <x:c r="H209" s="11"/>
      <x:c r="I209" s="9"/>
      <x:c r="J209" s="9"/>
      <x:c r="K209" s="12" t="str">
        <x:f>IF(A209="","",IF(ISNUMBER(H209),H209-'Tableau de bord'!$F$5,""))</x:f>
      </x:c>
      <x:c r="L209" s="12" t="str">
        <x:f>IF(A209="","",IF(ISNUMBER(H209),IF(K209&lt;0,"Expiré",IF(K209&lt;='Paramètres'!$E$6,"À renouveler","À jour")),"À compléter"))</x:f>
      </x:c>
      <x:c r="M209" s="9"/>
    </x:row>
    <x:row r="210" ht="23" customHeight="1">
      <x:c r="A210" s="9"/>
      <x:c r="B210" s="9"/>
      <x:c r="C210" s="9"/>
      <x:c r="D210" s="9"/>
      <x:c r="E210" s="9"/>
      <x:c r="F210" s="9"/>
      <x:c r="G210" s="11"/>
      <x:c r="H210" s="11"/>
      <x:c r="I210" s="9"/>
      <x:c r="J210" s="9"/>
      <x:c r="K210" s="12" t="str">
        <x:f>IF(A210="","",IF(ISNUMBER(H210),H210-'Tableau de bord'!$F$5,""))</x:f>
      </x:c>
      <x:c r="L210" s="12" t="str">
        <x:f>IF(A210="","",IF(ISNUMBER(H210),IF(K210&lt;0,"Expiré",IF(K210&lt;='Paramètres'!$E$6,"À renouveler","À jour")),"À compléter"))</x:f>
      </x:c>
      <x:c r="M210" s="9"/>
    </x:row>
    <x:row r="211" ht="23" customHeight="1">
      <x:c r="A211" s="9"/>
      <x:c r="B211" s="9"/>
      <x:c r="C211" s="9"/>
      <x:c r="D211" s="9"/>
      <x:c r="E211" s="9"/>
      <x:c r="F211" s="9"/>
      <x:c r="G211" s="11"/>
      <x:c r="H211" s="11"/>
      <x:c r="I211" s="9"/>
      <x:c r="J211" s="9"/>
      <x:c r="K211" s="12" t="str">
        <x:f>IF(A211="","",IF(ISNUMBER(H211),H211-'Tableau de bord'!$F$5,""))</x:f>
      </x:c>
      <x:c r="L211" s="12" t="str">
        <x:f>IF(A211="","",IF(ISNUMBER(H211),IF(K211&lt;0,"Expiré",IF(K211&lt;='Paramètres'!$E$6,"À renouveler","À jour")),"À compléter"))</x:f>
      </x:c>
      <x:c r="M211" s="9"/>
    </x:row>
    <x:row r="212" ht="23" customHeight="1">
      <x:c r="A212" s="9"/>
      <x:c r="B212" s="9"/>
      <x:c r="C212" s="9"/>
      <x:c r="D212" s="9"/>
      <x:c r="E212" s="9"/>
      <x:c r="F212" s="9"/>
      <x:c r="G212" s="11"/>
      <x:c r="H212" s="11"/>
      <x:c r="I212" s="9"/>
      <x:c r="J212" s="9"/>
      <x:c r="K212" s="12" t="str">
        <x:f>IF(A212="","",IF(ISNUMBER(H212),H212-'Tableau de bord'!$F$5,""))</x:f>
      </x:c>
      <x:c r="L212" s="12" t="str">
        <x:f>IF(A212="","",IF(ISNUMBER(H212),IF(K212&lt;0,"Expiré",IF(K212&lt;='Paramètres'!$E$6,"À renouveler","À jour")),"À compléter"))</x:f>
      </x:c>
      <x:c r="M212" s="9"/>
    </x:row>
    <x:row r="213" ht="23" customHeight="1">
      <x:c r="A213" s="9"/>
      <x:c r="B213" s="9"/>
      <x:c r="C213" s="9"/>
      <x:c r="D213" s="9"/>
      <x:c r="E213" s="9"/>
      <x:c r="F213" s="9"/>
      <x:c r="G213" s="11"/>
      <x:c r="H213" s="11"/>
      <x:c r="I213" s="9"/>
      <x:c r="J213" s="9"/>
      <x:c r="K213" s="12" t="str">
        <x:f>IF(A213="","",IF(ISNUMBER(H213),H213-'Tableau de bord'!$F$5,""))</x:f>
      </x:c>
      <x:c r="L213" s="12" t="str">
        <x:f>IF(A213="","",IF(ISNUMBER(H213),IF(K213&lt;0,"Expiré",IF(K213&lt;='Paramètres'!$E$6,"À renouveler","À jour")),"À compléter"))</x:f>
      </x:c>
      <x:c r="M213" s="9"/>
    </x:row>
    <x:row r="214" ht="23" customHeight="1">
      <x:c r="A214" s="9"/>
      <x:c r="B214" s="9"/>
      <x:c r="C214" s="9"/>
      <x:c r="D214" s="9"/>
      <x:c r="E214" s="9"/>
      <x:c r="F214" s="9"/>
      <x:c r="G214" s="11"/>
      <x:c r="H214" s="11"/>
      <x:c r="I214" s="9"/>
      <x:c r="J214" s="9"/>
      <x:c r="K214" s="12" t="str">
        <x:f>IF(A214="","",IF(ISNUMBER(H214),H214-'Tableau de bord'!$F$5,""))</x:f>
      </x:c>
      <x:c r="L214" s="12" t="str">
        <x:f>IF(A214="","",IF(ISNUMBER(H214),IF(K214&lt;0,"Expiré",IF(K214&lt;='Paramètres'!$E$6,"À renouveler","À jour")),"À compléter"))</x:f>
      </x:c>
      <x:c r="M214" s="9"/>
    </x:row>
    <x:row r="215" ht="23" customHeight="1">
      <x:c r="A215" s="9"/>
      <x:c r="B215" s="9"/>
      <x:c r="C215" s="9"/>
      <x:c r="D215" s="9"/>
      <x:c r="E215" s="9"/>
      <x:c r="F215" s="9"/>
      <x:c r="G215" s="11"/>
      <x:c r="H215" s="11"/>
      <x:c r="I215" s="9"/>
      <x:c r="J215" s="9"/>
      <x:c r="K215" s="12" t="str">
        <x:f>IF(A215="","",IF(ISNUMBER(H215),H215-'Tableau de bord'!$F$5,""))</x:f>
      </x:c>
      <x:c r="L215" s="12" t="str">
        <x:f>IF(A215="","",IF(ISNUMBER(H215),IF(K215&lt;0,"Expiré",IF(K215&lt;='Paramètres'!$E$6,"À renouveler","À jour")),"À compléter"))</x:f>
      </x:c>
      <x:c r="M215" s="9"/>
    </x:row>
    <x:row r="216" ht="23" customHeight="1">
      <x:c r="A216" s="9"/>
      <x:c r="B216" s="9"/>
      <x:c r="C216" s="9"/>
      <x:c r="D216" s="9"/>
      <x:c r="E216" s="9"/>
      <x:c r="F216" s="9"/>
      <x:c r="G216" s="11"/>
      <x:c r="H216" s="11"/>
      <x:c r="I216" s="9"/>
      <x:c r="J216" s="9"/>
      <x:c r="K216" s="12" t="str">
        <x:f>IF(A216="","",IF(ISNUMBER(H216),H216-'Tableau de bord'!$F$5,""))</x:f>
      </x:c>
      <x:c r="L216" s="12" t="str">
        <x:f>IF(A216="","",IF(ISNUMBER(H216),IF(K216&lt;0,"Expiré",IF(K216&lt;='Paramètres'!$E$6,"À renouveler","À jour")),"À compléter"))</x:f>
      </x:c>
      <x:c r="M216" s="9"/>
    </x:row>
    <x:row r="217" ht="23" customHeight="1">
      <x:c r="A217" s="9"/>
      <x:c r="B217" s="9"/>
      <x:c r="C217" s="9"/>
      <x:c r="D217" s="9"/>
      <x:c r="E217" s="9"/>
      <x:c r="F217" s="9"/>
      <x:c r="G217" s="11"/>
      <x:c r="H217" s="11"/>
      <x:c r="I217" s="9"/>
      <x:c r="J217" s="9"/>
      <x:c r="K217" s="12" t="str">
        <x:f>IF(A217="","",IF(ISNUMBER(H217),H217-'Tableau de bord'!$F$5,""))</x:f>
      </x:c>
      <x:c r="L217" s="12" t="str">
        <x:f>IF(A217="","",IF(ISNUMBER(H217),IF(K217&lt;0,"Expiré",IF(K217&lt;='Paramètres'!$E$6,"À renouveler","À jour")),"À compléter"))</x:f>
      </x:c>
      <x:c r="M217" s="9"/>
    </x:row>
    <x:row r="218" ht="23" customHeight="1">
      <x:c r="A218" s="9"/>
      <x:c r="B218" s="9"/>
      <x:c r="C218" s="9"/>
      <x:c r="D218" s="9"/>
      <x:c r="E218" s="9"/>
      <x:c r="F218" s="9"/>
      <x:c r="G218" s="11"/>
      <x:c r="H218" s="11"/>
      <x:c r="I218" s="9"/>
      <x:c r="J218" s="9"/>
      <x:c r="K218" s="12" t="str">
        <x:f>IF(A218="","",IF(ISNUMBER(H218),H218-'Tableau de bord'!$F$5,""))</x:f>
      </x:c>
      <x:c r="L218" s="12" t="str">
        <x:f>IF(A218="","",IF(ISNUMBER(H218),IF(K218&lt;0,"Expiré",IF(K218&lt;='Paramètres'!$E$6,"À renouveler","À jour")),"À compléter"))</x:f>
      </x:c>
      <x:c r="M218" s="9"/>
    </x:row>
    <x:row r="219" ht="23" customHeight="1">
      <x:c r="A219" s="9"/>
      <x:c r="B219" s="9"/>
      <x:c r="C219" s="9"/>
      <x:c r="D219" s="9"/>
      <x:c r="E219" s="9"/>
      <x:c r="F219" s="9"/>
      <x:c r="G219" s="11"/>
      <x:c r="H219" s="11"/>
      <x:c r="I219" s="9"/>
      <x:c r="J219" s="9"/>
      <x:c r="K219" s="12" t="str">
        <x:f>IF(A219="","",IF(ISNUMBER(H219),H219-'Tableau de bord'!$F$5,""))</x:f>
      </x:c>
      <x:c r="L219" s="12" t="str">
        <x:f>IF(A219="","",IF(ISNUMBER(H219),IF(K219&lt;0,"Expiré",IF(K219&lt;='Paramètres'!$E$6,"À renouveler","À jour")),"À compléter"))</x:f>
      </x:c>
      <x:c r="M219" s="9"/>
    </x:row>
    <x:row r="220" ht="23" customHeight="1">
      <x:c r="A220" s="9"/>
      <x:c r="B220" s="9"/>
      <x:c r="C220" s="9"/>
      <x:c r="D220" s="9"/>
      <x:c r="E220" s="9"/>
      <x:c r="F220" s="9"/>
      <x:c r="G220" s="11"/>
      <x:c r="H220" s="11"/>
      <x:c r="I220" s="9"/>
      <x:c r="J220" s="9"/>
      <x:c r="K220" s="12" t="str">
        <x:f>IF(A220="","",IF(ISNUMBER(H220),H220-'Tableau de bord'!$F$5,""))</x:f>
      </x:c>
      <x:c r="L220" s="12" t="str">
        <x:f>IF(A220="","",IF(ISNUMBER(H220),IF(K220&lt;0,"Expiré",IF(K220&lt;='Paramètres'!$E$6,"À renouveler","À jour")),"À compléter"))</x:f>
      </x:c>
      <x:c r="M220" s="9"/>
    </x:row>
    <x:row r="221" ht="23" customHeight="1">
      <x:c r="A221" s="9"/>
      <x:c r="B221" s="9"/>
      <x:c r="C221" s="9"/>
      <x:c r="D221" s="9"/>
      <x:c r="E221" s="9"/>
      <x:c r="F221" s="9"/>
      <x:c r="G221" s="11"/>
      <x:c r="H221" s="11"/>
      <x:c r="I221" s="9"/>
      <x:c r="J221" s="9"/>
      <x:c r="K221" s="12" t="str">
        <x:f>IF(A221="","",IF(ISNUMBER(H221),H221-'Tableau de bord'!$F$5,""))</x:f>
      </x:c>
      <x:c r="L221" s="12" t="str">
        <x:f>IF(A221="","",IF(ISNUMBER(H221),IF(K221&lt;0,"Expiré",IF(K221&lt;='Paramètres'!$E$6,"À renouveler","À jour")),"À compléter"))</x:f>
      </x:c>
      <x:c r="M221" s="9"/>
    </x:row>
    <x:row r="222" ht="23" customHeight="1">
      <x:c r="A222" s="9"/>
      <x:c r="B222" s="9"/>
      <x:c r="C222" s="9"/>
      <x:c r="D222" s="9"/>
      <x:c r="E222" s="9"/>
      <x:c r="F222" s="9"/>
      <x:c r="G222" s="11"/>
      <x:c r="H222" s="11"/>
      <x:c r="I222" s="9"/>
      <x:c r="J222" s="9"/>
      <x:c r="K222" s="12" t="str">
        <x:f>IF(A222="","",IF(ISNUMBER(H222),H222-'Tableau de bord'!$F$5,""))</x:f>
      </x:c>
      <x:c r="L222" s="12" t="str">
        <x:f>IF(A222="","",IF(ISNUMBER(H222),IF(K222&lt;0,"Expiré",IF(K222&lt;='Paramètres'!$E$6,"À renouveler","À jour")),"À compléter"))</x:f>
      </x:c>
      <x:c r="M222" s="9"/>
    </x:row>
    <x:row r="223" ht="23" customHeight="1">
      <x:c r="A223" s="9"/>
      <x:c r="B223" s="9"/>
      <x:c r="C223" s="9"/>
      <x:c r="D223" s="9"/>
      <x:c r="E223" s="9"/>
      <x:c r="F223" s="9"/>
      <x:c r="G223" s="11"/>
      <x:c r="H223" s="11"/>
      <x:c r="I223" s="9"/>
      <x:c r="J223" s="9"/>
      <x:c r="K223" s="12" t="str">
        <x:f>IF(A223="","",IF(ISNUMBER(H223),H223-'Tableau de bord'!$F$5,""))</x:f>
      </x:c>
      <x:c r="L223" s="12" t="str">
        <x:f>IF(A223="","",IF(ISNUMBER(H223),IF(K223&lt;0,"Expiré",IF(K223&lt;='Paramètres'!$E$6,"À renouveler","À jour")),"À compléter"))</x:f>
      </x:c>
      <x:c r="M223" s="9"/>
    </x:row>
    <x:row r="224" ht="23" customHeight="1">
      <x:c r="A224" s="9"/>
      <x:c r="B224" s="9"/>
      <x:c r="C224" s="9"/>
      <x:c r="D224" s="9"/>
      <x:c r="E224" s="9"/>
      <x:c r="F224" s="9"/>
      <x:c r="G224" s="11"/>
      <x:c r="H224" s="11"/>
      <x:c r="I224" s="9"/>
      <x:c r="J224" s="9"/>
      <x:c r="K224" s="12" t="str">
        <x:f>IF(A224="","",IF(ISNUMBER(H224),H224-'Tableau de bord'!$F$5,""))</x:f>
      </x:c>
      <x:c r="L224" s="12" t="str">
        <x:f>IF(A224="","",IF(ISNUMBER(H224),IF(K224&lt;0,"Expiré",IF(K224&lt;='Paramètres'!$E$6,"À renouveler","À jour")),"À compléter"))</x:f>
      </x:c>
      <x:c r="M224" s="9"/>
    </x:row>
    <x:row r="225" ht="23" customHeight="1">
      <x:c r="A225" s="9"/>
      <x:c r="B225" s="9"/>
      <x:c r="C225" s="9"/>
      <x:c r="D225" s="9"/>
      <x:c r="E225" s="9"/>
      <x:c r="F225" s="9"/>
      <x:c r="G225" s="11"/>
      <x:c r="H225" s="11"/>
      <x:c r="I225" s="9"/>
      <x:c r="J225" s="9"/>
      <x:c r="K225" s="12" t="str">
        <x:f>IF(A225="","",IF(ISNUMBER(H225),H225-'Tableau de bord'!$F$5,""))</x:f>
      </x:c>
      <x:c r="L225" s="12" t="str">
        <x:f>IF(A225="","",IF(ISNUMBER(H225),IF(K225&lt;0,"Expiré",IF(K225&lt;='Paramètres'!$E$6,"À renouveler","À jour")),"À compléter"))</x:f>
      </x:c>
      <x:c r="M225" s="9"/>
    </x:row>
    <x:row r="226" ht="23" customHeight="1">
      <x:c r="A226" s="9"/>
      <x:c r="B226" s="9"/>
      <x:c r="C226" s="9"/>
      <x:c r="D226" s="9"/>
      <x:c r="E226" s="9"/>
      <x:c r="F226" s="9"/>
      <x:c r="G226" s="11"/>
      <x:c r="H226" s="11"/>
      <x:c r="I226" s="9"/>
      <x:c r="J226" s="9"/>
      <x:c r="K226" s="12" t="str">
        <x:f>IF(A226="","",IF(ISNUMBER(H226),H226-'Tableau de bord'!$F$5,""))</x:f>
      </x:c>
      <x:c r="L226" s="12" t="str">
        <x:f>IF(A226="","",IF(ISNUMBER(H226),IF(K226&lt;0,"Expiré",IF(K226&lt;='Paramètres'!$E$6,"À renouveler","À jour")),"À compléter"))</x:f>
      </x:c>
      <x:c r="M226" s="9"/>
    </x:row>
    <x:row r="227" ht="23" customHeight="1">
      <x:c r="A227" s="9"/>
      <x:c r="B227" s="9"/>
      <x:c r="C227" s="9"/>
      <x:c r="D227" s="9"/>
      <x:c r="E227" s="9"/>
      <x:c r="F227" s="9"/>
      <x:c r="G227" s="11"/>
      <x:c r="H227" s="11"/>
      <x:c r="I227" s="9"/>
      <x:c r="J227" s="9"/>
      <x:c r="K227" s="12" t="str">
        <x:f>IF(A227="","",IF(ISNUMBER(H227),H227-'Tableau de bord'!$F$5,""))</x:f>
      </x:c>
      <x:c r="L227" s="12" t="str">
        <x:f>IF(A227="","",IF(ISNUMBER(H227),IF(K227&lt;0,"Expiré",IF(K227&lt;='Paramètres'!$E$6,"À renouveler","À jour")),"À compléter"))</x:f>
      </x:c>
      <x:c r="M227" s="9"/>
    </x:row>
    <x:row r="228" ht="23" customHeight="1">
      <x:c r="A228" s="9"/>
      <x:c r="B228" s="9"/>
      <x:c r="C228" s="9"/>
      <x:c r="D228" s="9"/>
      <x:c r="E228" s="9"/>
      <x:c r="F228" s="9"/>
      <x:c r="G228" s="11"/>
      <x:c r="H228" s="11"/>
      <x:c r="I228" s="9"/>
      <x:c r="J228" s="9"/>
      <x:c r="K228" s="12" t="str">
        <x:f>IF(A228="","",IF(ISNUMBER(H228),H228-'Tableau de bord'!$F$5,""))</x:f>
      </x:c>
      <x:c r="L228" s="12" t="str">
        <x:f>IF(A228="","",IF(ISNUMBER(H228),IF(K228&lt;0,"Expiré",IF(K228&lt;='Paramètres'!$E$6,"À renouveler","À jour")),"À compléter"))</x:f>
      </x:c>
      <x:c r="M228" s="9"/>
    </x:row>
    <x:row r="229" ht="23" customHeight="1">
      <x:c r="A229" s="9"/>
      <x:c r="B229" s="9"/>
      <x:c r="C229" s="9"/>
      <x:c r="D229" s="9"/>
      <x:c r="E229" s="9"/>
      <x:c r="F229" s="9"/>
      <x:c r="G229" s="11"/>
      <x:c r="H229" s="11"/>
      <x:c r="I229" s="9"/>
      <x:c r="J229" s="9"/>
      <x:c r="K229" s="12" t="str">
        <x:f>IF(A229="","",IF(ISNUMBER(H229),H229-'Tableau de bord'!$F$5,""))</x:f>
      </x:c>
      <x:c r="L229" s="12" t="str">
        <x:f>IF(A229="","",IF(ISNUMBER(H229),IF(K229&lt;0,"Expiré",IF(K229&lt;='Paramètres'!$E$6,"À renouveler","À jour")),"À compléter"))</x:f>
      </x:c>
      <x:c r="M229" s="9"/>
    </x:row>
    <x:row r="230" ht="23" customHeight="1">
      <x:c r="A230" s="9"/>
      <x:c r="B230" s="9"/>
      <x:c r="C230" s="9"/>
      <x:c r="D230" s="9"/>
      <x:c r="E230" s="9"/>
      <x:c r="F230" s="9"/>
      <x:c r="G230" s="11"/>
      <x:c r="H230" s="11"/>
      <x:c r="I230" s="9"/>
      <x:c r="J230" s="9"/>
      <x:c r="K230" s="12" t="str">
        <x:f>IF(A230="","",IF(ISNUMBER(H230),H230-'Tableau de bord'!$F$5,""))</x:f>
      </x:c>
      <x:c r="L230" s="12" t="str">
        <x:f>IF(A230="","",IF(ISNUMBER(H230),IF(K230&lt;0,"Expiré",IF(K230&lt;='Paramètres'!$E$6,"À renouveler","À jour")),"À compléter"))</x:f>
      </x:c>
      <x:c r="M230" s="9"/>
    </x:row>
    <x:row r="231" ht="23" customHeight="1">
      <x:c r="A231" s="9"/>
      <x:c r="B231" s="9"/>
      <x:c r="C231" s="9"/>
      <x:c r="D231" s="9"/>
      <x:c r="E231" s="9"/>
      <x:c r="F231" s="9"/>
      <x:c r="G231" s="11"/>
      <x:c r="H231" s="11"/>
      <x:c r="I231" s="9"/>
      <x:c r="J231" s="9"/>
      <x:c r="K231" s="12" t="str">
        <x:f>IF(A231="","",IF(ISNUMBER(H231),H231-'Tableau de bord'!$F$5,""))</x:f>
      </x:c>
      <x:c r="L231" s="12" t="str">
        <x:f>IF(A231="","",IF(ISNUMBER(H231),IF(K231&lt;0,"Expiré",IF(K231&lt;='Paramètres'!$E$6,"À renouveler","À jour")),"À compléter"))</x:f>
      </x:c>
      <x:c r="M231" s="9"/>
    </x:row>
    <x:row r="232" ht="23" customHeight="1">
      <x:c r="A232" s="9"/>
      <x:c r="B232" s="9"/>
      <x:c r="C232" s="9"/>
      <x:c r="D232" s="9"/>
      <x:c r="E232" s="9"/>
      <x:c r="F232" s="9"/>
      <x:c r="G232" s="11"/>
      <x:c r="H232" s="11"/>
      <x:c r="I232" s="9"/>
      <x:c r="J232" s="9"/>
      <x:c r="K232" s="12" t="str">
        <x:f>IF(A232="","",IF(ISNUMBER(H232),H232-'Tableau de bord'!$F$5,""))</x:f>
      </x:c>
      <x:c r="L232" s="12" t="str">
        <x:f>IF(A232="","",IF(ISNUMBER(H232),IF(K232&lt;0,"Expiré",IF(K232&lt;='Paramètres'!$E$6,"À renouveler","À jour")),"À compléter"))</x:f>
      </x:c>
      <x:c r="M232" s="9"/>
    </x:row>
    <x:row r="233" ht="23" customHeight="1">
      <x:c r="A233" s="9"/>
      <x:c r="B233" s="9"/>
      <x:c r="C233" s="9"/>
      <x:c r="D233" s="9"/>
      <x:c r="E233" s="9"/>
      <x:c r="F233" s="9"/>
      <x:c r="G233" s="11"/>
      <x:c r="H233" s="11"/>
      <x:c r="I233" s="9"/>
      <x:c r="J233" s="9"/>
      <x:c r="K233" s="12" t="str">
        <x:f>IF(A233="","",IF(ISNUMBER(H233),H233-'Tableau de bord'!$F$5,""))</x:f>
      </x:c>
      <x:c r="L233" s="12" t="str">
        <x:f>IF(A233="","",IF(ISNUMBER(H233),IF(K233&lt;0,"Expiré",IF(K233&lt;='Paramètres'!$E$6,"À renouveler","À jour")),"À compléter"))</x:f>
      </x:c>
      <x:c r="M233" s="9"/>
    </x:row>
    <x:row r="234" ht="23" customHeight="1">
      <x:c r="A234" s="9"/>
      <x:c r="B234" s="9"/>
      <x:c r="C234" s="9"/>
      <x:c r="D234" s="9"/>
      <x:c r="E234" s="9"/>
      <x:c r="F234" s="9"/>
      <x:c r="G234" s="11"/>
      <x:c r="H234" s="11"/>
      <x:c r="I234" s="9"/>
      <x:c r="J234" s="9"/>
      <x:c r="K234" s="12" t="str">
        <x:f>IF(A234="","",IF(ISNUMBER(H234),H234-'Tableau de bord'!$F$5,""))</x:f>
      </x:c>
      <x:c r="L234" s="12" t="str">
        <x:f>IF(A234="","",IF(ISNUMBER(H234),IF(K234&lt;0,"Expiré",IF(K234&lt;='Paramètres'!$E$6,"À renouveler","À jour")),"À compléter"))</x:f>
      </x:c>
      <x:c r="M234" s="9"/>
    </x:row>
    <x:row r="235" ht="23" customHeight="1">
      <x:c r="A235" s="9"/>
      <x:c r="B235" s="9"/>
      <x:c r="C235" s="9"/>
      <x:c r="D235" s="9"/>
      <x:c r="E235" s="9"/>
      <x:c r="F235" s="9"/>
      <x:c r="G235" s="11"/>
      <x:c r="H235" s="11"/>
      <x:c r="I235" s="9"/>
      <x:c r="J235" s="9"/>
      <x:c r="K235" s="12" t="str">
        <x:f>IF(A235="","",IF(ISNUMBER(H235),H235-'Tableau de bord'!$F$5,""))</x:f>
      </x:c>
      <x:c r="L235" s="12" t="str">
        <x:f>IF(A235="","",IF(ISNUMBER(H235),IF(K235&lt;0,"Expiré",IF(K235&lt;='Paramètres'!$E$6,"À renouveler","À jour")),"À compléter"))</x:f>
      </x:c>
      <x:c r="M235" s="9"/>
    </x:row>
    <x:row r="236" ht="23" customHeight="1">
      <x:c r="A236" s="9"/>
      <x:c r="B236" s="9"/>
      <x:c r="C236" s="9"/>
      <x:c r="D236" s="9"/>
      <x:c r="E236" s="9"/>
      <x:c r="F236" s="9"/>
      <x:c r="G236" s="11"/>
      <x:c r="H236" s="11"/>
      <x:c r="I236" s="9"/>
      <x:c r="J236" s="9"/>
      <x:c r="K236" s="12" t="str">
        <x:f>IF(A236="","",IF(ISNUMBER(H236),H236-'Tableau de bord'!$F$5,""))</x:f>
      </x:c>
      <x:c r="L236" s="12" t="str">
        <x:f>IF(A236="","",IF(ISNUMBER(H236),IF(K236&lt;0,"Expiré",IF(K236&lt;='Paramètres'!$E$6,"À renouveler","À jour")),"À compléter"))</x:f>
      </x:c>
      <x:c r="M236" s="9"/>
    </x:row>
    <x:row r="237" ht="23" customHeight="1">
      <x:c r="A237" s="9"/>
      <x:c r="B237" s="9"/>
      <x:c r="C237" s="9"/>
      <x:c r="D237" s="9"/>
      <x:c r="E237" s="9"/>
      <x:c r="F237" s="9"/>
      <x:c r="G237" s="11"/>
      <x:c r="H237" s="11"/>
      <x:c r="I237" s="9"/>
      <x:c r="J237" s="9"/>
      <x:c r="K237" s="12" t="str">
        <x:f>IF(A237="","",IF(ISNUMBER(H237),H237-'Tableau de bord'!$F$5,""))</x:f>
      </x:c>
      <x:c r="L237" s="12" t="str">
        <x:f>IF(A237="","",IF(ISNUMBER(H237),IF(K237&lt;0,"Expiré",IF(K237&lt;='Paramètres'!$E$6,"À renouveler","À jour")),"À compléter"))</x:f>
      </x:c>
      <x:c r="M237" s="9"/>
    </x:row>
    <x:row r="238" ht="23" customHeight="1">
      <x:c r="A238" s="9"/>
      <x:c r="B238" s="9"/>
      <x:c r="C238" s="9"/>
      <x:c r="D238" s="9"/>
      <x:c r="E238" s="9"/>
      <x:c r="F238" s="9"/>
      <x:c r="G238" s="11"/>
      <x:c r="H238" s="11"/>
      <x:c r="I238" s="9"/>
      <x:c r="J238" s="9"/>
      <x:c r="K238" s="12" t="str">
        <x:f>IF(A238="","",IF(ISNUMBER(H238),H238-'Tableau de bord'!$F$5,""))</x:f>
      </x:c>
      <x:c r="L238" s="12" t="str">
        <x:f>IF(A238="","",IF(ISNUMBER(H238),IF(K238&lt;0,"Expiré",IF(K238&lt;='Paramètres'!$E$6,"À renouveler","À jour")),"À compléter"))</x:f>
      </x:c>
      <x:c r="M238" s="9"/>
    </x:row>
    <x:row r="239" ht="23" customHeight="1">
      <x:c r="A239" s="9"/>
      <x:c r="B239" s="9"/>
      <x:c r="C239" s="9"/>
      <x:c r="D239" s="9"/>
      <x:c r="E239" s="9"/>
      <x:c r="F239" s="9"/>
      <x:c r="G239" s="11"/>
      <x:c r="H239" s="11"/>
      <x:c r="I239" s="9"/>
      <x:c r="J239" s="9"/>
      <x:c r="K239" s="12" t="str">
        <x:f>IF(A239="","",IF(ISNUMBER(H239),H239-'Tableau de bord'!$F$5,""))</x:f>
      </x:c>
      <x:c r="L239" s="12" t="str">
        <x:f>IF(A239="","",IF(ISNUMBER(H239),IF(K239&lt;0,"Expiré",IF(K239&lt;='Paramètres'!$E$6,"À renouveler","À jour")),"À compléter"))</x:f>
      </x:c>
      <x:c r="M239" s="9"/>
    </x:row>
    <x:row r="240" ht="23" customHeight="1">
      <x:c r="A240" s="9"/>
      <x:c r="B240" s="9"/>
      <x:c r="C240" s="9"/>
      <x:c r="D240" s="9"/>
      <x:c r="E240" s="9"/>
      <x:c r="F240" s="9"/>
      <x:c r="G240" s="11"/>
      <x:c r="H240" s="11"/>
      <x:c r="I240" s="9"/>
      <x:c r="J240" s="9"/>
      <x:c r="K240" s="12" t="str">
        <x:f>IF(A240="","",IF(ISNUMBER(H240),H240-'Tableau de bord'!$F$5,""))</x:f>
      </x:c>
      <x:c r="L240" s="12" t="str">
        <x:f>IF(A240="","",IF(ISNUMBER(H240),IF(K240&lt;0,"Expiré",IF(K240&lt;='Paramètres'!$E$6,"À renouveler","À jour")),"À compléter"))</x:f>
      </x:c>
      <x:c r="M240" s="9"/>
    </x:row>
    <x:row r="241" ht="23" customHeight="1">
      <x:c r="A241" s="9"/>
      <x:c r="B241" s="9"/>
      <x:c r="C241" s="9"/>
      <x:c r="D241" s="9"/>
      <x:c r="E241" s="9"/>
      <x:c r="F241" s="9"/>
      <x:c r="G241" s="11"/>
      <x:c r="H241" s="11"/>
      <x:c r="I241" s="9"/>
      <x:c r="J241" s="9"/>
      <x:c r="K241" s="12" t="str">
        <x:f>IF(A241="","",IF(ISNUMBER(H241),H241-'Tableau de bord'!$F$5,""))</x:f>
      </x:c>
      <x:c r="L241" s="12" t="str">
        <x:f>IF(A241="","",IF(ISNUMBER(H241),IF(K241&lt;0,"Expiré",IF(K241&lt;='Paramètres'!$E$6,"À renouveler","À jour")),"À compléter"))</x:f>
      </x:c>
      <x:c r="M241" s="9"/>
    </x:row>
    <x:row r="242" ht="23" customHeight="1">
      <x:c r="A242" s="9"/>
      <x:c r="B242" s="9"/>
      <x:c r="C242" s="9"/>
      <x:c r="D242" s="9"/>
      <x:c r="E242" s="9"/>
      <x:c r="F242" s="9"/>
      <x:c r="G242" s="11"/>
      <x:c r="H242" s="11"/>
      <x:c r="I242" s="9"/>
      <x:c r="J242" s="9"/>
      <x:c r="K242" s="12" t="str">
        <x:f>IF(A242="","",IF(ISNUMBER(H242),H242-'Tableau de bord'!$F$5,""))</x:f>
      </x:c>
      <x:c r="L242" s="12" t="str">
        <x:f>IF(A242="","",IF(ISNUMBER(H242),IF(K242&lt;0,"Expiré",IF(K242&lt;='Paramètres'!$E$6,"À renouveler","À jour")),"À compléter"))</x:f>
      </x:c>
      <x:c r="M242" s="9"/>
    </x:row>
    <x:row r="243" ht="23" customHeight="1">
      <x:c r="A243" s="9"/>
      <x:c r="B243" s="9"/>
      <x:c r="C243" s="9"/>
      <x:c r="D243" s="9"/>
      <x:c r="E243" s="9"/>
      <x:c r="F243" s="9"/>
      <x:c r="G243" s="11"/>
      <x:c r="H243" s="11"/>
      <x:c r="I243" s="9"/>
      <x:c r="J243" s="9"/>
      <x:c r="K243" s="12" t="str">
        <x:f>IF(A243="","",IF(ISNUMBER(H243),H243-'Tableau de bord'!$F$5,""))</x:f>
      </x:c>
      <x:c r="L243" s="12" t="str">
        <x:f>IF(A243="","",IF(ISNUMBER(H243),IF(K243&lt;0,"Expiré",IF(K243&lt;='Paramètres'!$E$6,"À renouveler","À jour")),"À compléter"))</x:f>
      </x:c>
      <x:c r="M243" s="9"/>
    </x:row>
    <x:row r="244" ht="23" customHeight="1">
      <x:c r="A244" s="9"/>
      <x:c r="B244" s="9"/>
      <x:c r="C244" s="9"/>
      <x:c r="D244" s="9"/>
      <x:c r="E244" s="9"/>
      <x:c r="F244" s="9"/>
      <x:c r="G244" s="11"/>
      <x:c r="H244" s="11"/>
      <x:c r="I244" s="9"/>
      <x:c r="J244" s="9"/>
      <x:c r="K244" s="12" t="str">
        <x:f>IF(A244="","",IF(ISNUMBER(H244),H244-'Tableau de bord'!$F$5,""))</x:f>
      </x:c>
      <x:c r="L244" s="12" t="str">
        <x:f>IF(A244="","",IF(ISNUMBER(H244),IF(K244&lt;0,"Expiré",IF(K244&lt;='Paramètres'!$E$6,"À renouveler","À jour")),"À compléter"))</x:f>
      </x:c>
      <x:c r="M244" s="9"/>
    </x:row>
    <x:row r="245" ht="23" customHeight="1">
      <x:c r="A245" s="9"/>
      <x:c r="B245" s="9"/>
      <x:c r="C245" s="9"/>
      <x:c r="D245" s="9"/>
      <x:c r="E245" s="9"/>
      <x:c r="F245" s="9"/>
      <x:c r="G245" s="11"/>
      <x:c r="H245" s="11"/>
      <x:c r="I245" s="9"/>
      <x:c r="J245" s="9"/>
      <x:c r="K245" s="12" t="str">
        <x:f>IF(A245="","",IF(ISNUMBER(H245),H245-'Tableau de bord'!$F$5,""))</x:f>
      </x:c>
      <x:c r="L245" s="12" t="str">
        <x:f>IF(A245="","",IF(ISNUMBER(H245),IF(K245&lt;0,"Expiré",IF(K245&lt;='Paramètres'!$E$6,"À renouveler","À jour")),"À compléter"))</x:f>
      </x:c>
      <x:c r="M245" s="9"/>
    </x:row>
    <x:row r="246" ht="23" customHeight="1">
      <x:c r="A246" s="9"/>
      <x:c r="B246" s="9"/>
      <x:c r="C246" s="9"/>
      <x:c r="D246" s="9"/>
      <x:c r="E246" s="9"/>
      <x:c r="F246" s="9"/>
      <x:c r="G246" s="11"/>
      <x:c r="H246" s="11"/>
      <x:c r="I246" s="9"/>
      <x:c r="J246" s="9"/>
      <x:c r="K246" s="12" t="str">
        <x:f>IF(A246="","",IF(ISNUMBER(H246),H246-'Tableau de bord'!$F$5,""))</x:f>
      </x:c>
      <x:c r="L246" s="12" t="str">
        <x:f>IF(A246="","",IF(ISNUMBER(H246),IF(K246&lt;0,"Expiré",IF(K246&lt;='Paramètres'!$E$6,"À renouveler","À jour")),"À compléter"))</x:f>
      </x:c>
      <x:c r="M246" s="9"/>
    </x:row>
    <x:row r="247" ht="23" customHeight="1">
      <x:c r="A247" s="9"/>
      <x:c r="B247" s="9"/>
      <x:c r="C247" s="9"/>
      <x:c r="D247" s="9"/>
      <x:c r="E247" s="9"/>
      <x:c r="F247" s="9"/>
      <x:c r="G247" s="11"/>
      <x:c r="H247" s="11"/>
      <x:c r="I247" s="9"/>
      <x:c r="J247" s="9"/>
      <x:c r="K247" s="12" t="str">
        <x:f>IF(A247="","",IF(ISNUMBER(H247),H247-'Tableau de bord'!$F$5,""))</x:f>
      </x:c>
      <x:c r="L247" s="12" t="str">
        <x:f>IF(A247="","",IF(ISNUMBER(H247),IF(K247&lt;0,"Expiré",IF(K247&lt;='Paramètres'!$E$6,"À renouveler","À jour")),"À compléter"))</x:f>
      </x:c>
      <x:c r="M247" s="9"/>
    </x:row>
    <x:row r="248" ht="23" customHeight="1">
      <x:c r="A248" s="9"/>
      <x:c r="B248" s="9"/>
      <x:c r="C248" s="9"/>
      <x:c r="D248" s="9"/>
      <x:c r="E248" s="9"/>
      <x:c r="F248" s="9"/>
      <x:c r="G248" s="11"/>
      <x:c r="H248" s="11"/>
      <x:c r="I248" s="9"/>
      <x:c r="J248" s="9"/>
      <x:c r="K248" s="12" t="str">
        <x:f>IF(A248="","",IF(ISNUMBER(H248),H248-'Tableau de bord'!$F$5,""))</x:f>
      </x:c>
      <x:c r="L248" s="12" t="str">
        <x:f>IF(A248="","",IF(ISNUMBER(H248),IF(K248&lt;0,"Expiré",IF(K248&lt;='Paramètres'!$E$6,"À renouveler","À jour")),"À compléter"))</x:f>
      </x:c>
      <x:c r="M248" s="9"/>
    </x:row>
    <x:row r="249" ht="23" customHeight="1">
      <x:c r="A249" s="9"/>
      <x:c r="B249" s="9"/>
      <x:c r="C249" s="9"/>
      <x:c r="D249" s="9"/>
      <x:c r="E249" s="9"/>
      <x:c r="F249" s="9"/>
      <x:c r="G249" s="11"/>
      <x:c r="H249" s="11"/>
      <x:c r="I249" s="9"/>
      <x:c r="J249" s="9"/>
      <x:c r="K249" s="12" t="str">
        <x:f>IF(A249="","",IF(ISNUMBER(H249),H249-'Tableau de bord'!$F$5,""))</x:f>
      </x:c>
      <x:c r="L249" s="12" t="str">
        <x:f>IF(A249="","",IF(ISNUMBER(H249),IF(K249&lt;0,"Expiré",IF(K249&lt;='Paramètres'!$E$6,"À renouveler","À jour")),"À compléter"))</x:f>
      </x:c>
      <x:c r="M249" s="9"/>
    </x:row>
    <x:row r="250" ht="23" customHeight="1">
      <x:c r="A250" s="9"/>
      <x:c r="B250" s="9"/>
      <x:c r="C250" s="9"/>
      <x:c r="D250" s="9"/>
      <x:c r="E250" s="9"/>
      <x:c r="F250" s="9"/>
      <x:c r="G250" s="11"/>
      <x:c r="H250" s="11"/>
      <x:c r="I250" s="9"/>
      <x:c r="J250" s="9"/>
      <x:c r="K250" s="12" t="str">
        <x:f>IF(A250="","",IF(ISNUMBER(H250),H250-'Tableau de bord'!$F$5,""))</x:f>
      </x:c>
      <x:c r="L250" s="12" t="str">
        <x:f>IF(A250="","",IF(ISNUMBER(H250),IF(K250&lt;0,"Expiré",IF(K250&lt;='Paramètres'!$E$6,"À renouveler","À jour")),"À compléter"))</x:f>
      </x:c>
      <x:c r="M250" s="9"/>
    </x:row>
    <x:row r="251" ht="23" customHeight="1">
      <x:c r="A251" s="9"/>
      <x:c r="B251" s="9"/>
      <x:c r="C251" s="9"/>
      <x:c r="D251" s="9"/>
      <x:c r="E251" s="9"/>
      <x:c r="F251" s="9"/>
      <x:c r="G251" s="11"/>
      <x:c r="H251" s="11"/>
      <x:c r="I251" s="9"/>
      <x:c r="J251" s="9"/>
      <x:c r="K251" s="12" t="str">
        <x:f>IF(A251="","",IF(ISNUMBER(H251),H251-'Tableau de bord'!$F$5,""))</x:f>
      </x:c>
      <x:c r="L251" s="12" t="str">
        <x:f>IF(A251="","",IF(ISNUMBER(H251),IF(K251&lt;0,"Expiré",IF(K251&lt;='Paramètres'!$E$6,"À renouveler","À jour")),"À compléter"))</x:f>
      </x:c>
      <x:c r="M251" s="9"/>
    </x:row>
    <x:row r="252" ht="23" customHeight="1">
      <x:c r="A252" s="9"/>
      <x:c r="B252" s="9"/>
      <x:c r="C252" s="9"/>
      <x:c r="D252" s="9"/>
      <x:c r="E252" s="9"/>
      <x:c r="F252" s="9"/>
      <x:c r="G252" s="11"/>
      <x:c r="H252" s="11"/>
      <x:c r="I252" s="9"/>
      <x:c r="J252" s="9"/>
      <x:c r="K252" s="12" t="str">
        <x:f>IF(A252="","",IF(ISNUMBER(H252),H252-'Tableau de bord'!$F$5,""))</x:f>
      </x:c>
      <x:c r="L252" s="12" t="str">
        <x:f>IF(A252="","",IF(ISNUMBER(H252),IF(K252&lt;0,"Expiré",IF(K252&lt;='Paramètres'!$E$6,"À renouveler","À jour")),"À compléter"))</x:f>
      </x:c>
      <x:c r="M252" s="9"/>
    </x:row>
    <x:row r="253" ht="23" customHeight="1">
      <x:c r="A253" s="9"/>
      <x:c r="B253" s="9"/>
      <x:c r="C253" s="9"/>
      <x:c r="D253" s="9"/>
      <x:c r="E253" s="9"/>
      <x:c r="F253" s="9"/>
      <x:c r="G253" s="11"/>
      <x:c r="H253" s="11"/>
      <x:c r="I253" s="9"/>
      <x:c r="J253" s="9"/>
      <x:c r="K253" s="12" t="str">
        <x:f>IF(A253="","",IF(ISNUMBER(H253),H253-'Tableau de bord'!$F$5,""))</x:f>
      </x:c>
      <x:c r="L253" s="12" t="str">
        <x:f>IF(A253="","",IF(ISNUMBER(H253),IF(K253&lt;0,"Expiré",IF(K253&lt;='Paramètres'!$E$6,"À renouveler","À jour")),"À compléter"))</x:f>
      </x:c>
      <x:c r="M253" s="9"/>
    </x:row>
    <x:row r="254" ht="23" customHeight="1">
      <x:c r="A254" s="9"/>
      <x:c r="B254" s="9"/>
      <x:c r="C254" s="9"/>
      <x:c r="D254" s="9"/>
      <x:c r="E254" s="9"/>
      <x:c r="F254" s="9"/>
      <x:c r="G254" s="11"/>
      <x:c r="H254" s="11"/>
      <x:c r="I254" s="9"/>
      <x:c r="J254" s="9"/>
      <x:c r="K254" s="12" t="str">
        <x:f>IF(A254="","",IF(ISNUMBER(H254),H254-'Tableau de bord'!$F$5,""))</x:f>
      </x:c>
      <x:c r="L254" s="12" t="str">
        <x:f>IF(A254="","",IF(ISNUMBER(H254),IF(K254&lt;0,"Expiré",IF(K254&lt;='Paramètres'!$E$6,"À renouveler","À jour")),"À compléter"))</x:f>
      </x:c>
      <x:c r="M254" s="9"/>
    </x:row>
    <x:row r="255" ht="23" customHeight="1">
      <x:c r="A255" s="9"/>
      <x:c r="B255" s="9"/>
      <x:c r="C255" s="9"/>
      <x:c r="D255" s="9"/>
      <x:c r="E255" s="9"/>
      <x:c r="F255" s="9"/>
      <x:c r="G255" s="11"/>
      <x:c r="H255" s="11"/>
      <x:c r="I255" s="9"/>
      <x:c r="J255" s="9"/>
      <x:c r="K255" s="12" t="str">
        <x:f>IF(A255="","",IF(ISNUMBER(H255),H255-'Tableau de bord'!$F$5,""))</x:f>
      </x:c>
      <x:c r="L255" s="12" t="str">
        <x:f>IF(A255="","",IF(ISNUMBER(H255),IF(K255&lt;0,"Expiré",IF(K255&lt;='Paramètres'!$E$6,"À renouveler","À jour")),"À compléter"))</x:f>
      </x:c>
      <x:c r="M255" s="9"/>
    </x:row>
    <x:row r="256" ht="23" customHeight="1">
      <x:c r="A256" s="9"/>
      <x:c r="B256" s="9"/>
      <x:c r="C256" s="9"/>
      <x:c r="D256" s="9"/>
      <x:c r="E256" s="9"/>
      <x:c r="F256" s="9"/>
      <x:c r="G256" s="11"/>
      <x:c r="H256" s="11"/>
      <x:c r="I256" s="9"/>
      <x:c r="J256" s="9"/>
      <x:c r="K256" s="12" t="str">
        <x:f>IF(A256="","",IF(ISNUMBER(H256),H256-'Tableau de bord'!$F$5,""))</x:f>
      </x:c>
      <x:c r="L256" s="12" t="str">
        <x:f>IF(A256="","",IF(ISNUMBER(H256),IF(K256&lt;0,"Expiré",IF(K256&lt;='Paramètres'!$E$6,"À renouveler","À jour")),"À compléter"))</x:f>
      </x:c>
      <x:c r="M256" s="9"/>
    </x:row>
    <x:row r="257" ht="23" customHeight="1">
      <x:c r="A257" s="9"/>
      <x:c r="B257" s="9"/>
      <x:c r="C257" s="9"/>
      <x:c r="D257" s="9"/>
      <x:c r="E257" s="9"/>
      <x:c r="F257" s="9"/>
      <x:c r="G257" s="11"/>
      <x:c r="H257" s="11"/>
      <x:c r="I257" s="9"/>
      <x:c r="J257" s="9"/>
      <x:c r="K257" s="12" t="str">
        <x:f>IF(A257="","",IF(ISNUMBER(H257),H257-'Tableau de bord'!$F$5,""))</x:f>
      </x:c>
      <x:c r="L257" s="12" t="str">
        <x:f>IF(A257="","",IF(ISNUMBER(H257),IF(K257&lt;0,"Expiré",IF(K257&lt;='Paramètres'!$E$6,"À renouveler","À jour")),"À compléter"))</x:f>
      </x:c>
      <x:c r="M257" s="9"/>
    </x:row>
    <x:row r="258" ht="23" customHeight="1">
      <x:c r="A258" s="9"/>
      <x:c r="B258" s="9"/>
      <x:c r="C258" s="9"/>
      <x:c r="D258" s="9"/>
      <x:c r="E258" s="9"/>
      <x:c r="F258" s="9"/>
      <x:c r="G258" s="11"/>
      <x:c r="H258" s="11"/>
      <x:c r="I258" s="9"/>
      <x:c r="J258" s="9"/>
      <x:c r="K258" s="12" t="str">
        <x:f>IF(A258="","",IF(ISNUMBER(H258),H258-'Tableau de bord'!$F$5,""))</x:f>
      </x:c>
      <x:c r="L258" s="12" t="str">
        <x:f>IF(A258="","",IF(ISNUMBER(H258),IF(K258&lt;0,"Expiré",IF(K258&lt;='Paramètres'!$E$6,"À renouveler","À jour")),"À compléter"))</x:f>
      </x:c>
      <x:c r="M258" s="9"/>
    </x:row>
    <x:row r="259" ht="23" customHeight="1">
      <x:c r="A259" s="9"/>
      <x:c r="B259" s="9"/>
      <x:c r="C259" s="9"/>
      <x:c r="D259" s="9"/>
      <x:c r="E259" s="9"/>
      <x:c r="F259" s="9"/>
      <x:c r="G259" s="11"/>
      <x:c r="H259" s="11"/>
      <x:c r="I259" s="9"/>
      <x:c r="J259" s="9"/>
      <x:c r="K259" s="12" t="str">
        <x:f>IF(A259="","",IF(ISNUMBER(H259),H259-'Tableau de bord'!$F$5,""))</x:f>
      </x:c>
      <x:c r="L259" s="12" t="str">
        <x:f>IF(A259="","",IF(ISNUMBER(H259),IF(K259&lt;0,"Expiré",IF(K259&lt;='Paramètres'!$E$6,"À renouveler","À jour")),"À compléter"))</x:f>
      </x:c>
      <x:c r="M259" s="9"/>
    </x:row>
    <x:row r="260" ht="23" customHeight="1">
      <x:c r="A260" s="9"/>
      <x:c r="B260" s="9"/>
      <x:c r="C260" s="9"/>
      <x:c r="D260" s="9"/>
      <x:c r="E260" s="9"/>
      <x:c r="F260" s="9"/>
      <x:c r="G260" s="11"/>
      <x:c r="H260" s="11"/>
      <x:c r="I260" s="9"/>
      <x:c r="J260" s="9"/>
      <x:c r="K260" s="12" t="str">
        <x:f>IF(A260="","",IF(ISNUMBER(H260),H260-'Tableau de bord'!$F$5,""))</x:f>
      </x:c>
      <x:c r="L260" s="12" t="str">
        <x:f>IF(A260="","",IF(ISNUMBER(H260),IF(K260&lt;0,"Expiré",IF(K260&lt;='Paramètres'!$E$6,"À renouveler","À jour")),"À compléter"))</x:f>
      </x:c>
      <x:c r="M260" s="9"/>
    </x:row>
    <x:row r="261" ht="23" customHeight="1">
      <x:c r="A261" s="9"/>
      <x:c r="B261" s="9"/>
      <x:c r="C261" s="9"/>
      <x:c r="D261" s="9"/>
      <x:c r="E261" s="9"/>
      <x:c r="F261" s="9"/>
      <x:c r="G261" s="11"/>
      <x:c r="H261" s="11"/>
      <x:c r="I261" s="9"/>
      <x:c r="J261" s="9"/>
      <x:c r="K261" s="12" t="str">
        <x:f>IF(A261="","",IF(ISNUMBER(H261),H261-'Tableau de bord'!$F$5,""))</x:f>
      </x:c>
      <x:c r="L261" s="12" t="str">
        <x:f>IF(A261="","",IF(ISNUMBER(H261),IF(K261&lt;0,"Expiré",IF(K261&lt;='Paramètres'!$E$6,"À renouveler","À jour")),"À compléter"))</x:f>
      </x:c>
      <x:c r="M261" s="9"/>
    </x:row>
    <x:row r="262" ht="23" customHeight="1">
      <x:c r="A262" s="9"/>
      <x:c r="B262" s="9"/>
      <x:c r="C262" s="9"/>
      <x:c r="D262" s="9"/>
      <x:c r="E262" s="9"/>
      <x:c r="F262" s="9"/>
      <x:c r="G262" s="11"/>
      <x:c r="H262" s="11"/>
      <x:c r="I262" s="9"/>
      <x:c r="J262" s="9"/>
      <x:c r="K262" s="12" t="str">
        <x:f>IF(A262="","",IF(ISNUMBER(H262),H262-'Tableau de bord'!$F$5,""))</x:f>
      </x:c>
      <x:c r="L262" s="12" t="str">
        <x:f>IF(A262="","",IF(ISNUMBER(H262),IF(K262&lt;0,"Expiré",IF(K262&lt;='Paramètres'!$E$6,"À renouveler","À jour")),"À compléter"))</x:f>
      </x:c>
      <x:c r="M262" s="9"/>
    </x:row>
    <x:row r="263" ht="23" customHeight="1">
      <x:c r="A263" s="9"/>
      <x:c r="B263" s="9"/>
      <x:c r="C263" s="9"/>
      <x:c r="D263" s="9"/>
      <x:c r="E263" s="9"/>
      <x:c r="F263" s="9"/>
      <x:c r="G263" s="11"/>
      <x:c r="H263" s="11"/>
      <x:c r="I263" s="9"/>
      <x:c r="J263" s="9"/>
      <x:c r="K263" s="12" t="str">
        <x:f>IF(A263="","",IF(ISNUMBER(H263),H263-'Tableau de bord'!$F$5,""))</x:f>
      </x:c>
      <x:c r="L263" s="12" t="str">
        <x:f>IF(A263="","",IF(ISNUMBER(H263),IF(K263&lt;0,"Expiré",IF(K263&lt;='Paramètres'!$E$6,"À renouveler","À jour")),"À compléter"))</x:f>
      </x:c>
      <x:c r="M263" s="9"/>
    </x:row>
    <x:row r="264" ht="23" customHeight="1">
      <x:c r="A264" s="9"/>
      <x:c r="B264" s="9"/>
      <x:c r="C264" s="9"/>
      <x:c r="D264" s="9"/>
      <x:c r="E264" s="9"/>
      <x:c r="F264" s="9"/>
      <x:c r="G264" s="11"/>
      <x:c r="H264" s="11"/>
      <x:c r="I264" s="9"/>
      <x:c r="J264" s="9"/>
      <x:c r="K264" s="12" t="str">
        <x:f>IF(A264="","",IF(ISNUMBER(H264),H264-'Tableau de bord'!$F$5,""))</x:f>
      </x:c>
      <x:c r="L264" s="12" t="str">
        <x:f>IF(A264="","",IF(ISNUMBER(H264),IF(K264&lt;0,"Expiré",IF(K264&lt;='Paramètres'!$E$6,"À renouveler","À jour")),"À compléter"))</x:f>
      </x:c>
      <x:c r="M264" s="9"/>
    </x:row>
    <x:row r="265" ht="23" customHeight="1">
      <x:c r="A265" s="9"/>
      <x:c r="B265" s="9"/>
      <x:c r="C265" s="9"/>
      <x:c r="D265" s="9"/>
      <x:c r="E265" s="9"/>
      <x:c r="F265" s="9"/>
      <x:c r="G265" s="11"/>
      <x:c r="H265" s="11"/>
      <x:c r="I265" s="9"/>
      <x:c r="J265" s="9"/>
      <x:c r="K265" s="12" t="str">
        <x:f>IF(A265="","",IF(ISNUMBER(H265),H265-'Tableau de bord'!$F$5,""))</x:f>
      </x:c>
      <x:c r="L265" s="12" t="str">
        <x:f>IF(A265="","",IF(ISNUMBER(H265),IF(K265&lt;0,"Expiré",IF(K265&lt;='Paramètres'!$E$6,"À renouveler","À jour")),"À compléter"))</x:f>
      </x:c>
      <x:c r="M265" s="9"/>
    </x:row>
    <x:row r="266" ht="23" customHeight="1">
      <x:c r="A266" s="9"/>
      <x:c r="B266" s="9"/>
      <x:c r="C266" s="9"/>
      <x:c r="D266" s="9"/>
      <x:c r="E266" s="9"/>
      <x:c r="F266" s="9"/>
      <x:c r="G266" s="11"/>
      <x:c r="H266" s="11"/>
      <x:c r="I266" s="9"/>
      <x:c r="J266" s="9"/>
      <x:c r="K266" s="12" t="str">
        <x:f>IF(A266="","",IF(ISNUMBER(H266),H266-'Tableau de bord'!$F$5,""))</x:f>
      </x:c>
      <x:c r="L266" s="12" t="str">
        <x:f>IF(A266="","",IF(ISNUMBER(H266),IF(K266&lt;0,"Expiré",IF(K266&lt;='Paramètres'!$E$6,"À renouveler","À jour")),"À compléter"))</x:f>
      </x:c>
      <x:c r="M266" s="9"/>
    </x:row>
    <x:row r="267" ht="23" customHeight="1">
      <x:c r="A267" s="9"/>
      <x:c r="B267" s="9"/>
      <x:c r="C267" s="9"/>
      <x:c r="D267" s="9"/>
      <x:c r="E267" s="9"/>
      <x:c r="F267" s="9"/>
      <x:c r="G267" s="11"/>
      <x:c r="H267" s="11"/>
      <x:c r="I267" s="9"/>
      <x:c r="J267" s="9"/>
      <x:c r="K267" s="12" t="str">
        <x:f>IF(A267="","",IF(ISNUMBER(H267),H267-'Tableau de bord'!$F$5,""))</x:f>
      </x:c>
      <x:c r="L267" s="12" t="str">
        <x:f>IF(A267="","",IF(ISNUMBER(H267),IF(K267&lt;0,"Expiré",IF(K267&lt;='Paramètres'!$E$6,"À renouveler","À jour")),"À compléter"))</x:f>
      </x:c>
      <x:c r="M267" s="9"/>
    </x:row>
    <x:row r="268" ht="23" customHeight="1">
      <x:c r="A268" s="9"/>
      <x:c r="B268" s="9"/>
      <x:c r="C268" s="9"/>
      <x:c r="D268" s="9"/>
      <x:c r="E268" s="9"/>
      <x:c r="F268" s="9"/>
      <x:c r="G268" s="11"/>
      <x:c r="H268" s="11"/>
      <x:c r="I268" s="9"/>
      <x:c r="J268" s="9"/>
      <x:c r="K268" s="12" t="str">
        <x:f>IF(A268="","",IF(ISNUMBER(H268),H268-'Tableau de bord'!$F$5,""))</x:f>
      </x:c>
      <x:c r="L268" s="12" t="str">
        <x:f>IF(A268="","",IF(ISNUMBER(H268),IF(K268&lt;0,"Expiré",IF(K268&lt;='Paramètres'!$E$6,"À renouveler","À jour")),"À compléter"))</x:f>
      </x:c>
      <x:c r="M268" s="9"/>
    </x:row>
    <x:row r="269" ht="23" customHeight="1">
      <x:c r="A269" s="9"/>
      <x:c r="B269" s="9"/>
      <x:c r="C269" s="9"/>
      <x:c r="D269" s="9"/>
      <x:c r="E269" s="9"/>
      <x:c r="F269" s="9"/>
      <x:c r="G269" s="11"/>
      <x:c r="H269" s="11"/>
      <x:c r="I269" s="9"/>
      <x:c r="J269" s="9"/>
      <x:c r="K269" s="12" t="str">
        <x:f>IF(A269="","",IF(ISNUMBER(H269),H269-'Tableau de bord'!$F$5,""))</x:f>
      </x:c>
      <x:c r="L269" s="12" t="str">
        <x:f>IF(A269="","",IF(ISNUMBER(H269),IF(K269&lt;0,"Expiré",IF(K269&lt;='Paramètres'!$E$6,"À renouveler","À jour")),"À compléter"))</x:f>
      </x:c>
      <x:c r="M269" s="9"/>
    </x:row>
    <x:row r="270" ht="23" customHeight="1">
      <x:c r="A270" s="9"/>
      <x:c r="B270" s="9"/>
      <x:c r="C270" s="9"/>
      <x:c r="D270" s="9"/>
      <x:c r="E270" s="9"/>
      <x:c r="F270" s="9"/>
      <x:c r="G270" s="11"/>
      <x:c r="H270" s="11"/>
      <x:c r="I270" s="9"/>
      <x:c r="J270" s="9"/>
      <x:c r="K270" s="12" t="str">
        <x:f>IF(A270="","",IF(ISNUMBER(H270),H270-'Tableau de bord'!$F$5,""))</x:f>
      </x:c>
      <x:c r="L270" s="12" t="str">
        <x:f>IF(A270="","",IF(ISNUMBER(H270),IF(K270&lt;0,"Expiré",IF(K270&lt;='Paramètres'!$E$6,"À renouveler","À jour")),"À compléter"))</x:f>
      </x:c>
      <x:c r="M270" s="9"/>
    </x:row>
    <x:row r="271" ht="23" customHeight="1">
      <x:c r="A271" s="9"/>
      <x:c r="B271" s="9"/>
      <x:c r="C271" s="9"/>
      <x:c r="D271" s="9"/>
      <x:c r="E271" s="9"/>
      <x:c r="F271" s="9"/>
      <x:c r="G271" s="11"/>
      <x:c r="H271" s="11"/>
      <x:c r="I271" s="9"/>
      <x:c r="J271" s="9"/>
      <x:c r="K271" s="12" t="str">
        <x:f>IF(A271="","",IF(ISNUMBER(H271),H271-'Tableau de bord'!$F$5,""))</x:f>
      </x:c>
      <x:c r="L271" s="12" t="str">
        <x:f>IF(A271="","",IF(ISNUMBER(H271),IF(K271&lt;0,"Expiré",IF(K271&lt;='Paramètres'!$E$6,"À renouveler","À jour")),"À compléter"))</x:f>
      </x:c>
      <x:c r="M271" s="9"/>
    </x:row>
    <x:row r="272" ht="23" customHeight="1">
      <x:c r="A272" s="9"/>
      <x:c r="B272" s="9"/>
      <x:c r="C272" s="9"/>
      <x:c r="D272" s="9"/>
      <x:c r="E272" s="9"/>
      <x:c r="F272" s="9"/>
      <x:c r="G272" s="11"/>
      <x:c r="H272" s="11"/>
      <x:c r="I272" s="9"/>
      <x:c r="J272" s="9"/>
      <x:c r="K272" s="12" t="str">
        <x:f>IF(A272="","",IF(ISNUMBER(H272),H272-'Tableau de bord'!$F$5,""))</x:f>
      </x:c>
      <x:c r="L272" s="12" t="str">
        <x:f>IF(A272="","",IF(ISNUMBER(H272),IF(K272&lt;0,"Expiré",IF(K272&lt;='Paramètres'!$E$6,"À renouveler","À jour")),"À compléter"))</x:f>
      </x:c>
      <x:c r="M272" s="9"/>
    </x:row>
    <x:row r="273" ht="23" customHeight="1">
      <x:c r="A273" s="9"/>
      <x:c r="B273" s="9"/>
      <x:c r="C273" s="9"/>
      <x:c r="D273" s="9"/>
      <x:c r="E273" s="9"/>
      <x:c r="F273" s="9"/>
      <x:c r="G273" s="11"/>
      <x:c r="H273" s="11"/>
      <x:c r="I273" s="9"/>
      <x:c r="J273" s="9"/>
      <x:c r="K273" s="12" t="str">
        <x:f>IF(A273="","",IF(ISNUMBER(H273),H273-'Tableau de bord'!$F$5,""))</x:f>
      </x:c>
      <x:c r="L273" s="12" t="str">
        <x:f>IF(A273="","",IF(ISNUMBER(H273),IF(K273&lt;0,"Expiré",IF(K273&lt;='Paramètres'!$E$6,"À renouveler","À jour")),"À compléter"))</x:f>
      </x:c>
      <x:c r="M273" s="9"/>
    </x:row>
    <x:row r="274" ht="23" customHeight="1">
      <x:c r="A274" s="9"/>
      <x:c r="B274" s="9"/>
      <x:c r="C274" s="9"/>
      <x:c r="D274" s="9"/>
      <x:c r="E274" s="9"/>
      <x:c r="F274" s="9"/>
      <x:c r="G274" s="11"/>
      <x:c r="H274" s="11"/>
      <x:c r="I274" s="9"/>
      <x:c r="J274" s="9"/>
      <x:c r="K274" s="12" t="str">
        <x:f>IF(A274="","",IF(ISNUMBER(H274),H274-'Tableau de bord'!$F$5,""))</x:f>
      </x:c>
      <x:c r="L274" s="12" t="str">
        <x:f>IF(A274="","",IF(ISNUMBER(H274),IF(K274&lt;0,"Expiré",IF(K274&lt;='Paramètres'!$E$6,"À renouveler","À jour")),"À compléter"))</x:f>
      </x:c>
      <x:c r="M274" s="9"/>
    </x:row>
    <x:row r="275" ht="23" customHeight="1">
      <x:c r="A275" s="9"/>
      <x:c r="B275" s="9"/>
      <x:c r="C275" s="9"/>
      <x:c r="D275" s="9"/>
      <x:c r="E275" s="9"/>
      <x:c r="F275" s="9"/>
      <x:c r="G275" s="11"/>
      <x:c r="H275" s="11"/>
      <x:c r="I275" s="9"/>
      <x:c r="J275" s="9"/>
      <x:c r="K275" s="12" t="str">
        <x:f>IF(A275="","",IF(ISNUMBER(H275),H275-'Tableau de bord'!$F$5,""))</x:f>
      </x:c>
      <x:c r="L275" s="12" t="str">
        <x:f>IF(A275="","",IF(ISNUMBER(H275),IF(K275&lt;0,"Expiré",IF(K275&lt;='Paramètres'!$E$6,"À renouveler","À jour")),"À compléter"))</x:f>
      </x:c>
      <x:c r="M275" s="9"/>
    </x:row>
    <x:row r="276" ht="23" customHeight="1">
      <x:c r="A276" s="9"/>
      <x:c r="B276" s="9"/>
      <x:c r="C276" s="9"/>
      <x:c r="D276" s="9"/>
      <x:c r="E276" s="9"/>
      <x:c r="F276" s="9"/>
      <x:c r="G276" s="11"/>
      <x:c r="H276" s="11"/>
      <x:c r="I276" s="9"/>
      <x:c r="J276" s="9"/>
      <x:c r="K276" s="12" t="str">
        <x:f>IF(A276="","",IF(ISNUMBER(H276),H276-'Tableau de bord'!$F$5,""))</x:f>
      </x:c>
      <x:c r="L276" s="12" t="str">
        <x:f>IF(A276="","",IF(ISNUMBER(H276),IF(K276&lt;0,"Expiré",IF(K276&lt;='Paramètres'!$E$6,"À renouveler","À jour")),"À compléter"))</x:f>
      </x:c>
      <x:c r="M276" s="9"/>
    </x:row>
    <x:row r="277" ht="23" customHeight="1">
      <x:c r="A277" s="9"/>
      <x:c r="B277" s="9"/>
      <x:c r="C277" s="9"/>
      <x:c r="D277" s="9"/>
      <x:c r="E277" s="9"/>
      <x:c r="F277" s="9"/>
      <x:c r="G277" s="11"/>
      <x:c r="H277" s="11"/>
      <x:c r="I277" s="9"/>
      <x:c r="J277" s="9"/>
      <x:c r="K277" s="12" t="str">
        <x:f>IF(A277="","",IF(ISNUMBER(H277),H277-'Tableau de bord'!$F$5,""))</x:f>
      </x:c>
      <x:c r="L277" s="12" t="str">
        <x:f>IF(A277="","",IF(ISNUMBER(H277),IF(K277&lt;0,"Expiré",IF(K277&lt;='Paramètres'!$E$6,"À renouveler","À jour")),"À compléter"))</x:f>
      </x:c>
      <x:c r="M277" s="9"/>
    </x:row>
    <x:row r="278" ht="23" customHeight="1">
      <x:c r="A278" s="9"/>
      <x:c r="B278" s="9"/>
      <x:c r="C278" s="9"/>
      <x:c r="D278" s="9"/>
      <x:c r="E278" s="9"/>
      <x:c r="F278" s="9"/>
      <x:c r="G278" s="11"/>
      <x:c r="H278" s="11"/>
      <x:c r="I278" s="9"/>
      <x:c r="J278" s="9"/>
      <x:c r="K278" s="12" t="str">
        <x:f>IF(A278="","",IF(ISNUMBER(H278),H278-'Tableau de bord'!$F$5,""))</x:f>
      </x:c>
      <x:c r="L278" s="12" t="str">
        <x:f>IF(A278="","",IF(ISNUMBER(H278),IF(K278&lt;0,"Expiré",IF(K278&lt;='Paramètres'!$E$6,"À renouveler","À jour")),"À compléter"))</x:f>
      </x:c>
      <x:c r="M278" s="9"/>
    </x:row>
    <x:row r="279" ht="23" customHeight="1">
      <x:c r="A279" s="9"/>
      <x:c r="B279" s="9"/>
      <x:c r="C279" s="9"/>
      <x:c r="D279" s="9"/>
      <x:c r="E279" s="9"/>
      <x:c r="F279" s="9"/>
      <x:c r="G279" s="11"/>
      <x:c r="H279" s="11"/>
      <x:c r="I279" s="9"/>
      <x:c r="J279" s="9"/>
      <x:c r="K279" s="12" t="str">
        <x:f>IF(A279="","",IF(ISNUMBER(H279),H279-'Tableau de bord'!$F$5,""))</x:f>
      </x:c>
      <x:c r="L279" s="12" t="str">
        <x:f>IF(A279="","",IF(ISNUMBER(H279),IF(K279&lt;0,"Expiré",IF(K279&lt;='Paramètres'!$E$6,"À renouveler","À jour")),"À compléter"))</x:f>
      </x:c>
      <x:c r="M279" s="9"/>
    </x:row>
    <x:row r="280" ht="23" customHeight="1">
      <x:c r="A280" s="9"/>
      <x:c r="B280" s="9"/>
      <x:c r="C280" s="9"/>
      <x:c r="D280" s="9"/>
      <x:c r="E280" s="9"/>
      <x:c r="F280" s="9"/>
      <x:c r="G280" s="11"/>
      <x:c r="H280" s="11"/>
      <x:c r="I280" s="9"/>
      <x:c r="J280" s="9"/>
      <x:c r="K280" s="12" t="str">
        <x:f>IF(A280="","",IF(ISNUMBER(H280),H280-'Tableau de bord'!$F$5,""))</x:f>
      </x:c>
      <x:c r="L280" s="12" t="str">
        <x:f>IF(A280="","",IF(ISNUMBER(H280),IF(K280&lt;0,"Expiré",IF(K280&lt;='Paramètres'!$E$6,"À renouveler","À jour")),"À compléter"))</x:f>
      </x:c>
      <x:c r="M280" s="9"/>
    </x:row>
    <x:row r="281" ht="23" customHeight="1">
      <x:c r="A281" s="9"/>
      <x:c r="B281" s="9"/>
      <x:c r="C281" s="9"/>
      <x:c r="D281" s="9"/>
      <x:c r="E281" s="9"/>
      <x:c r="F281" s="9"/>
      <x:c r="G281" s="11"/>
      <x:c r="H281" s="11"/>
      <x:c r="I281" s="9"/>
      <x:c r="J281" s="9"/>
      <x:c r="K281" s="12" t="str">
        <x:f>IF(A281="","",IF(ISNUMBER(H281),H281-'Tableau de bord'!$F$5,""))</x:f>
      </x:c>
      <x:c r="L281" s="12" t="str">
        <x:f>IF(A281="","",IF(ISNUMBER(H281),IF(K281&lt;0,"Expiré",IF(K281&lt;='Paramètres'!$E$6,"À renouveler","À jour")),"À compléter"))</x:f>
      </x:c>
      <x:c r="M281" s="9"/>
    </x:row>
    <x:row r="282" ht="23" customHeight="1">
      <x:c r="A282" s="9"/>
      <x:c r="B282" s="9"/>
      <x:c r="C282" s="9"/>
      <x:c r="D282" s="9"/>
      <x:c r="E282" s="9"/>
      <x:c r="F282" s="9"/>
      <x:c r="G282" s="11"/>
      <x:c r="H282" s="11"/>
      <x:c r="I282" s="9"/>
      <x:c r="J282" s="9"/>
      <x:c r="K282" s="12" t="str">
        <x:f>IF(A282="","",IF(ISNUMBER(H282),H282-'Tableau de bord'!$F$5,""))</x:f>
      </x:c>
      <x:c r="L282" s="12" t="str">
        <x:f>IF(A282="","",IF(ISNUMBER(H282),IF(K282&lt;0,"Expiré",IF(K282&lt;='Paramètres'!$E$6,"À renouveler","À jour")),"À compléter"))</x:f>
      </x:c>
      <x:c r="M282" s="9"/>
    </x:row>
    <x:row r="283" ht="23" customHeight="1">
      <x:c r="A283" s="9"/>
      <x:c r="B283" s="9"/>
      <x:c r="C283" s="9"/>
      <x:c r="D283" s="9"/>
      <x:c r="E283" s="9"/>
      <x:c r="F283" s="9"/>
      <x:c r="G283" s="11"/>
      <x:c r="H283" s="11"/>
      <x:c r="I283" s="9"/>
      <x:c r="J283" s="9"/>
      <x:c r="K283" s="12" t="str">
        <x:f>IF(A283="","",IF(ISNUMBER(H283),H283-'Tableau de bord'!$F$5,""))</x:f>
      </x:c>
      <x:c r="L283" s="12" t="str">
        <x:f>IF(A283="","",IF(ISNUMBER(H283),IF(K283&lt;0,"Expiré",IF(K283&lt;='Paramètres'!$E$6,"À renouveler","À jour")),"À compléter"))</x:f>
      </x:c>
      <x:c r="M283" s="9"/>
    </x:row>
    <x:row r="284" ht="23" customHeight="1">
      <x:c r="A284" s="9"/>
      <x:c r="B284" s="9"/>
      <x:c r="C284" s="9"/>
      <x:c r="D284" s="9"/>
      <x:c r="E284" s="9"/>
      <x:c r="F284" s="9"/>
      <x:c r="G284" s="11"/>
      <x:c r="H284" s="11"/>
      <x:c r="I284" s="9"/>
      <x:c r="J284" s="9"/>
      <x:c r="K284" s="12" t="str">
        <x:f>IF(A284="","",IF(ISNUMBER(H284),H284-'Tableau de bord'!$F$5,""))</x:f>
      </x:c>
      <x:c r="L284" s="12" t="str">
        <x:f>IF(A284="","",IF(ISNUMBER(H284),IF(K284&lt;0,"Expiré",IF(K284&lt;='Paramètres'!$E$6,"À renouveler","À jour")),"À compléter"))</x:f>
      </x:c>
      <x:c r="M284" s="9"/>
    </x:row>
    <x:row r="285" ht="23" customHeight="1">
      <x:c r="A285" s="9"/>
      <x:c r="B285" s="9"/>
      <x:c r="C285" s="9"/>
      <x:c r="D285" s="9"/>
      <x:c r="E285" s="9"/>
      <x:c r="F285" s="9"/>
      <x:c r="G285" s="11"/>
      <x:c r="H285" s="11"/>
      <x:c r="I285" s="9"/>
      <x:c r="J285" s="9"/>
      <x:c r="K285" s="12" t="str">
        <x:f>IF(A285="","",IF(ISNUMBER(H285),H285-'Tableau de bord'!$F$5,""))</x:f>
      </x:c>
      <x:c r="L285" s="12" t="str">
        <x:f>IF(A285="","",IF(ISNUMBER(H285),IF(K285&lt;0,"Expiré",IF(K285&lt;='Paramètres'!$E$6,"À renouveler","À jour")),"À compléter"))</x:f>
      </x:c>
      <x:c r="M285" s="9"/>
    </x:row>
    <x:row r="286" ht="23" customHeight="1">
      <x:c r="A286" s="9"/>
      <x:c r="B286" s="9"/>
      <x:c r="C286" s="9"/>
      <x:c r="D286" s="9"/>
      <x:c r="E286" s="9"/>
      <x:c r="F286" s="9"/>
      <x:c r="G286" s="11"/>
      <x:c r="H286" s="11"/>
      <x:c r="I286" s="9"/>
      <x:c r="J286" s="9"/>
      <x:c r="K286" s="12" t="str">
        <x:f>IF(A286="","",IF(ISNUMBER(H286),H286-'Tableau de bord'!$F$5,""))</x:f>
      </x:c>
      <x:c r="L286" s="12" t="str">
        <x:f>IF(A286="","",IF(ISNUMBER(H286),IF(K286&lt;0,"Expiré",IF(K286&lt;='Paramètres'!$E$6,"À renouveler","À jour")),"À compléter"))</x:f>
      </x:c>
      <x:c r="M286" s="9"/>
    </x:row>
    <x:row r="287" ht="23" customHeight="1">
      <x:c r="A287" s="9"/>
      <x:c r="B287" s="9"/>
      <x:c r="C287" s="9"/>
      <x:c r="D287" s="9"/>
      <x:c r="E287" s="9"/>
      <x:c r="F287" s="9"/>
      <x:c r="G287" s="11"/>
      <x:c r="H287" s="11"/>
      <x:c r="I287" s="9"/>
      <x:c r="J287" s="9"/>
      <x:c r="K287" s="12" t="str">
        <x:f>IF(A287="","",IF(ISNUMBER(H287),H287-'Tableau de bord'!$F$5,""))</x:f>
      </x:c>
      <x:c r="L287" s="12" t="str">
        <x:f>IF(A287="","",IF(ISNUMBER(H287),IF(K287&lt;0,"Expiré",IF(K287&lt;='Paramètres'!$E$6,"À renouveler","À jour")),"À compléter"))</x:f>
      </x:c>
      <x:c r="M287" s="9"/>
    </x:row>
    <x:row r="288" ht="23" customHeight="1">
      <x:c r="A288" s="9"/>
      <x:c r="B288" s="9"/>
      <x:c r="C288" s="9"/>
      <x:c r="D288" s="9"/>
      <x:c r="E288" s="9"/>
      <x:c r="F288" s="9"/>
      <x:c r="G288" s="11"/>
      <x:c r="H288" s="11"/>
      <x:c r="I288" s="9"/>
      <x:c r="J288" s="9"/>
      <x:c r="K288" s="12" t="str">
        <x:f>IF(A288="","",IF(ISNUMBER(H288),H288-'Tableau de bord'!$F$5,""))</x:f>
      </x:c>
      <x:c r="L288" s="12" t="str">
        <x:f>IF(A288="","",IF(ISNUMBER(H288),IF(K288&lt;0,"Expiré",IF(K288&lt;='Paramètres'!$E$6,"À renouveler","À jour")),"À compléter"))</x:f>
      </x:c>
      <x:c r="M288" s="9"/>
    </x:row>
    <x:row r="289" ht="23" customHeight="1">
      <x:c r="A289" s="9"/>
      <x:c r="B289" s="9"/>
      <x:c r="C289" s="9"/>
      <x:c r="D289" s="9"/>
      <x:c r="E289" s="9"/>
      <x:c r="F289" s="9"/>
      <x:c r="G289" s="11"/>
      <x:c r="H289" s="11"/>
      <x:c r="I289" s="9"/>
      <x:c r="J289" s="9"/>
      <x:c r="K289" s="12" t="str">
        <x:f>IF(A289="","",IF(ISNUMBER(H289),H289-'Tableau de bord'!$F$5,""))</x:f>
      </x:c>
      <x:c r="L289" s="12" t="str">
        <x:f>IF(A289="","",IF(ISNUMBER(H289),IF(K289&lt;0,"Expiré",IF(K289&lt;='Paramètres'!$E$6,"À renouveler","À jour")),"À compléter"))</x:f>
      </x:c>
      <x:c r="M289" s="9"/>
    </x:row>
    <x:row r="290" ht="23" customHeight="1">
      <x:c r="A290" s="9"/>
      <x:c r="B290" s="9"/>
      <x:c r="C290" s="9"/>
      <x:c r="D290" s="9"/>
      <x:c r="E290" s="9"/>
      <x:c r="F290" s="9"/>
      <x:c r="G290" s="11"/>
      <x:c r="H290" s="11"/>
      <x:c r="I290" s="9"/>
      <x:c r="J290" s="9"/>
      <x:c r="K290" s="12" t="str">
        <x:f>IF(A290="","",IF(ISNUMBER(H290),H290-'Tableau de bord'!$F$5,""))</x:f>
      </x:c>
      <x:c r="L290" s="12" t="str">
        <x:f>IF(A290="","",IF(ISNUMBER(H290),IF(K290&lt;0,"Expiré",IF(K290&lt;='Paramètres'!$E$6,"À renouveler","À jour")),"À compléter"))</x:f>
      </x:c>
      <x:c r="M290" s="9"/>
    </x:row>
    <x:row r="291" ht="23" customHeight="1">
      <x:c r="A291" s="9"/>
      <x:c r="B291" s="9"/>
      <x:c r="C291" s="9"/>
      <x:c r="D291" s="9"/>
      <x:c r="E291" s="9"/>
      <x:c r="F291" s="9"/>
      <x:c r="G291" s="11"/>
      <x:c r="H291" s="11"/>
      <x:c r="I291" s="9"/>
      <x:c r="J291" s="9"/>
      <x:c r="K291" s="12" t="str">
        <x:f>IF(A291="","",IF(ISNUMBER(H291),H291-'Tableau de bord'!$F$5,""))</x:f>
      </x:c>
      <x:c r="L291" s="12" t="str">
        <x:f>IF(A291="","",IF(ISNUMBER(H291),IF(K291&lt;0,"Expiré",IF(K291&lt;='Paramètres'!$E$6,"À renouveler","À jour")),"À compléter"))</x:f>
      </x:c>
      <x:c r="M291" s="9"/>
    </x:row>
    <x:row r="292" ht="23" customHeight="1">
      <x:c r="A292" s="9"/>
      <x:c r="B292" s="9"/>
      <x:c r="C292" s="9"/>
      <x:c r="D292" s="9"/>
      <x:c r="E292" s="9"/>
      <x:c r="F292" s="9"/>
      <x:c r="G292" s="11"/>
      <x:c r="H292" s="11"/>
      <x:c r="I292" s="9"/>
      <x:c r="J292" s="9"/>
      <x:c r="K292" s="12" t="str">
        <x:f>IF(A292="","",IF(ISNUMBER(H292),H292-'Tableau de bord'!$F$5,""))</x:f>
      </x:c>
      <x:c r="L292" s="12" t="str">
        <x:f>IF(A292="","",IF(ISNUMBER(H292),IF(K292&lt;0,"Expiré",IF(K292&lt;='Paramètres'!$E$6,"À renouveler","À jour")),"À compléter"))</x:f>
      </x:c>
      <x:c r="M292" s="9"/>
    </x:row>
    <x:row r="293" ht="23" customHeight="1">
      <x:c r="A293" s="9"/>
      <x:c r="B293" s="9"/>
      <x:c r="C293" s="9"/>
      <x:c r="D293" s="9"/>
      <x:c r="E293" s="9"/>
      <x:c r="F293" s="9"/>
      <x:c r="G293" s="11"/>
      <x:c r="H293" s="11"/>
      <x:c r="I293" s="9"/>
      <x:c r="J293" s="9"/>
      <x:c r="K293" s="12" t="str">
        <x:f>IF(A293="","",IF(ISNUMBER(H293),H293-'Tableau de bord'!$F$5,""))</x:f>
      </x:c>
      <x:c r="L293" s="12" t="str">
        <x:f>IF(A293="","",IF(ISNUMBER(H293),IF(K293&lt;0,"Expiré",IF(K293&lt;='Paramètres'!$E$6,"À renouveler","À jour")),"À compléter"))</x:f>
      </x:c>
      <x:c r="M293" s="9"/>
    </x:row>
    <x:row r="294" ht="23" customHeight="1">
      <x:c r="A294" s="9"/>
      <x:c r="B294" s="9"/>
      <x:c r="C294" s="9"/>
      <x:c r="D294" s="9"/>
      <x:c r="E294" s="9"/>
      <x:c r="F294" s="9"/>
      <x:c r="G294" s="11"/>
      <x:c r="H294" s="11"/>
      <x:c r="I294" s="9"/>
      <x:c r="J294" s="9"/>
      <x:c r="K294" s="12" t="str">
        <x:f>IF(A294="","",IF(ISNUMBER(H294),H294-'Tableau de bord'!$F$5,""))</x:f>
      </x:c>
      <x:c r="L294" s="12" t="str">
        <x:f>IF(A294="","",IF(ISNUMBER(H294),IF(K294&lt;0,"Expiré",IF(K294&lt;='Paramètres'!$E$6,"À renouveler","À jour")),"À compléter"))</x:f>
      </x:c>
      <x:c r="M294" s="9"/>
    </x:row>
    <x:row r="295" ht="23" customHeight="1">
      <x:c r="A295" s="9"/>
      <x:c r="B295" s="9"/>
      <x:c r="C295" s="9"/>
      <x:c r="D295" s="9"/>
      <x:c r="E295" s="9"/>
      <x:c r="F295" s="9"/>
      <x:c r="G295" s="11"/>
      <x:c r="H295" s="11"/>
      <x:c r="I295" s="9"/>
      <x:c r="J295" s="9"/>
      <x:c r="K295" s="12" t="str">
        <x:f>IF(A295="","",IF(ISNUMBER(H295),H295-'Tableau de bord'!$F$5,""))</x:f>
      </x:c>
      <x:c r="L295" s="12" t="str">
        <x:f>IF(A295="","",IF(ISNUMBER(H295),IF(K295&lt;0,"Expiré",IF(K295&lt;='Paramètres'!$E$6,"À renouveler","À jour")),"À compléter"))</x:f>
      </x:c>
      <x:c r="M295" s="9"/>
    </x:row>
    <x:row r="296" ht="23" customHeight="1">
      <x:c r="A296" s="9"/>
      <x:c r="B296" s="9"/>
      <x:c r="C296" s="9"/>
      <x:c r="D296" s="9"/>
      <x:c r="E296" s="9"/>
      <x:c r="F296" s="9"/>
      <x:c r="G296" s="11"/>
      <x:c r="H296" s="11"/>
      <x:c r="I296" s="9"/>
      <x:c r="J296" s="9"/>
      <x:c r="K296" s="12" t="str">
        <x:f>IF(A296="","",IF(ISNUMBER(H296),H296-'Tableau de bord'!$F$5,""))</x:f>
      </x:c>
      <x:c r="L296" s="12" t="str">
        <x:f>IF(A296="","",IF(ISNUMBER(H296),IF(K296&lt;0,"Expiré",IF(K296&lt;='Paramètres'!$E$6,"À renouveler","À jour")),"À compléter"))</x:f>
      </x:c>
      <x:c r="M296" s="9"/>
    </x:row>
    <x:row r="297" ht="23" customHeight="1">
      <x:c r="A297" s="9"/>
      <x:c r="B297" s="9"/>
      <x:c r="C297" s="9"/>
      <x:c r="D297" s="9"/>
      <x:c r="E297" s="9"/>
      <x:c r="F297" s="9"/>
      <x:c r="G297" s="11"/>
      <x:c r="H297" s="11"/>
      <x:c r="I297" s="9"/>
      <x:c r="J297" s="9"/>
      <x:c r="K297" s="12" t="str">
        <x:f>IF(A297="","",IF(ISNUMBER(H297),H297-'Tableau de bord'!$F$5,""))</x:f>
      </x:c>
      <x:c r="L297" s="12" t="str">
        <x:f>IF(A297="","",IF(ISNUMBER(H297),IF(K297&lt;0,"Expiré",IF(K297&lt;='Paramètres'!$E$6,"À renouveler","À jour")),"À compléter"))</x:f>
      </x:c>
      <x:c r="M297" s="9"/>
    </x:row>
    <x:row r="298" ht="23" customHeight="1">
      <x:c r="A298" s="9"/>
      <x:c r="B298" s="9"/>
      <x:c r="C298" s="9"/>
      <x:c r="D298" s="9"/>
      <x:c r="E298" s="9"/>
      <x:c r="F298" s="9"/>
      <x:c r="G298" s="11"/>
      <x:c r="H298" s="11"/>
      <x:c r="I298" s="9"/>
      <x:c r="J298" s="9"/>
      <x:c r="K298" s="12" t="str">
        <x:f>IF(A298="","",IF(ISNUMBER(H298),H298-'Tableau de bord'!$F$5,""))</x:f>
      </x:c>
      <x:c r="L298" s="12" t="str">
        <x:f>IF(A298="","",IF(ISNUMBER(H298),IF(K298&lt;0,"Expiré",IF(K298&lt;='Paramètres'!$E$6,"À renouveler","À jour")),"À compléter"))</x:f>
      </x:c>
      <x:c r="M298" s="9"/>
    </x:row>
    <x:row r="299" ht="23" customHeight="1">
      <x:c r="A299" s="9"/>
      <x:c r="B299" s="9"/>
      <x:c r="C299" s="9"/>
      <x:c r="D299" s="9"/>
      <x:c r="E299" s="9"/>
      <x:c r="F299" s="9"/>
      <x:c r="G299" s="11"/>
      <x:c r="H299" s="11"/>
      <x:c r="I299" s="9"/>
      <x:c r="J299" s="9"/>
      <x:c r="K299" s="12" t="str">
        <x:f>IF(A299="","",IF(ISNUMBER(H299),H299-'Tableau de bord'!$F$5,""))</x:f>
      </x:c>
      <x:c r="L299" s="12" t="str">
        <x:f>IF(A299="","",IF(ISNUMBER(H299),IF(K299&lt;0,"Expiré",IF(K299&lt;='Paramètres'!$E$6,"À renouveler","À jour")),"À compléter"))</x:f>
      </x:c>
      <x:c r="M299" s="9"/>
    </x:row>
    <x:row r="300" ht="23" customHeight="1">
      <x:c r="A300" s="9"/>
      <x:c r="B300" s="9"/>
      <x:c r="C300" s="9"/>
      <x:c r="D300" s="9"/>
      <x:c r="E300" s="9"/>
      <x:c r="F300" s="9"/>
      <x:c r="G300" s="11"/>
      <x:c r="H300" s="11"/>
      <x:c r="I300" s="9"/>
      <x:c r="J300" s="9"/>
      <x:c r="K300" s="12" t="str">
        <x:f>IF(A300="","",IF(ISNUMBER(H300),H300-'Tableau de bord'!$F$5,""))</x:f>
      </x:c>
      <x:c r="L300" s="12" t="str">
        <x:f>IF(A300="","",IF(ISNUMBER(H300),IF(K300&lt;0,"Expiré",IF(K300&lt;='Paramètres'!$E$6,"À renouveler","À jour")),"À compléter"))</x:f>
      </x:c>
      <x:c r="M300" s="9"/>
    </x:row>
    <x:row r="301" ht="23" customHeight="1">
      <x:c r="A301" s="9"/>
      <x:c r="B301" s="9"/>
      <x:c r="C301" s="9"/>
      <x:c r="D301" s="9"/>
      <x:c r="E301" s="9"/>
      <x:c r="F301" s="9"/>
      <x:c r="G301" s="11"/>
      <x:c r="H301" s="11"/>
      <x:c r="I301" s="9"/>
      <x:c r="J301" s="9"/>
      <x:c r="K301" s="12" t="str">
        <x:f>IF(A301="","",IF(ISNUMBER(H301),H301-'Tableau de bord'!$F$5,""))</x:f>
      </x:c>
      <x:c r="L301" s="12" t="str">
        <x:f>IF(A301="","",IF(ISNUMBER(H301),IF(K301&lt;0,"Expiré",IF(K301&lt;='Paramètres'!$E$6,"À renouveler","À jour")),"À compléter"))</x:f>
      </x:c>
      <x:c r="M301" s="9"/>
    </x:row>
    <x:row r="302" ht="23" customHeight="1">
      <x:c r="A302" s="9"/>
      <x:c r="B302" s="9"/>
      <x:c r="C302" s="9"/>
      <x:c r="D302" s="9"/>
      <x:c r="E302" s="9"/>
      <x:c r="F302" s="9"/>
      <x:c r="G302" s="11"/>
      <x:c r="H302" s="11"/>
      <x:c r="I302" s="9"/>
      <x:c r="J302" s="9"/>
      <x:c r="K302" s="12" t="str">
        <x:f>IF(A302="","",IF(ISNUMBER(H302),H302-'Tableau de bord'!$F$5,""))</x:f>
      </x:c>
      <x:c r="L302" s="12" t="str">
        <x:f>IF(A302="","",IF(ISNUMBER(H302),IF(K302&lt;0,"Expiré",IF(K302&lt;='Paramètres'!$E$6,"À renouveler","À jour")),"À compléter"))</x:f>
      </x:c>
      <x:c r="M302" s="9"/>
    </x:row>
    <x:row r="303" ht="23" customHeight="1">
      <x:c r="A303" s="9"/>
      <x:c r="B303" s="9"/>
      <x:c r="C303" s="9"/>
      <x:c r="D303" s="9"/>
      <x:c r="E303" s="9"/>
      <x:c r="F303" s="9"/>
      <x:c r="G303" s="11"/>
      <x:c r="H303" s="11"/>
      <x:c r="I303" s="9"/>
      <x:c r="J303" s="9"/>
      <x:c r="K303" s="12" t="str">
        <x:f>IF(A303="","",IF(ISNUMBER(H303),H303-'Tableau de bord'!$F$5,""))</x:f>
      </x:c>
      <x:c r="L303" s="12" t="str">
        <x:f>IF(A303="","",IF(ISNUMBER(H303),IF(K303&lt;0,"Expiré",IF(K303&lt;='Paramètres'!$E$6,"À renouveler","À jour")),"À compléter"))</x:f>
      </x:c>
      <x:c r="M303" s="9"/>
    </x:row>
    <x:row r="304" ht="23" customHeight="1">
      <x:c r="A304" s="9"/>
      <x:c r="B304" s="9"/>
      <x:c r="C304" s="9"/>
      <x:c r="D304" s="9"/>
      <x:c r="E304" s="9"/>
      <x:c r="F304" s="9"/>
      <x:c r="G304" s="11"/>
      <x:c r="H304" s="11"/>
      <x:c r="I304" s="9"/>
      <x:c r="J304" s="9"/>
      <x:c r="K304" s="12" t="str">
        <x:f>IF(A304="","",IF(ISNUMBER(H304),H304-'Tableau de bord'!$F$5,""))</x:f>
      </x:c>
      <x:c r="L304" s="12" t="str">
        <x:f>IF(A304="","",IF(ISNUMBER(H304),IF(K304&lt;0,"Expiré",IF(K304&lt;='Paramètres'!$E$6,"À renouveler","À jour")),"À compléter"))</x:f>
      </x:c>
      <x:c r="M304" s="9"/>
    </x:row>
    <x:row r="305" ht="23" customHeight="1">
      <x:c r="A305" s="9"/>
      <x:c r="B305" s="9"/>
      <x:c r="C305" s="9"/>
      <x:c r="D305" s="9"/>
      <x:c r="E305" s="9"/>
      <x:c r="F305" s="9"/>
      <x:c r="G305" s="11"/>
      <x:c r="H305" s="11"/>
      <x:c r="I305" s="9"/>
      <x:c r="J305" s="9"/>
      <x:c r="K305" s="12" t="str">
        <x:f>IF(A305="","",IF(ISNUMBER(H305),H305-'Tableau de bord'!$F$5,""))</x:f>
      </x:c>
      <x:c r="L305" s="12" t="str">
        <x:f>IF(A305="","",IF(ISNUMBER(H305),IF(K305&lt;0,"Expiré",IF(K305&lt;='Paramètres'!$E$6,"À renouveler","À jour")),"À compléter"))</x:f>
      </x:c>
      <x:c r="M305" s="9"/>
    </x:row>
    <x:row r="306" ht="23" customHeight="1">
      <x:c r="A306" s="9"/>
      <x:c r="B306" s="9"/>
      <x:c r="C306" s="9"/>
      <x:c r="D306" s="9"/>
      <x:c r="E306" s="9"/>
      <x:c r="F306" s="9"/>
      <x:c r="G306" s="11"/>
      <x:c r="H306" s="11"/>
      <x:c r="I306" s="9"/>
      <x:c r="J306" s="9"/>
      <x:c r="K306" s="12" t="str">
        <x:f>IF(A306="","",IF(ISNUMBER(H306),H306-'Tableau de bord'!$F$5,""))</x:f>
      </x:c>
      <x:c r="L306" s="12" t="str">
        <x:f>IF(A306="","",IF(ISNUMBER(H306),IF(K306&lt;0,"Expiré",IF(K306&lt;='Paramètres'!$E$6,"À renouveler","À jour")),"À compléter"))</x:f>
      </x:c>
      <x:c r="M306" s="9"/>
    </x:row>
    <x:row r="307" ht="23" customHeight="1">
      <x:c r="A307" s="9"/>
      <x:c r="B307" s="9"/>
      <x:c r="C307" s="9"/>
      <x:c r="D307" s="9"/>
      <x:c r="E307" s="9"/>
      <x:c r="F307" s="9"/>
      <x:c r="G307" s="11"/>
      <x:c r="H307" s="11"/>
      <x:c r="I307" s="9"/>
      <x:c r="J307" s="9"/>
      <x:c r="K307" s="12" t="str">
        <x:f>IF(A307="","",IF(ISNUMBER(H307),H307-'Tableau de bord'!$F$5,""))</x:f>
      </x:c>
      <x:c r="L307" s="12" t="str">
        <x:f>IF(A307="","",IF(ISNUMBER(H307),IF(K307&lt;0,"Expiré",IF(K307&lt;='Paramètres'!$E$6,"À renouveler","À jour")),"À compléter"))</x:f>
      </x:c>
      <x:c r="M307" s="9"/>
    </x:row>
    <x:row r="308" ht="23" customHeight="1">
      <x:c r="A308" s="9"/>
      <x:c r="B308" s="9"/>
      <x:c r="C308" s="9"/>
      <x:c r="D308" s="9"/>
      <x:c r="E308" s="9"/>
      <x:c r="F308" s="9"/>
      <x:c r="G308" s="11"/>
      <x:c r="H308" s="11"/>
      <x:c r="I308" s="9"/>
      <x:c r="J308" s="9"/>
      <x:c r="K308" s="12" t="str">
        <x:f>IF(A308="","",IF(ISNUMBER(H308),H308-'Tableau de bord'!$F$5,""))</x:f>
      </x:c>
      <x:c r="L308" s="12" t="str">
        <x:f>IF(A308="","",IF(ISNUMBER(H308),IF(K308&lt;0,"Expiré",IF(K308&lt;='Paramètres'!$E$6,"À renouveler","À jour")),"À compléter"))</x:f>
      </x:c>
      <x:c r="M308" s="9"/>
    </x:row>
    <x:row r="309" ht="23" customHeight="1">
      <x:c r="A309" s="9"/>
      <x:c r="B309" s="9"/>
      <x:c r="C309" s="9"/>
      <x:c r="D309" s="9"/>
      <x:c r="E309" s="9"/>
      <x:c r="F309" s="9"/>
      <x:c r="G309" s="11"/>
      <x:c r="H309" s="11"/>
      <x:c r="I309" s="9"/>
      <x:c r="J309" s="9"/>
      <x:c r="K309" s="12" t="str">
        <x:f>IF(A309="","",IF(ISNUMBER(H309),H309-'Tableau de bord'!$F$5,""))</x:f>
      </x:c>
      <x:c r="L309" s="12" t="str">
        <x:f>IF(A309="","",IF(ISNUMBER(H309),IF(K309&lt;0,"Expiré",IF(K309&lt;='Paramètres'!$E$6,"À renouveler","À jour")),"À compléter"))</x:f>
      </x:c>
      <x:c r="M309" s="9"/>
    </x:row>
    <x:row r="310" ht="23" customHeight="1">
      <x:c r="A310" s="9"/>
      <x:c r="B310" s="9"/>
      <x:c r="C310" s="9"/>
      <x:c r="D310" s="9"/>
      <x:c r="E310" s="9"/>
      <x:c r="F310" s="9"/>
      <x:c r="G310" s="11"/>
      <x:c r="H310" s="11"/>
      <x:c r="I310" s="9"/>
      <x:c r="J310" s="9"/>
      <x:c r="K310" s="12" t="str">
        <x:f>IF(A310="","",IF(ISNUMBER(H310),H310-'Tableau de bord'!$F$5,""))</x:f>
      </x:c>
      <x:c r="L310" s="12" t="str">
        <x:f>IF(A310="","",IF(ISNUMBER(H310),IF(K310&lt;0,"Expiré",IF(K310&lt;='Paramètres'!$E$6,"À renouveler","À jour")),"À compléter"))</x:f>
      </x:c>
      <x:c r="M310" s="9"/>
    </x:row>
    <x:row r="311" ht="23" customHeight="1">
      <x:c r="A311" s="9"/>
      <x:c r="B311" s="9"/>
      <x:c r="C311" s="9"/>
      <x:c r="D311" s="9"/>
      <x:c r="E311" s="9"/>
      <x:c r="F311" s="9"/>
      <x:c r="G311" s="11"/>
      <x:c r="H311" s="11"/>
      <x:c r="I311" s="9"/>
      <x:c r="J311" s="9"/>
      <x:c r="K311" s="12" t="str">
        <x:f>IF(A311="","",IF(ISNUMBER(H311),H311-'Tableau de bord'!$F$5,""))</x:f>
      </x:c>
      <x:c r="L311" s="12" t="str">
        <x:f>IF(A311="","",IF(ISNUMBER(H311),IF(K311&lt;0,"Expiré",IF(K311&lt;='Paramètres'!$E$6,"À renouveler","À jour")),"À compléter"))</x:f>
      </x:c>
      <x:c r="M311" s="9"/>
    </x:row>
    <x:row r="312" ht="23" customHeight="1">
      <x:c r="A312" s="9"/>
      <x:c r="B312" s="9"/>
      <x:c r="C312" s="9"/>
      <x:c r="D312" s="9"/>
      <x:c r="E312" s="9"/>
      <x:c r="F312" s="9"/>
      <x:c r="G312" s="11"/>
      <x:c r="H312" s="11"/>
      <x:c r="I312" s="9"/>
      <x:c r="J312" s="9"/>
      <x:c r="K312" s="12" t="str">
        <x:f>IF(A312="","",IF(ISNUMBER(H312),H312-'Tableau de bord'!$F$5,""))</x:f>
      </x:c>
      <x:c r="L312" s="12" t="str">
        <x:f>IF(A312="","",IF(ISNUMBER(H312),IF(K312&lt;0,"Expiré",IF(K312&lt;='Paramètres'!$E$6,"À renouveler","À jour")),"À compléter"))</x:f>
      </x:c>
      <x:c r="M312" s="9"/>
    </x:row>
    <x:row r="313" ht="23" customHeight="1">
      <x:c r="A313" s="9"/>
      <x:c r="B313" s="9"/>
      <x:c r="C313" s="9"/>
      <x:c r="D313" s="9"/>
      <x:c r="E313" s="9"/>
      <x:c r="F313" s="9"/>
      <x:c r="G313" s="11"/>
      <x:c r="H313" s="11"/>
      <x:c r="I313" s="9"/>
      <x:c r="J313" s="9"/>
      <x:c r="K313" s="12" t="str">
        <x:f>IF(A313="","",IF(ISNUMBER(H313),H313-'Tableau de bord'!$F$5,""))</x:f>
      </x:c>
      <x:c r="L313" s="12" t="str">
        <x:f>IF(A313="","",IF(ISNUMBER(H313),IF(K313&lt;0,"Expiré",IF(K313&lt;='Paramètres'!$E$6,"À renouveler","À jour")),"À compléter"))</x:f>
      </x:c>
      <x:c r="M313" s="9"/>
    </x:row>
    <x:row r="314" ht="23" customHeight="1">
      <x:c r="A314" s="9"/>
      <x:c r="B314" s="9"/>
      <x:c r="C314" s="9"/>
      <x:c r="D314" s="9"/>
      <x:c r="E314" s="9"/>
      <x:c r="F314" s="9"/>
      <x:c r="G314" s="11"/>
      <x:c r="H314" s="11"/>
      <x:c r="I314" s="9"/>
      <x:c r="J314" s="9"/>
      <x:c r="K314" s="12" t="str">
        <x:f>IF(A314="","",IF(ISNUMBER(H314),H314-'Tableau de bord'!$F$5,""))</x:f>
      </x:c>
      <x:c r="L314" s="12" t="str">
        <x:f>IF(A314="","",IF(ISNUMBER(H314),IF(K314&lt;0,"Expiré",IF(K314&lt;='Paramètres'!$E$6,"À renouveler","À jour")),"À compléter"))</x:f>
      </x:c>
      <x:c r="M314" s="9"/>
    </x:row>
    <x:row r="315" ht="23" customHeight="1">
      <x:c r="A315" s="9"/>
      <x:c r="B315" s="9"/>
      <x:c r="C315" s="9"/>
      <x:c r="D315" s="9"/>
      <x:c r="E315" s="9"/>
      <x:c r="F315" s="9"/>
      <x:c r="G315" s="11"/>
      <x:c r="H315" s="11"/>
      <x:c r="I315" s="9"/>
      <x:c r="J315" s="9"/>
      <x:c r="K315" s="12" t="str">
        <x:f>IF(A315="","",IF(ISNUMBER(H315),H315-'Tableau de bord'!$F$5,""))</x:f>
      </x:c>
      <x:c r="L315" s="12" t="str">
        <x:f>IF(A315="","",IF(ISNUMBER(H315),IF(K315&lt;0,"Expiré",IF(K315&lt;='Paramètres'!$E$6,"À renouveler","À jour")),"À compléter"))</x:f>
      </x:c>
      <x:c r="M315" s="9"/>
    </x:row>
    <x:row r="316" ht="23" customHeight="1">
      <x:c r="A316" s="9"/>
      <x:c r="B316" s="9"/>
      <x:c r="C316" s="9"/>
      <x:c r="D316" s="9"/>
      <x:c r="E316" s="9"/>
      <x:c r="F316" s="9"/>
      <x:c r="G316" s="11"/>
      <x:c r="H316" s="11"/>
      <x:c r="I316" s="9"/>
      <x:c r="J316" s="9"/>
      <x:c r="K316" s="12" t="str">
        <x:f>IF(A316="","",IF(ISNUMBER(H316),H316-'Tableau de bord'!$F$5,""))</x:f>
      </x:c>
      <x:c r="L316" s="12" t="str">
        <x:f>IF(A316="","",IF(ISNUMBER(H316),IF(K316&lt;0,"Expiré",IF(K316&lt;='Paramètres'!$E$6,"À renouveler","À jour")),"À compléter"))</x:f>
      </x:c>
      <x:c r="M316" s="9"/>
    </x:row>
    <x:row r="317" ht="23" customHeight="1">
      <x:c r="A317" s="9"/>
      <x:c r="B317" s="9"/>
      <x:c r="C317" s="9"/>
      <x:c r="D317" s="9"/>
      <x:c r="E317" s="9"/>
      <x:c r="F317" s="9"/>
      <x:c r="G317" s="11"/>
      <x:c r="H317" s="11"/>
      <x:c r="I317" s="9"/>
      <x:c r="J317" s="9"/>
      <x:c r="K317" s="12" t="str">
        <x:f>IF(A317="","",IF(ISNUMBER(H317),H317-'Tableau de bord'!$F$5,""))</x:f>
      </x:c>
      <x:c r="L317" s="12" t="str">
        <x:f>IF(A317="","",IF(ISNUMBER(H317),IF(K317&lt;0,"Expiré",IF(K317&lt;='Paramètres'!$E$6,"À renouveler","À jour")),"À compléter"))</x:f>
      </x:c>
      <x:c r="M317" s="9"/>
    </x:row>
    <x:row r="318" ht="23" customHeight="1">
      <x:c r="A318" s="9"/>
      <x:c r="B318" s="9"/>
      <x:c r="C318" s="9"/>
      <x:c r="D318" s="9"/>
      <x:c r="E318" s="9"/>
      <x:c r="F318" s="9"/>
      <x:c r="G318" s="11"/>
      <x:c r="H318" s="11"/>
      <x:c r="I318" s="9"/>
      <x:c r="J318" s="9"/>
      <x:c r="K318" s="12" t="str">
        <x:f>IF(A318="","",IF(ISNUMBER(H318),H318-'Tableau de bord'!$F$5,""))</x:f>
      </x:c>
      <x:c r="L318" s="12" t="str">
        <x:f>IF(A318="","",IF(ISNUMBER(H318),IF(K318&lt;0,"Expiré",IF(K318&lt;='Paramètres'!$E$6,"À renouveler","À jour")),"À compléter"))</x:f>
      </x:c>
      <x:c r="M318" s="9"/>
    </x:row>
    <x:row r="319" ht="23" customHeight="1">
      <x:c r="A319" s="9"/>
      <x:c r="B319" s="9"/>
      <x:c r="C319" s="9"/>
      <x:c r="D319" s="9"/>
      <x:c r="E319" s="9"/>
      <x:c r="F319" s="9"/>
      <x:c r="G319" s="11"/>
      <x:c r="H319" s="11"/>
      <x:c r="I319" s="9"/>
      <x:c r="J319" s="9"/>
      <x:c r="K319" s="12" t="str">
        <x:f>IF(A319="","",IF(ISNUMBER(H319),H319-'Tableau de bord'!$F$5,""))</x:f>
      </x:c>
      <x:c r="L319" s="12" t="str">
        <x:f>IF(A319="","",IF(ISNUMBER(H319),IF(K319&lt;0,"Expiré",IF(K319&lt;='Paramètres'!$E$6,"À renouveler","À jour")),"À compléter"))</x:f>
      </x:c>
      <x:c r="M319" s="9"/>
    </x:row>
    <x:row r="320" ht="23" customHeight="1">
      <x:c r="A320" s="9"/>
      <x:c r="B320" s="9"/>
      <x:c r="C320" s="9"/>
      <x:c r="D320" s="9"/>
      <x:c r="E320" s="9"/>
      <x:c r="F320" s="9"/>
      <x:c r="G320" s="11"/>
      <x:c r="H320" s="11"/>
      <x:c r="I320" s="9"/>
      <x:c r="J320" s="9"/>
      <x:c r="K320" s="12" t="str">
        <x:f>IF(A320="","",IF(ISNUMBER(H320),H320-'Tableau de bord'!$F$5,""))</x:f>
      </x:c>
      <x:c r="L320" s="12" t="str">
        <x:f>IF(A320="","",IF(ISNUMBER(H320),IF(K320&lt;0,"Expiré",IF(K320&lt;='Paramètres'!$E$6,"À renouveler","À jour")),"À compléter"))</x:f>
      </x:c>
      <x:c r="M320" s="9"/>
    </x:row>
    <x:row r="321" ht="23" customHeight="1">
      <x:c r="A321" s="9"/>
      <x:c r="B321" s="9"/>
      <x:c r="C321" s="9"/>
      <x:c r="D321" s="9"/>
      <x:c r="E321" s="9"/>
      <x:c r="F321" s="9"/>
      <x:c r="G321" s="11"/>
      <x:c r="H321" s="11"/>
      <x:c r="I321" s="9"/>
      <x:c r="J321" s="9"/>
      <x:c r="K321" s="12" t="str">
        <x:f>IF(A321="","",IF(ISNUMBER(H321),H321-'Tableau de bord'!$F$5,""))</x:f>
      </x:c>
      <x:c r="L321" s="12" t="str">
        <x:f>IF(A321="","",IF(ISNUMBER(H321),IF(K321&lt;0,"Expiré",IF(K321&lt;='Paramètres'!$E$6,"À renouveler","À jour")),"À compléter"))</x:f>
      </x:c>
      <x:c r="M321" s="9"/>
    </x:row>
    <x:row r="322" ht="23" customHeight="1">
      <x:c r="A322" s="9"/>
      <x:c r="B322" s="9"/>
      <x:c r="C322" s="9"/>
      <x:c r="D322" s="9"/>
      <x:c r="E322" s="9"/>
      <x:c r="F322" s="9"/>
      <x:c r="G322" s="11"/>
      <x:c r="H322" s="11"/>
      <x:c r="I322" s="9"/>
      <x:c r="J322" s="9"/>
      <x:c r="K322" s="12" t="str">
        <x:f>IF(A322="","",IF(ISNUMBER(H322),H322-'Tableau de bord'!$F$5,""))</x:f>
      </x:c>
      <x:c r="L322" s="12" t="str">
        <x:f>IF(A322="","",IF(ISNUMBER(H322),IF(K322&lt;0,"Expiré",IF(K322&lt;='Paramètres'!$E$6,"À renouveler","À jour")),"À compléter"))</x:f>
      </x:c>
      <x:c r="M322" s="9"/>
    </x:row>
    <x:row r="323" ht="23" customHeight="1">
      <x:c r="A323" s="9"/>
      <x:c r="B323" s="9"/>
      <x:c r="C323" s="9"/>
      <x:c r="D323" s="9"/>
      <x:c r="E323" s="9"/>
      <x:c r="F323" s="9"/>
      <x:c r="G323" s="11"/>
      <x:c r="H323" s="11"/>
      <x:c r="I323" s="9"/>
      <x:c r="J323" s="9"/>
      <x:c r="K323" s="12" t="str">
        <x:f>IF(A323="","",IF(ISNUMBER(H323),H323-'Tableau de bord'!$F$5,""))</x:f>
      </x:c>
      <x:c r="L323" s="12" t="str">
        <x:f>IF(A323="","",IF(ISNUMBER(H323),IF(K323&lt;0,"Expiré",IF(K323&lt;='Paramètres'!$E$6,"À renouveler","À jour")),"À compléter"))</x:f>
      </x:c>
      <x:c r="M323" s="9"/>
    </x:row>
    <x:row r="324" ht="23" customHeight="1">
      <x:c r="A324" s="9"/>
      <x:c r="B324" s="9"/>
      <x:c r="C324" s="9"/>
      <x:c r="D324" s="9"/>
      <x:c r="E324" s="9"/>
      <x:c r="F324" s="9"/>
      <x:c r="G324" s="11"/>
      <x:c r="H324" s="11"/>
      <x:c r="I324" s="9"/>
      <x:c r="J324" s="9"/>
      <x:c r="K324" s="12" t="str">
        <x:f>IF(A324="","",IF(ISNUMBER(H324),H324-'Tableau de bord'!$F$5,""))</x:f>
      </x:c>
      <x:c r="L324" s="12" t="str">
        <x:f>IF(A324="","",IF(ISNUMBER(H324),IF(K324&lt;0,"Expiré",IF(K324&lt;='Paramètres'!$E$6,"À renouveler","À jour")),"À compléter"))</x:f>
      </x:c>
      <x:c r="M324" s="9"/>
    </x:row>
    <x:row r="325" ht="23" customHeight="1">
      <x:c r="A325" s="9"/>
      <x:c r="B325" s="9"/>
      <x:c r="C325" s="9"/>
      <x:c r="D325" s="9"/>
      <x:c r="E325" s="9"/>
      <x:c r="F325" s="9"/>
      <x:c r="G325" s="11"/>
      <x:c r="H325" s="11"/>
      <x:c r="I325" s="9"/>
      <x:c r="J325" s="9"/>
      <x:c r="K325" s="12" t="str">
        <x:f>IF(A325="","",IF(ISNUMBER(H325),H325-'Tableau de bord'!$F$5,""))</x:f>
      </x:c>
      <x:c r="L325" s="12" t="str">
        <x:f>IF(A325="","",IF(ISNUMBER(H325),IF(K325&lt;0,"Expiré",IF(K325&lt;='Paramètres'!$E$6,"À renouveler","À jour")),"À compléter"))</x:f>
      </x:c>
      <x:c r="M325" s="9"/>
    </x:row>
    <x:row r="326" ht="23" customHeight="1">
      <x:c r="A326" s="9"/>
      <x:c r="B326" s="9"/>
      <x:c r="C326" s="9"/>
      <x:c r="D326" s="9"/>
      <x:c r="E326" s="9"/>
      <x:c r="F326" s="9"/>
      <x:c r="G326" s="11"/>
      <x:c r="H326" s="11"/>
      <x:c r="I326" s="9"/>
      <x:c r="J326" s="9"/>
      <x:c r="K326" s="12" t="str">
        <x:f>IF(A326="","",IF(ISNUMBER(H326),H326-'Tableau de bord'!$F$5,""))</x:f>
      </x:c>
      <x:c r="L326" s="12" t="str">
        <x:f>IF(A326="","",IF(ISNUMBER(H326),IF(K326&lt;0,"Expiré",IF(K326&lt;='Paramètres'!$E$6,"À renouveler","À jour")),"À compléter"))</x:f>
      </x:c>
      <x:c r="M326" s="9"/>
    </x:row>
    <x:row r="327" ht="23" customHeight="1">
      <x:c r="A327" s="9"/>
      <x:c r="B327" s="9"/>
      <x:c r="C327" s="9"/>
      <x:c r="D327" s="9"/>
      <x:c r="E327" s="9"/>
      <x:c r="F327" s="9"/>
      <x:c r="G327" s="11"/>
      <x:c r="H327" s="11"/>
      <x:c r="I327" s="9"/>
      <x:c r="J327" s="9"/>
      <x:c r="K327" s="12" t="str">
        <x:f>IF(A327="","",IF(ISNUMBER(H327),H327-'Tableau de bord'!$F$5,""))</x:f>
      </x:c>
      <x:c r="L327" s="12" t="str">
        <x:f>IF(A327="","",IF(ISNUMBER(H327),IF(K327&lt;0,"Expiré",IF(K327&lt;='Paramètres'!$E$6,"À renouveler","À jour")),"À compléter"))</x:f>
      </x:c>
      <x:c r="M327" s="9"/>
    </x:row>
    <x:row r="328" ht="23" customHeight="1">
      <x:c r="A328" s="9"/>
      <x:c r="B328" s="9"/>
      <x:c r="C328" s="9"/>
      <x:c r="D328" s="9"/>
      <x:c r="E328" s="9"/>
      <x:c r="F328" s="9"/>
      <x:c r="G328" s="11"/>
      <x:c r="H328" s="11"/>
      <x:c r="I328" s="9"/>
      <x:c r="J328" s="9"/>
      <x:c r="K328" s="12" t="str">
        <x:f>IF(A328="","",IF(ISNUMBER(H328),H328-'Tableau de bord'!$F$5,""))</x:f>
      </x:c>
      <x:c r="L328" s="12" t="str">
        <x:f>IF(A328="","",IF(ISNUMBER(H328),IF(K328&lt;0,"Expiré",IF(K328&lt;='Paramètres'!$E$6,"À renouveler","À jour")),"À compléter"))</x:f>
      </x:c>
      <x:c r="M328" s="9"/>
    </x:row>
    <x:row r="329" ht="23" customHeight="1">
      <x:c r="A329" s="9"/>
      <x:c r="B329" s="9"/>
      <x:c r="C329" s="9"/>
      <x:c r="D329" s="9"/>
      <x:c r="E329" s="9"/>
      <x:c r="F329" s="9"/>
      <x:c r="G329" s="11"/>
      <x:c r="H329" s="11"/>
      <x:c r="I329" s="9"/>
      <x:c r="J329" s="9"/>
      <x:c r="K329" s="12" t="str">
        <x:f>IF(A329="","",IF(ISNUMBER(H329),H329-'Tableau de bord'!$F$5,""))</x:f>
      </x:c>
      <x:c r="L329" s="12" t="str">
        <x:f>IF(A329="","",IF(ISNUMBER(H329),IF(K329&lt;0,"Expiré",IF(K329&lt;='Paramètres'!$E$6,"À renouveler","À jour")),"À compléter"))</x:f>
      </x:c>
      <x:c r="M329" s="9"/>
    </x:row>
    <x:row r="330" ht="23" customHeight="1">
      <x:c r="A330" s="9"/>
      <x:c r="B330" s="9"/>
      <x:c r="C330" s="9"/>
      <x:c r="D330" s="9"/>
      <x:c r="E330" s="9"/>
      <x:c r="F330" s="9"/>
      <x:c r="G330" s="11"/>
      <x:c r="H330" s="11"/>
      <x:c r="I330" s="9"/>
      <x:c r="J330" s="9"/>
      <x:c r="K330" s="12" t="str">
        <x:f>IF(A330="","",IF(ISNUMBER(H330),H330-'Tableau de bord'!$F$5,""))</x:f>
      </x:c>
      <x:c r="L330" s="12" t="str">
        <x:f>IF(A330="","",IF(ISNUMBER(H330),IF(K330&lt;0,"Expiré",IF(K330&lt;='Paramètres'!$E$6,"À renouveler","À jour")),"À compléter"))</x:f>
      </x:c>
      <x:c r="M330" s="9"/>
    </x:row>
    <x:row r="331" ht="23" customHeight="1">
      <x:c r="A331" s="9"/>
      <x:c r="B331" s="9"/>
      <x:c r="C331" s="9"/>
      <x:c r="D331" s="9"/>
      <x:c r="E331" s="9"/>
      <x:c r="F331" s="9"/>
      <x:c r="G331" s="11"/>
      <x:c r="H331" s="11"/>
      <x:c r="I331" s="9"/>
      <x:c r="J331" s="9"/>
      <x:c r="K331" s="12" t="str">
        <x:f>IF(A331="","",IF(ISNUMBER(H331),H331-'Tableau de bord'!$F$5,""))</x:f>
      </x:c>
      <x:c r="L331" s="12" t="str">
        <x:f>IF(A331="","",IF(ISNUMBER(H331),IF(K331&lt;0,"Expiré",IF(K331&lt;='Paramètres'!$E$6,"À renouveler","À jour")),"À compléter"))</x:f>
      </x:c>
      <x:c r="M331" s="9"/>
    </x:row>
    <x:row r="332" ht="23" customHeight="1">
      <x:c r="A332" s="9"/>
      <x:c r="B332" s="9"/>
      <x:c r="C332" s="9"/>
      <x:c r="D332" s="9"/>
      <x:c r="E332" s="9"/>
      <x:c r="F332" s="9"/>
      <x:c r="G332" s="11"/>
      <x:c r="H332" s="11"/>
      <x:c r="I332" s="9"/>
      <x:c r="J332" s="9"/>
      <x:c r="K332" s="12" t="str">
        <x:f>IF(A332="","",IF(ISNUMBER(H332),H332-'Tableau de bord'!$F$5,""))</x:f>
      </x:c>
      <x:c r="L332" s="12" t="str">
        <x:f>IF(A332="","",IF(ISNUMBER(H332),IF(K332&lt;0,"Expiré",IF(K332&lt;='Paramètres'!$E$6,"À renouveler","À jour")),"À compléter"))</x:f>
      </x:c>
      <x:c r="M332" s="9"/>
    </x:row>
    <x:row r="333" ht="23" customHeight="1">
      <x:c r="A333" s="9"/>
      <x:c r="B333" s="9"/>
      <x:c r="C333" s="9"/>
      <x:c r="D333" s="9"/>
      <x:c r="E333" s="9"/>
      <x:c r="F333" s="9"/>
      <x:c r="G333" s="11"/>
      <x:c r="H333" s="11"/>
      <x:c r="I333" s="9"/>
      <x:c r="J333" s="9"/>
      <x:c r="K333" s="12" t="str">
        <x:f>IF(A333="","",IF(ISNUMBER(H333),H333-'Tableau de bord'!$F$5,""))</x:f>
      </x:c>
      <x:c r="L333" s="12" t="str">
        <x:f>IF(A333="","",IF(ISNUMBER(H333),IF(K333&lt;0,"Expiré",IF(K333&lt;='Paramètres'!$E$6,"À renouveler","À jour")),"À compléter"))</x:f>
      </x:c>
      <x:c r="M333" s="9"/>
    </x:row>
    <x:row r="334" ht="23" customHeight="1">
      <x:c r="A334" s="9"/>
      <x:c r="B334" s="9"/>
      <x:c r="C334" s="9"/>
      <x:c r="D334" s="9"/>
      <x:c r="E334" s="9"/>
      <x:c r="F334" s="9"/>
      <x:c r="G334" s="11"/>
      <x:c r="H334" s="11"/>
      <x:c r="I334" s="9"/>
      <x:c r="J334" s="9"/>
      <x:c r="K334" s="12" t="str">
        <x:f>IF(A334="","",IF(ISNUMBER(H334),H334-'Tableau de bord'!$F$5,""))</x:f>
      </x:c>
      <x:c r="L334" s="12" t="str">
        <x:f>IF(A334="","",IF(ISNUMBER(H334),IF(K334&lt;0,"Expiré",IF(K334&lt;='Paramètres'!$E$6,"À renouveler","À jour")),"À compléter"))</x:f>
      </x:c>
      <x:c r="M334" s="9"/>
    </x:row>
    <x:row r="335" ht="23" customHeight="1">
      <x:c r="A335" s="9"/>
      <x:c r="B335" s="9"/>
      <x:c r="C335" s="9"/>
      <x:c r="D335" s="9"/>
      <x:c r="E335" s="9"/>
      <x:c r="F335" s="9"/>
      <x:c r="G335" s="11"/>
      <x:c r="H335" s="11"/>
      <x:c r="I335" s="9"/>
      <x:c r="J335" s="9"/>
      <x:c r="K335" s="12" t="str">
        <x:f>IF(A335="","",IF(ISNUMBER(H335),H335-'Tableau de bord'!$F$5,""))</x:f>
      </x:c>
      <x:c r="L335" s="12" t="str">
        <x:f>IF(A335="","",IF(ISNUMBER(H335),IF(K335&lt;0,"Expiré",IF(K335&lt;='Paramètres'!$E$6,"À renouveler","À jour")),"À compléter"))</x:f>
      </x:c>
      <x:c r="M335" s="9"/>
    </x:row>
    <x:row r="336" ht="23" customHeight="1">
      <x:c r="A336" s="9"/>
      <x:c r="B336" s="9"/>
      <x:c r="C336" s="9"/>
      <x:c r="D336" s="9"/>
      <x:c r="E336" s="9"/>
      <x:c r="F336" s="9"/>
      <x:c r="G336" s="11"/>
      <x:c r="H336" s="11"/>
      <x:c r="I336" s="9"/>
      <x:c r="J336" s="9"/>
      <x:c r="K336" s="12" t="str">
        <x:f>IF(A336="","",IF(ISNUMBER(H336),H336-'Tableau de bord'!$F$5,""))</x:f>
      </x:c>
      <x:c r="L336" s="12" t="str">
        <x:f>IF(A336="","",IF(ISNUMBER(H336),IF(K336&lt;0,"Expiré",IF(K336&lt;='Paramètres'!$E$6,"À renouveler","À jour")),"À compléter"))</x:f>
      </x:c>
      <x:c r="M336" s="9"/>
    </x:row>
    <x:row r="337" ht="23" customHeight="1">
      <x:c r="A337" s="9"/>
      <x:c r="B337" s="9"/>
      <x:c r="C337" s="9"/>
      <x:c r="D337" s="9"/>
      <x:c r="E337" s="9"/>
      <x:c r="F337" s="9"/>
      <x:c r="G337" s="11"/>
      <x:c r="H337" s="11"/>
      <x:c r="I337" s="9"/>
      <x:c r="J337" s="9"/>
      <x:c r="K337" s="12" t="str">
        <x:f>IF(A337="","",IF(ISNUMBER(H337),H337-'Tableau de bord'!$F$5,""))</x:f>
      </x:c>
      <x:c r="L337" s="12" t="str">
        <x:f>IF(A337="","",IF(ISNUMBER(H337),IF(K337&lt;0,"Expiré",IF(K337&lt;='Paramètres'!$E$6,"À renouveler","À jour")),"À compléter"))</x:f>
      </x:c>
      <x:c r="M337" s="9"/>
    </x:row>
    <x:row r="338" ht="23" customHeight="1">
      <x:c r="A338" s="9"/>
      <x:c r="B338" s="9"/>
      <x:c r="C338" s="9"/>
      <x:c r="D338" s="9"/>
      <x:c r="E338" s="9"/>
      <x:c r="F338" s="9"/>
      <x:c r="G338" s="11"/>
      <x:c r="H338" s="11"/>
      <x:c r="I338" s="9"/>
      <x:c r="J338" s="9"/>
      <x:c r="K338" s="12" t="str">
        <x:f>IF(A338="","",IF(ISNUMBER(H338),H338-'Tableau de bord'!$F$5,""))</x:f>
      </x:c>
      <x:c r="L338" s="12" t="str">
        <x:f>IF(A338="","",IF(ISNUMBER(H338),IF(K338&lt;0,"Expiré",IF(K338&lt;='Paramètres'!$E$6,"À renouveler","À jour")),"À compléter"))</x:f>
      </x:c>
      <x:c r="M338" s="9"/>
    </x:row>
    <x:row r="339" ht="23" customHeight="1">
      <x:c r="A339" s="9"/>
      <x:c r="B339" s="9"/>
      <x:c r="C339" s="9"/>
      <x:c r="D339" s="9"/>
      <x:c r="E339" s="9"/>
      <x:c r="F339" s="9"/>
      <x:c r="G339" s="11"/>
      <x:c r="H339" s="11"/>
      <x:c r="I339" s="9"/>
      <x:c r="J339" s="9"/>
      <x:c r="K339" s="12" t="str">
        <x:f>IF(A339="","",IF(ISNUMBER(H339),H339-'Tableau de bord'!$F$5,""))</x:f>
      </x:c>
      <x:c r="L339" s="12" t="str">
        <x:f>IF(A339="","",IF(ISNUMBER(H339),IF(K339&lt;0,"Expiré",IF(K339&lt;='Paramètres'!$E$6,"À renouveler","À jour")),"À compléter"))</x:f>
      </x:c>
      <x:c r="M339" s="9"/>
    </x:row>
    <x:row r="340" ht="23" customHeight="1">
      <x:c r="A340" s="9"/>
      <x:c r="B340" s="9"/>
      <x:c r="C340" s="9"/>
      <x:c r="D340" s="9"/>
      <x:c r="E340" s="9"/>
      <x:c r="F340" s="9"/>
      <x:c r="G340" s="11"/>
      <x:c r="H340" s="11"/>
      <x:c r="I340" s="9"/>
      <x:c r="J340" s="9"/>
      <x:c r="K340" s="12" t="str">
        <x:f>IF(A340="","",IF(ISNUMBER(H340),H340-'Tableau de bord'!$F$5,""))</x:f>
      </x:c>
      <x:c r="L340" s="12" t="str">
        <x:f>IF(A340="","",IF(ISNUMBER(H340),IF(K340&lt;0,"Expiré",IF(K340&lt;='Paramètres'!$E$6,"À renouveler","À jour")),"À compléter"))</x:f>
      </x:c>
      <x:c r="M340" s="9"/>
    </x:row>
    <x:row r="341" ht="23" customHeight="1">
      <x:c r="A341" s="9"/>
      <x:c r="B341" s="9"/>
      <x:c r="C341" s="9"/>
      <x:c r="D341" s="9"/>
      <x:c r="E341" s="9"/>
      <x:c r="F341" s="9"/>
      <x:c r="G341" s="11"/>
      <x:c r="H341" s="11"/>
      <x:c r="I341" s="9"/>
      <x:c r="J341" s="9"/>
      <x:c r="K341" s="12" t="str">
        <x:f>IF(A341="","",IF(ISNUMBER(H341),H341-'Tableau de bord'!$F$5,""))</x:f>
      </x:c>
      <x:c r="L341" s="12" t="str">
        <x:f>IF(A341="","",IF(ISNUMBER(H341),IF(K341&lt;0,"Expiré",IF(K341&lt;='Paramètres'!$E$6,"À renouveler","À jour")),"À compléter"))</x:f>
      </x:c>
      <x:c r="M341" s="9"/>
    </x:row>
    <x:row r="342" ht="23" customHeight="1">
      <x:c r="A342" s="9"/>
      <x:c r="B342" s="9"/>
      <x:c r="C342" s="9"/>
      <x:c r="D342" s="9"/>
      <x:c r="E342" s="9"/>
      <x:c r="F342" s="9"/>
      <x:c r="G342" s="11"/>
      <x:c r="H342" s="11"/>
      <x:c r="I342" s="9"/>
      <x:c r="J342" s="9"/>
      <x:c r="K342" s="12" t="str">
        <x:f>IF(A342="","",IF(ISNUMBER(H342),H342-'Tableau de bord'!$F$5,""))</x:f>
      </x:c>
      <x:c r="L342" s="12" t="str">
        <x:f>IF(A342="","",IF(ISNUMBER(H342),IF(K342&lt;0,"Expiré",IF(K342&lt;='Paramètres'!$E$6,"À renouveler","À jour")),"À compléter"))</x:f>
      </x:c>
      <x:c r="M342" s="9"/>
    </x:row>
    <x:row r="343" ht="23" customHeight="1">
      <x:c r="A343" s="9"/>
      <x:c r="B343" s="9"/>
      <x:c r="C343" s="9"/>
      <x:c r="D343" s="9"/>
      <x:c r="E343" s="9"/>
      <x:c r="F343" s="9"/>
      <x:c r="G343" s="11"/>
      <x:c r="H343" s="11"/>
      <x:c r="I343" s="9"/>
      <x:c r="J343" s="9"/>
      <x:c r="K343" s="12" t="str">
        <x:f>IF(A343="","",IF(ISNUMBER(H343),H343-'Tableau de bord'!$F$5,""))</x:f>
      </x:c>
      <x:c r="L343" s="12" t="str">
        <x:f>IF(A343="","",IF(ISNUMBER(H343),IF(K343&lt;0,"Expiré",IF(K343&lt;='Paramètres'!$E$6,"À renouveler","À jour")),"À compléter"))</x:f>
      </x:c>
      <x:c r="M343" s="9"/>
    </x:row>
    <x:row r="344" ht="23" customHeight="1">
      <x:c r="A344" s="9"/>
      <x:c r="B344" s="9"/>
      <x:c r="C344" s="9"/>
      <x:c r="D344" s="9"/>
      <x:c r="E344" s="9"/>
      <x:c r="F344" s="9"/>
      <x:c r="G344" s="11"/>
      <x:c r="H344" s="11"/>
      <x:c r="I344" s="9"/>
      <x:c r="J344" s="9"/>
      <x:c r="K344" s="12" t="str">
        <x:f>IF(A344="","",IF(ISNUMBER(H344),H344-'Tableau de bord'!$F$5,""))</x:f>
      </x:c>
      <x:c r="L344" s="12" t="str">
        <x:f>IF(A344="","",IF(ISNUMBER(H344),IF(K344&lt;0,"Expiré",IF(K344&lt;='Paramètres'!$E$6,"À renouveler","À jour")),"À compléter"))</x:f>
      </x:c>
      <x:c r="M344" s="9"/>
    </x:row>
    <x:row r="345" ht="23" customHeight="1">
      <x:c r="A345" s="9"/>
      <x:c r="B345" s="9"/>
      <x:c r="C345" s="9"/>
      <x:c r="D345" s="9"/>
      <x:c r="E345" s="9"/>
      <x:c r="F345" s="9"/>
      <x:c r="G345" s="11"/>
      <x:c r="H345" s="11"/>
      <x:c r="I345" s="9"/>
      <x:c r="J345" s="9"/>
      <x:c r="K345" s="12" t="str">
        <x:f>IF(A345="","",IF(ISNUMBER(H345),H345-'Tableau de bord'!$F$5,""))</x:f>
      </x:c>
      <x:c r="L345" s="12" t="str">
        <x:f>IF(A345="","",IF(ISNUMBER(H345),IF(K345&lt;0,"Expiré",IF(K345&lt;='Paramètres'!$E$6,"À renouveler","À jour")),"À compléter"))</x:f>
      </x:c>
      <x:c r="M345" s="9"/>
    </x:row>
    <x:row r="346" ht="23" customHeight="1">
      <x:c r="A346" s="9"/>
      <x:c r="B346" s="9"/>
      <x:c r="C346" s="9"/>
      <x:c r="D346" s="9"/>
      <x:c r="E346" s="9"/>
      <x:c r="F346" s="9"/>
      <x:c r="G346" s="11"/>
      <x:c r="H346" s="11"/>
      <x:c r="I346" s="9"/>
      <x:c r="J346" s="9"/>
      <x:c r="K346" s="12" t="str">
        <x:f>IF(A346="","",IF(ISNUMBER(H346),H346-'Tableau de bord'!$F$5,""))</x:f>
      </x:c>
      <x:c r="L346" s="12" t="str">
        <x:f>IF(A346="","",IF(ISNUMBER(H346),IF(K346&lt;0,"Expiré",IF(K346&lt;='Paramètres'!$E$6,"À renouveler","À jour")),"À compléter"))</x:f>
      </x:c>
      <x:c r="M346" s="9"/>
    </x:row>
    <x:row r="347" ht="23" customHeight="1">
      <x:c r="A347" s="9"/>
      <x:c r="B347" s="9"/>
      <x:c r="C347" s="9"/>
      <x:c r="D347" s="9"/>
      <x:c r="E347" s="9"/>
      <x:c r="F347" s="9"/>
      <x:c r="G347" s="11"/>
      <x:c r="H347" s="11"/>
      <x:c r="I347" s="9"/>
      <x:c r="J347" s="9"/>
      <x:c r="K347" s="12" t="str">
        <x:f>IF(A347="","",IF(ISNUMBER(H347),H347-'Tableau de bord'!$F$5,""))</x:f>
      </x:c>
      <x:c r="L347" s="12" t="str">
        <x:f>IF(A347="","",IF(ISNUMBER(H347),IF(K347&lt;0,"Expiré",IF(K347&lt;='Paramètres'!$E$6,"À renouveler","À jour")),"À compléter"))</x:f>
      </x:c>
      <x:c r="M347" s="9"/>
    </x:row>
    <x:row r="348" ht="23" customHeight="1">
      <x:c r="A348" s="9"/>
      <x:c r="B348" s="9"/>
      <x:c r="C348" s="9"/>
      <x:c r="D348" s="9"/>
      <x:c r="E348" s="9"/>
      <x:c r="F348" s="9"/>
      <x:c r="G348" s="11"/>
      <x:c r="H348" s="11"/>
      <x:c r="I348" s="9"/>
      <x:c r="J348" s="9"/>
      <x:c r="K348" s="12" t="str">
        <x:f>IF(A348="","",IF(ISNUMBER(H348),H348-'Tableau de bord'!$F$5,""))</x:f>
      </x:c>
      <x:c r="L348" s="12" t="str">
        <x:f>IF(A348="","",IF(ISNUMBER(H348),IF(K348&lt;0,"Expiré",IF(K348&lt;='Paramètres'!$E$6,"À renouveler","À jour")),"À compléter"))</x:f>
      </x:c>
      <x:c r="M348" s="9"/>
    </x:row>
    <x:row r="349" ht="23" customHeight="1">
      <x:c r="A349" s="9"/>
      <x:c r="B349" s="9"/>
      <x:c r="C349" s="9"/>
      <x:c r="D349" s="9"/>
      <x:c r="E349" s="9"/>
      <x:c r="F349" s="9"/>
      <x:c r="G349" s="11"/>
      <x:c r="H349" s="11"/>
      <x:c r="I349" s="9"/>
      <x:c r="J349" s="9"/>
      <x:c r="K349" s="12" t="str">
        <x:f>IF(A349="","",IF(ISNUMBER(H349),H349-'Tableau de bord'!$F$5,""))</x:f>
      </x:c>
      <x:c r="L349" s="12" t="str">
        <x:f>IF(A349="","",IF(ISNUMBER(H349),IF(K349&lt;0,"Expiré",IF(K349&lt;='Paramètres'!$E$6,"À renouveler","À jour")),"À compléter"))</x:f>
      </x:c>
      <x:c r="M349" s="9"/>
    </x:row>
    <x:row r="350" ht="23" customHeight="1">
      <x:c r="A350" s="9"/>
      <x:c r="B350" s="9"/>
      <x:c r="C350" s="9"/>
      <x:c r="D350" s="9"/>
      <x:c r="E350" s="9"/>
      <x:c r="F350" s="9"/>
      <x:c r="G350" s="11"/>
      <x:c r="H350" s="11"/>
      <x:c r="I350" s="9"/>
      <x:c r="J350" s="9"/>
      <x:c r="K350" s="12" t="str">
        <x:f>IF(A350="","",IF(ISNUMBER(H350),H350-'Tableau de bord'!$F$5,""))</x:f>
      </x:c>
      <x:c r="L350" s="12" t="str">
        <x:f>IF(A350="","",IF(ISNUMBER(H350),IF(K350&lt;0,"Expiré",IF(K350&lt;='Paramètres'!$E$6,"À renouveler","À jour")),"À compléter"))</x:f>
      </x:c>
      <x:c r="M350" s="9"/>
    </x:row>
    <x:row r="351" ht="23" customHeight="1">
      <x:c r="A351" s="9"/>
      <x:c r="B351" s="9"/>
      <x:c r="C351" s="9"/>
      <x:c r="D351" s="9"/>
      <x:c r="E351" s="9"/>
      <x:c r="F351" s="9"/>
      <x:c r="G351" s="11"/>
      <x:c r="H351" s="11"/>
      <x:c r="I351" s="9"/>
      <x:c r="J351" s="9"/>
      <x:c r="K351" s="12" t="str">
        <x:f>IF(A351="","",IF(ISNUMBER(H351),H351-'Tableau de bord'!$F$5,""))</x:f>
      </x:c>
      <x:c r="L351" s="12" t="str">
        <x:f>IF(A351="","",IF(ISNUMBER(H351),IF(K351&lt;0,"Expiré",IF(K351&lt;='Paramètres'!$E$6,"À renouveler","À jour")),"À compléter"))</x:f>
      </x:c>
      <x:c r="M351" s="9"/>
    </x:row>
    <x:row r="352" ht="23" customHeight="1">
      <x:c r="A352" s="9"/>
      <x:c r="B352" s="9"/>
      <x:c r="C352" s="9"/>
      <x:c r="D352" s="9"/>
      <x:c r="E352" s="9"/>
      <x:c r="F352" s="9"/>
      <x:c r="G352" s="11"/>
      <x:c r="H352" s="11"/>
      <x:c r="I352" s="9"/>
      <x:c r="J352" s="9"/>
      <x:c r="K352" s="12" t="str">
        <x:f>IF(A352="","",IF(ISNUMBER(H352),H352-'Tableau de bord'!$F$5,""))</x:f>
      </x:c>
      <x:c r="L352" s="12" t="str">
        <x:f>IF(A352="","",IF(ISNUMBER(H352),IF(K352&lt;0,"Expiré",IF(K352&lt;='Paramètres'!$E$6,"À renouveler","À jour")),"À compléter"))</x:f>
      </x:c>
      <x:c r="M352" s="9"/>
    </x:row>
    <x:row r="353" ht="23" customHeight="1">
      <x:c r="A353" s="9"/>
      <x:c r="B353" s="9"/>
      <x:c r="C353" s="9"/>
      <x:c r="D353" s="9"/>
      <x:c r="E353" s="9"/>
      <x:c r="F353" s="9"/>
      <x:c r="G353" s="11"/>
      <x:c r="H353" s="11"/>
      <x:c r="I353" s="9"/>
      <x:c r="J353" s="9"/>
      <x:c r="K353" s="12" t="str">
        <x:f>IF(A353="","",IF(ISNUMBER(H353),H353-'Tableau de bord'!$F$5,""))</x:f>
      </x:c>
      <x:c r="L353" s="12" t="str">
        <x:f>IF(A353="","",IF(ISNUMBER(H353),IF(K353&lt;0,"Expiré",IF(K353&lt;='Paramètres'!$E$6,"À renouveler","À jour")),"À compléter"))</x:f>
      </x:c>
      <x:c r="M353" s="9"/>
    </x:row>
    <x:row r="354" ht="23" customHeight="1">
      <x:c r="A354" s="9"/>
      <x:c r="B354" s="9"/>
      <x:c r="C354" s="9"/>
      <x:c r="D354" s="9"/>
      <x:c r="E354" s="9"/>
      <x:c r="F354" s="9"/>
      <x:c r="G354" s="11"/>
      <x:c r="H354" s="11"/>
      <x:c r="I354" s="9"/>
      <x:c r="J354" s="9"/>
      <x:c r="K354" s="12" t="str">
        <x:f>IF(A354="","",IF(ISNUMBER(H354),H354-'Tableau de bord'!$F$5,""))</x:f>
      </x:c>
      <x:c r="L354" s="12" t="str">
        <x:f>IF(A354="","",IF(ISNUMBER(H354),IF(K354&lt;0,"Expiré",IF(K354&lt;='Paramètres'!$E$6,"À renouveler","À jour")),"À compléter"))</x:f>
      </x:c>
      <x:c r="M354" s="9"/>
    </x:row>
    <x:row r="355" ht="23" customHeight="1">
      <x:c r="A355" s="9"/>
      <x:c r="B355" s="9"/>
      <x:c r="C355" s="9"/>
      <x:c r="D355" s="9"/>
      <x:c r="E355" s="9"/>
      <x:c r="F355" s="9"/>
      <x:c r="G355" s="11"/>
      <x:c r="H355" s="11"/>
      <x:c r="I355" s="9"/>
      <x:c r="J355" s="9"/>
      <x:c r="K355" s="12" t="str">
        <x:f>IF(A355="","",IF(ISNUMBER(H355),H355-'Tableau de bord'!$F$5,""))</x:f>
      </x:c>
      <x:c r="L355" s="12" t="str">
        <x:f>IF(A355="","",IF(ISNUMBER(H355),IF(K355&lt;0,"Expiré",IF(K355&lt;='Paramètres'!$E$6,"À renouveler","À jour")),"À compléter"))</x:f>
      </x:c>
      <x:c r="M355" s="9"/>
    </x:row>
    <x:row r="356" ht="23" customHeight="1">
      <x:c r="A356" s="9"/>
      <x:c r="B356" s="9"/>
      <x:c r="C356" s="9"/>
      <x:c r="D356" s="9"/>
      <x:c r="E356" s="9"/>
      <x:c r="F356" s="9"/>
      <x:c r="G356" s="11"/>
      <x:c r="H356" s="11"/>
      <x:c r="I356" s="9"/>
      <x:c r="J356" s="9"/>
      <x:c r="K356" s="12" t="str">
        <x:f>IF(A356="","",IF(ISNUMBER(H356),H356-'Tableau de bord'!$F$5,""))</x:f>
      </x:c>
      <x:c r="L356" s="12" t="str">
        <x:f>IF(A356="","",IF(ISNUMBER(H356),IF(K356&lt;0,"Expiré",IF(K356&lt;='Paramètres'!$E$6,"À renouveler","À jour")),"À compléter"))</x:f>
      </x:c>
      <x:c r="M356" s="9"/>
    </x:row>
    <x:row r="357" ht="23" customHeight="1">
      <x:c r="A357" s="9"/>
      <x:c r="B357" s="9"/>
      <x:c r="C357" s="9"/>
      <x:c r="D357" s="9"/>
      <x:c r="E357" s="9"/>
      <x:c r="F357" s="9"/>
      <x:c r="G357" s="11"/>
      <x:c r="H357" s="11"/>
      <x:c r="I357" s="9"/>
      <x:c r="J357" s="9"/>
      <x:c r="K357" s="12" t="str">
        <x:f>IF(A357="","",IF(ISNUMBER(H357),H357-'Tableau de bord'!$F$5,""))</x:f>
      </x:c>
      <x:c r="L357" s="12" t="str">
        <x:f>IF(A357="","",IF(ISNUMBER(H357),IF(K357&lt;0,"Expiré",IF(K357&lt;='Paramètres'!$E$6,"À renouveler","À jour")),"À compléter"))</x:f>
      </x:c>
      <x:c r="M357" s="9"/>
    </x:row>
    <x:row r="358" ht="23" customHeight="1">
      <x:c r="A358" s="9"/>
      <x:c r="B358" s="9"/>
      <x:c r="C358" s="9"/>
      <x:c r="D358" s="9"/>
      <x:c r="E358" s="9"/>
      <x:c r="F358" s="9"/>
      <x:c r="G358" s="11"/>
      <x:c r="H358" s="11"/>
      <x:c r="I358" s="9"/>
      <x:c r="J358" s="9"/>
      <x:c r="K358" s="12" t="str">
        <x:f>IF(A358="","",IF(ISNUMBER(H358),H358-'Tableau de bord'!$F$5,""))</x:f>
      </x:c>
      <x:c r="L358" s="12" t="str">
        <x:f>IF(A358="","",IF(ISNUMBER(H358),IF(K358&lt;0,"Expiré",IF(K358&lt;='Paramètres'!$E$6,"À renouveler","À jour")),"À compléter"))</x:f>
      </x:c>
      <x:c r="M358" s="9"/>
    </x:row>
    <x:row r="359" ht="23" customHeight="1">
      <x:c r="A359" s="9"/>
      <x:c r="B359" s="9"/>
      <x:c r="C359" s="9"/>
      <x:c r="D359" s="9"/>
      <x:c r="E359" s="9"/>
      <x:c r="F359" s="9"/>
      <x:c r="G359" s="11"/>
      <x:c r="H359" s="11"/>
      <x:c r="I359" s="9"/>
      <x:c r="J359" s="9"/>
      <x:c r="K359" s="12" t="str">
        <x:f>IF(A359="","",IF(ISNUMBER(H359),H359-'Tableau de bord'!$F$5,""))</x:f>
      </x:c>
      <x:c r="L359" s="12" t="str">
        <x:f>IF(A359="","",IF(ISNUMBER(H359),IF(K359&lt;0,"Expiré",IF(K359&lt;='Paramètres'!$E$6,"À renouveler","À jour")),"À compléter"))</x:f>
      </x:c>
      <x:c r="M359" s="9"/>
    </x:row>
    <x:row r="360" ht="23" customHeight="1">
      <x:c r="A360" s="9"/>
      <x:c r="B360" s="9"/>
      <x:c r="C360" s="9"/>
      <x:c r="D360" s="9"/>
      <x:c r="E360" s="9"/>
      <x:c r="F360" s="9"/>
      <x:c r="G360" s="11"/>
      <x:c r="H360" s="11"/>
      <x:c r="I360" s="9"/>
      <x:c r="J360" s="9"/>
      <x:c r="K360" s="12" t="str">
        <x:f>IF(A360="","",IF(ISNUMBER(H360),H360-'Tableau de bord'!$F$5,""))</x:f>
      </x:c>
      <x:c r="L360" s="12" t="str">
        <x:f>IF(A360="","",IF(ISNUMBER(H360),IF(K360&lt;0,"Expiré",IF(K360&lt;='Paramètres'!$E$6,"À renouveler","À jour")),"À compléter"))</x:f>
      </x:c>
      <x:c r="M360" s="9"/>
    </x:row>
    <x:row r="361" ht="23" customHeight="1">
      <x:c r="A361" s="9"/>
      <x:c r="B361" s="9"/>
      <x:c r="C361" s="9"/>
      <x:c r="D361" s="9"/>
      <x:c r="E361" s="9"/>
      <x:c r="F361" s="9"/>
      <x:c r="G361" s="11"/>
      <x:c r="H361" s="11"/>
      <x:c r="I361" s="9"/>
      <x:c r="J361" s="9"/>
      <x:c r="K361" s="12" t="str">
        <x:f>IF(A361="","",IF(ISNUMBER(H361),H361-'Tableau de bord'!$F$5,""))</x:f>
      </x:c>
      <x:c r="L361" s="12" t="str">
        <x:f>IF(A361="","",IF(ISNUMBER(H361),IF(K361&lt;0,"Expiré",IF(K361&lt;='Paramètres'!$E$6,"À renouveler","À jour")),"À compléter"))</x:f>
      </x:c>
      <x:c r="M361" s="9"/>
    </x:row>
    <x:row r="362" ht="23" customHeight="1">
      <x:c r="A362" s="9"/>
      <x:c r="B362" s="9"/>
      <x:c r="C362" s="9"/>
      <x:c r="D362" s="9"/>
      <x:c r="E362" s="9"/>
      <x:c r="F362" s="9"/>
      <x:c r="G362" s="11"/>
      <x:c r="H362" s="11"/>
      <x:c r="I362" s="9"/>
      <x:c r="J362" s="9"/>
      <x:c r="K362" s="12" t="str">
        <x:f>IF(A362="","",IF(ISNUMBER(H362),H362-'Tableau de bord'!$F$5,""))</x:f>
      </x:c>
      <x:c r="L362" s="12" t="str">
        <x:f>IF(A362="","",IF(ISNUMBER(H362),IF(K362&lt;0,"Expiré",IF(K362&lt;='Paramètres'!$E$6,"À renouveler","À jour")),"À compléter"))</x:f>
      </x:c>
      <x:c r="M362" s="9"/>
    </x:row>
    <x:row r="363" ht="23" customHeight="1">
      <x:c r="A363" s="9"/>
      <x:c r="B363" s="9"/>
      <x:c r="C363" s="9"/>
      <x:c r="D363" s="9"/>
      <x:c r="E363" s="9"/>
      <x:c r="F363" s="9"/>
      <x:c r="G363" s="11"/>
      <x:c r="H363" s="11"/>
      <x:c r="I363" s="9"/>
      <x:c r="J363" s="9"/>
      <x:c r="K363" s="12" t="str">
        <x:f>IF(A363="","",IF(ISNUMBER(H363),H363-'Tableau de bord'!$F$5,""))</x:f>
      </x:c>
      <x:c r="L363" s="12" t="str">
        <x:f>IF(A363="","",IF(ISNUMBER(H363),IF(K363&lt;0,"Expiré",IF(K363&lt;='Paramètres'!$E$6,"À renouveler","À jour")),"À compléter"))</x:f>
      </x:c>
      <x:c r="M363" s="9"/>
    </x:row>
    <x:row r="364" ht="23" customHeight="1">
      <x:c r="A364" s="9"/>
      <x:c r="B364" s="9"/>
      <x:c r="C364" s="9"/>
      <x:c r="D364" s="9"/>
      <x:c r="E364" s="9"/>
      <x:c r="F364" s="9"/>
      <x:c r="G364" s="11"/>
      <x:c r="H364" s="11"/>
      <x:c r="I364" s="9"/>
      <x:c r="J364" s="9"/>
      <x:c r="K364" s="12" t="str">
        <x:f>IF(A364="","",IF(ISNUMBER(H364),H364-'Tableau de bord'!$F$5,""))</x:f>
      </x:c>
      <x:c r="L364" s="12" t="str">
        <x:f>IF(A364="","",IF(ISNUMBER(H364),IF(K364&lt;0,"Expiré",IF(K364&lt;='Paramètres'!$E$6,"À renouveler","À jour")),"À compléter"))</x:f>
      </x:c>
      <x:c r="M364" s="9"/>
    </x:row>
    <x:row r="365" ht="23" customHeight="1">
      <x:c r="A365" s="9"/>
      <x:c r="B365" s="9"/>
      <x:c r="C365" s="9"/>
      <x:c r="D365" s="9"/>
      <x:c r="E365" s="9"/>
      <x:c r="F365" s="9"/>
      <x:c r="G365" s="11"/>
      <x:c r="H365" s="11"/>
      <x:c r="I365" s="9"/>
      <x:c r="J365" s="9"/>
      <x:c r="K365" s="12" t="str">
        <x:f>IF(A365="","",IF(ISNUMBER(H365),H365-'Tableau de bord'!$F$5,""))</x:f>
      </x:c>
      <x:c r="L365" s="12" t="str">
        <x:f>IF(A365="","",IF(ISNUMBER(H365),IF(K365&lt;0,"Expiré",IF(K365&lt;='Paramètres'!$E$6,"À renouveler","À jour")),"À compléter"))</x:f>
      </x:c>
      <x:c r="M365" s="9"/>
    </x:row>
    <x:row r="366" ht="23" customHeight="1">
      <x:c r="A366" s="9"/>
      <x:c r="B366" s="9"/>
      <x:c r="C366" s="9"/>
      <x:c r="D366" s="9"/>
      <x:c r="E366" s="9"/>
      <x:c r="F366" s="9"/>
      <x:c r="G366" s="11"/>
      <x:c r="H366" s="11"/>
      <x:c r="I366" s="9"/>
      <x:c r="J366" s="9"/>
      <x:c r="K366" s="12" t="str">
        <x:f>IF(A366="","",IF(ISNUMBER(H366),H366-'Tableau de bord'!$F$5,""))</x:f>
      </x:c>
      <x:c r="L366" s="12" t="str">
        <x:f>IF(A366="","",IF(ISNUMBER(H366),IF(K366&lt;0,"Expiré",IF(K366&lt;='Paramètres'!$E$6,"À renouveler","À jour")),"À compléter"))</x:f>
      </x:c>
      <x:c r="M366" s="9"/>
    </x:row>
    <x:row r="367" ht="23" customHeight="1">
      <x:c r="A367" s="9"/>
      <x:c r="B367" s="9"/>
      <x:c r="C367" s="9"/>
      <x:c r="D367" s="9"/>
      <x:c r="E367" s="9"/>
      <x:c r="F367" s="9"/>
      <x:c r="G367" s="11"/>
      <x:c r="H367" s="11"/>
      <x:c r="I367" s="9"/>
      <x:c r="J367" s="9"/>
      <x:c r="K367" s="12" t="str">
        <x:f>IF(A367="","",IF(ISNUMBER(H367),H367-'Tableau de bord'!$F$5,""))</x:f>
      </x:c>
      <x:c r="L367" s="12" t="str">
        <x:f>IF(A367="","",IF(ISNUMBER(H367),IF(K367&lt;0,"Expiré",IF(K367&lt;='Paramètres'!$E$6,"À renouveler","À jour")),"À compléter"))</x:f>
      </x:c>
      <x:c r="M367" s="9"/>
    </x:row>
    <x:row r="368" ht="23" customHeight="1">
      <x:c r="A368" s="9"/>
      <x:c r="B368" s="9"/>
      <x:c r="C368" s="9"/>
      <x:c r="D368" s="9"/>
      <x:c r="E368" s="9"/>
      <x:c r="F368" s="9"/>
      <x:c r="G368" s="11"/>
      <x:c r="H368" s="11"/>
      <x:c r="I368" s="9"/>
      <x:c r="J368" s="9"/>
      <x:c r="K368" s="12" t="str">
        <x:f>IF(A368="","",IF(ISNUMBER(H368),H368-'Tableau de bord'!$F$5,""))</x:f>
      </x:c>
      <x:c r="L368" s="12" t="str">
        <x:f>IF(A368="","",IF(ISNUMBER(H368),IF(K368&lt;0,"Expiré",IF(K368&lt;='Paramètres'!$E$6,"À renouveler","À jour")),"À compléter"))</x:f>
      </x:c>
      <x:c r="M368" s="9"/>
    </x:row>
    <x:row r="369" ht="23" customHeight="1">
      <x:c r="A369" s="9"/>
      <x:c r="B369" s="9"/>
      <x:c r="C369" s="9"/>
      <x:c r="D369" s="9"/>
      <x:c r="E369" s="9"/>
      <x:c r="F369" s="9"/>
      <x:c r="G369" s="11"/>
      <x:c r="H369" s="11"/>
      <x:c r="I369" s="9"/>
      <x:c r="J369" s="9"/>
      <x:c r="K369" s="12" t="str">
        <x:f>IF(A369="","",IF(ISNUMBER(H369),H369-'Tableau de bord'!$F$5,""))</x:f>
      </x:c>
      <x:c r="L369" s="12" t="str">
        <x:f>IF(A369="","",IF(ISNUMBER(H369),IF(K369&lt;0,"Expiré",IF(K369&lt;='Paramètres'!$E$6,"À renouveler","À jour")),"À compléter"))</x:f>
      </x:c>
      <x:c r="M369" s="9"/>
    </x:row>
    <x:row r="370" ht="23" customHeight="1">
      <x:c r="A370" s="9"/>
      <x:c r="B370" s="9"/>
      <x:c r="C370" s="9"/>
      <x:c r="D370" s="9"/>
      <x:c r="E370" s="9"/>
      <x:c r="F370" s="9"/>
      <x:c r="G370" s="11"/>
      <x:c r="H370" s="11"/>
      <x:c r="I370" s="9"/>
      <x:c r="J370" s="9"/>
      <x:c r="K370" s="12" t="str">
        <x:f>IF(A370="","",IF(ISNUMBER(H370),H370-'Tableau de bord'!$F$5,""))</x:f>
      </x:c>
      <x:c r="L370" s="12" t="str">
        <x:f>IF(A370="","",IF(ISNUMBER(H370),IF(K370&lt;0,"Expiré",IF(K370&lt;='Paramètres'!$E$6,"À renouveler","À jour")),"À compléter"))</x:f>
      </x:c>
      <x:c r="M370" s="9"/>
    </x:row>
    <x:row r="371" ht="23" customHeight="1">
      <x:c r="A371" s="9"/>
      <x:c r="B371" s="9"/>
      <x:c r="C371" s="9"/>
      <x:c r="D371" s="9"/>
      <x:c r="E371" s="9"/>
      <x:c r="F371" s="9"/>
      <x:c r="G371" s="11"/>
      <x:c r="H371" s="11"/>
      <x:c r="I371" s="9"/>
      <x:c r="J371" s="9"/>
      <x:c r="K371" s="12" t="str">
        <x:f>IF(A371="","",IF(ISNUMBER(H371),H371-'Tableau de bord'!$F$5,""))</x:f>
      </x:c>
      <x:c r="L371" s="12" t="str">
        <x:f>IF(A371="","",IF(ISNUMBER(H371),IF(K371&lt;0,"Expiré",IF(K371&lt;='Paramètres'!$E$6,"À renouveler","À jour")),"À compléter"))</x:f>
      </x:c>
      <x:c r="M371" s="9"/>
    </x:row>
    <x:row r="372" ht="23" customHeight="1">
      <x:c r="A372" s="9"/>
      <x:c r="B372" s="9"/>
      <x:c r="C372" s="9"/>
      <x:c r="D372" s="9"/>
      <x:c r="E372" s="9"/>
      <x:c r="F372" s="9"/>
      <x:c r="G372" s="11"/>
      <x:c r="H372" s="11"/>
      <x:c r="I372" s="9"/>
      <x:c r="J372" s="9"/>
      <x:c r="K372" s="12" t="str">
        <x:f>IF(A372="","",IF(ISNUMBER(H372),H372-'Tableau de bord'!$F$5,""))</x:f>
      </x:c>
      <x:c r="L372" s="12" t="str">
        <x:f>IF(A372="","",IF(ISNUMBER(H372),IF(K372&lt;0,"Expiré",IF(K372&lt;='Paramètres'!$E$6,"À renouveler","À jour")),"À compléter"))</x:f>
      </x:c>
      <x:c r="M372" s="9"/>
    </x:row>
    <x:row r="373" ht="23" customHeight="1">
      <x:c r="A373" s="9"/>
      <x:c r="B373" s="9"/>
      <x:c r="C373" s="9"/>
      <x:c r="D373" s="9"/>
      <x:c r="E373" s="9"/>
      <x:c r="F373" s="9"/>
      <x:c r="G373" s="11"/>
      <x:c r="H373" s="11"/>
      <x:c r="I373" s="9"/>
      <x:c r="J373" s="9"/>
      <x:c r="K373" s="12" t="str">
        <x:f>IF(A373="","",IF(ISNUMBER(H373),H373-'Tableau de bord'!$F$5,""))</x:f>
      </x:c>
      <x:c r="L373" s="12" t="str">
        <x:f>IF(A373="","",IF(ISNUMBER(H373),IF(K373&lt;0,"Expiré",IF(K373&lt;='Paramètres'!$E$6,"À renouveler","À jour")),"À compléter"))</x:f>
      </x:c>
      <x:c r="M373" s="9"/>
    </x:row>
    <x:row r="374" ht="23" customHeight="1">
      <x:c r="A374" s="9"/>
      <x:c r="B374" s="9"/>
      <x:c r="C374" s="9"/>
      <x:c r="D374" s="9"/>
      <x:c r="E374" s="9"/>
      <x:c r="F374" s="9"/>
      <x:c r="G374" s="11"/>
      <x:c r="H374" s="11"/>
      <x:c r="I374" s="9"/>
      <x:c r="J374" s="9"/>
      <x:c r="K374" s="12" t="str">
        <x:f>IF(A374="","",IF(ISNUMBER(H374),H374-'Tableau de bord'!$F$5,""))</x:f>
      </x:c>
      <x:c r="L374" s="12" t="str">
        <x:f>IF(A374="","",IF(ISNUMBER(H374),IF(K374&lt;0,"Expiré",IF(K374&lt;='Paramètres'!$E$6,"À renouveler","À jour")),"À compléter"))</x:f>
      </x:c>
      <x:c r="M374" s="9"/>
    </x:row>
    <x:row r="375" ht="23" customHeight="1">
      <x:c r="A375" s="9"/>
      <x:c r="B375" s="9"/>
      <x:c r="C375" s="9"/>
      <x:c r="D375" s="9"/>
      <x:c r="E375" s="9"/>
      <x:c r="F375" s="9"/>
      <x:c r="G375" s="11"/>
      <x:c r="H375" s="11"/>
      <x:c r="I375" s="9"/>
      <x:c r="J375" s="9"/>
      <x:c r="K375" s="12" t="str">
        <x:f>IF(A375="","",IF(ISNUMBER(H375),H375-'Tableau de bord'!$F$5,""))</x:f>
      </x:c>
      <x:c r="L375" s="12" t="str">
        <x:f>IF(A375="","",IF(ISNUMBER(H375),IF(K375&lt;0,"Expiré",IF(K375&lt;='Paramètres'!$E$6,"À renouveler","À jour")),"À compléter"))</x:f>
      </x:c>
      <x:c r="M375" s="9"/>
    </x:row>
    <x:row r="376" ht="23" customHeight="1">
      <x:c r="A376" s="9"/>
      <x:c r="B376" s="9"/>
      <x:c r="C376" s="9"/>
      <x:c r="D376" s="9"/>
      <x:c r="E376" s="9"/>
      <x:c r="F376" s="9"/>
      <x:c r="G376" s="11"/>
      <x:c r="H376" s="11"/>
      <x:c r="I376" s="9"/>
      <x:c r="J376" s="9"/>
      <x:c r="K376" s="12" t="str">
        <x:f>IF(A376="","",IF(ISNUMBER(H376),H376-'Tableau de bord'!$F$5,""))</x:f>
      </x:c>
      <x:c r="L376" s="12" t="str">
        <x:f>IF(A376="","",IF(ISNUMBER(H376),IF(K376&lt;0,"Expiré",IF(K376&lt;='Paramètres'!$E$6,"À renouveler","À jour")),"À compléter"))</x:f>
      </x:c>
      <x:c r="M376" s="9"/>
    </x:row>
    <x:row r="377" ht="23" customHeight="1">
      <x:c r="A377" s="9"/>
      <x:c r="B377" s="9"/>
      <x:c r="C377" s="9"/>
      <x:c r="D377" s="9"/>
      <x:c r="E377" s="9"/>
      <x:c r="F377" s="9"/>
      <x:c r="G377" s="11"/>
      <x:c r="H377" s="11"/>
      <x:c r="I377" s="9"/>
      <x:c r="J377" s="9"/>
      <x:c r="K377" s="12" t="str">
        <x:f>IF(A377="","",IF(ISNUMBER(H377),H377-'Tableau de bord'!$F$5,""))</x:f>
      </x:c>
      <x:c r="L377" s="12" t="str">
        <x:f>IF(A377="","",IF(ISNUMBER(H377),IF(K377&lt;0,"Expiré",IF(K377&lt;='Paramètres'!$E$6,"À renouveler","À jour")),"À compléter"))</x:f>
      </x:c>
      <x:c r="M377" s="9"/>
    </x:row>
    <x:row r="378" ht="23" customHeight="1">
      <x:c r="A378" s="9"/>
      <x:c r="B378" s="9"/>
      <x:c r="C378" s="9"/>
      <x:c r="D378" s="9"/>
      <x:c r="E378" s="9"/>
      <x:c r="F378" s="9"/>
      <x:c r="G378" s="11"/>
      <x:c r="H378" s="11"/>
      <x:c r="I378" s="9"/>
      <x:c r="J378" s="9"/>
      <x:c r="K378" s="12" t="str">
        <x:f>IF(A378="","",IF(ISNUMBER(H378),H378-'Tableau de bord'!$F$5,""))</x:f>
      </x:c>
      <x:c r="L378" s="12" t="str">
        <x:f>IF(A378="","",IF(ISNUMBER(H378),IF(K378&lt;0,"Expiré",IF(K378&lt;='Paramètres'!$E$6,"À renouveler","À jour")),"À compléter"))</x:f>
      </x:c>
      <x:c r="M378" s="9"/>
    </x:row>
    <x:row r="379" ht="23" customHeight="1">
      <x:c r="A379" s="9"/>
      <x:c r="B379" s="9"/>
      <x:c r="C379" s="9"/>
      <x:c r="D379" s="9"/>
      <x:c r="E379" s="9"/>
      <x:c r="F379" s="9"/>
      <x:c r="G379" s="11"/>
      <x:c r="H379" s="11"/>
      <x:c r="I379" s="9"/>
      <x:c r="J379" s="9"/>
      <x:c r="K379" s="12" t="str">
        <x:f>IF(A379="","",IF(ISNUMBER(H379),H379-'Tableau de bord'!$F$5,""))</x:f>
      </x:c>
      <x:c r="L379" s="12" t="str">
        <x:f>IF(A379="","",IF(ISNUMBER(H379),IF(K379&lt;0,"Expiré",IF(K379&lt;='Paramètres'!$E$6,"À renouveler","À jour")),"À compléter"))</x:f>
      </x:c>
      <x:c r="M379" s="9"/>
    </x:row>
    <x:row r="380" ht="23" customHeight="1">
      <x:c r="A380" s="9"/>
      <x:c r="B380" s="9"/>
      <x:c r="C380" s="9"/>
      <x:c r="D380" s="9"/>
      <x:c r="E380" s="9"/>
      <x:c r="F380" s="9"/>
      <x:c r="G380" s="11"/>
      <x:c r="H380" s="11"/>
      <x:c r="I380" s="9"/>
      <x:c r="J380" s="9"/>
      <x:c r="K380" s="12" t="str">
        <x:f>IF(A380="","",IF(ISNUMBER(H380),H380-'Tableau de bord'!$F$5,""))</x:f>
      </x:c>
      <x:c r="L380" s="12" t="str">
        <x:f>IF(A380="","",IF(ISNUMBER(H380),IF(K380&lt;0,"Expiré",IF(K380&lt;='Paramètres'!$E$6,"À renouveler","À jour")),"À compléter"))</x:f>
      </x:c>
      <x:c r="M380" s="9"/>
    </x:row>
    <x:row r="381" ht="23" customHeight="1">
      <x:c r="A381" s="9"/>
      <x:c r="B381" s="9"/>
      <x:c r="C381" s="9"/>
      <x:c r="D381" s="9"/>
      <x:c r="E381" s="9"/>
      <x:c r="F381" s="9"/>
      <x:c r="G381" s="11"/>
      <x:c r="H381" s="11"/>
      <x:c r="I381" s="9"/>
      <x:c r="J381" s="9"/>
      <x:c r="K381" s="12" t="str">
        <x:f>IF(A381="","",IF(ISNUMBER(H381),H381-'Tableau de bord'!$F$5,""))</x:f>
      </x:c>
      <x:c r="L381" s="12" t="str">
        <x:f>IF(A381="","",IF(ISNUMBER(H381),IF(K381&lt;0,"Expiré",IF(K381&lt;='Paramètres'!$E$6,"À renouveler","À jour")),"À compléter"))</x:f>
      </x:c>
      <x:c r="M381" s="9"/>
    </x:row>
    <x:row r="382" ht="23" customHeight="1">
      <x:c r="A382" s="9"/>
      <x:c r="B382" s="9"/>
      <x:c r="C382" s="9"/>
      <x:c r="D382" s="9"/>
      <x:c r="E382" s="9"/>
      <x:c r="F382" s="9"/>
      <x:c r="G382" s="11"/>
      <x:c r="H382" s="11"/>
      <x:c r="I382" s="9"/>
      <x:c r="J382" s="9"/>
      <x:c r="K382" s="12" t="str">
        <x:f>IF(A382="","",IF(ISNUMBER(H382),H382-'Tableau de bord'!$F$5,""))</x:f>
      </x:c>
      <x:c r="L382" s="12" t="str">
        <x:f>IF(A382="","",IF(ISNUMBER(H382),IF(K382&lt;0,"Expiré",IF(K382&lt;='Paramètres'!$E$6,"À renouveler","À jour")),"À compléter"))</x:f>
      </x:c>
      <x:c r="M382" s="9"/>
    </x:row>
    <x:row r="383" ht="23" customHeight="1">
      <x:c r="A383" s="9"/>
      <x:c r="B383" s="9"/>
      <x:c r="C383" s="9"/>
      <x:c r="D383" s="9"/>
      <x:c r="E383" s="9"/>
      <x:c r="F383" s="9"/>
      <x:c r="G383" s="11"/>
      <x:c r="H383" s="11"/>
      <x:c r="I383" s="9"/>
      <x:c r="J383" s="9"/>
      <x:c r="K383" s="12" t="str">
        <x:f>IF(A383="","",IF(ISNUMBER(H383),H383-'Tableau de bord'!$F$5,""))</x:f>
      </x:c>
      <x:c r="L383" s="12" t="str">
        <x:f>IF(A383="","",IF(ISNUMBER(H383),IF(K383&lt;0,"Expiré",IF(K383&lt;='Paramètres'!$E$6,"À renouveler","À jour")),"À compléter"))</x:f>
      </x:c>
      <x:c r="M383" s="9"/>
    </x:row>
    <x:row r="384" ht="23" customHeight="1">
      <x:c r="A384" s="9"/>
      <x:c r="B384" s="9"/>
      <x:c r="C384" s="9"/>
      <x:c r="D384" s="9"/>
      <x:c r="E384" s="9"/>
      <x:c r="F384" s="9"/>
      <x:c r="G384" s="11"/>
      <x:c r="H384" s="11"/>
      <x:c r="I384" s="9"/>
      <x:c r="J384" s="9"/>
      <x:c r="K384" s="12" t="str">
        <x:f>IF(A384="","",IF(ISNUMBER(H384),H384-'Tableau de bord'!$F$5,""))</x:f>
      </x:c>
      <x:c r="L384" s="12" t="str">
        <x:f>IF(A384="","",IF(ISNUMBER(H384),IF(K384&lt;0,"Expiré",IF(K384&lt;='Paramètres'!$E$6,"À renouveler","À jour")),"À compléter"))</x:f>
      </x:c>
      <x:c r="M384" s="9"/>
    </x:row>
    <x:row r="385" ht="23" customHeight="1">
      <x:c r="A385" s="9"/>
      <x:c r="B385" s="9"/>
      <x:c r="C385" s="9"/>
      <x:c r="D385" s="9"/>
      <x:c r="E385" s="9"/>
      <x:c r="F385" s="9"/>
      <x:c r="G385" s="11"/>
      <x:c r="H385" s="11"/>
      <x:c r="I385" s="9"/>
      <x:c r="J385" s="9"/>
      <x:c r="K385" s="12" t="str">
        <x:f>IF(A385="","",IF(ISNUMBER(H385),H385-'Tableau de bord'!$F$5,""))</x:f>
      </x:c>
      <x:c r="L385" s="12" t="str">
        <x:f>IF(A385="","",IF(ISNUMBER(H385),IF(K385&lt;0,"Expiré",IF(K385&lt;='Paramètres'!$E$6,"À renouveler","À jour")),"À compléter"))</x:f>
      </x:c>
      <x:c r="M385" s="9"/>
    </x:row>
    <x:row r="386" ht="23" customHeight="1">
      <x:c r="A386" s="9"/>
      <x:c r="B386" s="9"/>
      <x:c r="C386" s="9"/>
      <x:c r="D386" s="9"/>
      <x:c r="E386" s="9"/>
      <x:c r="F386" s="9"/>
      <x:c r="G386" s="11"/>
      <x:c r="H386" s="11"/>
      <x:c r="I386" s="9"/>
      <x:c r="J386" s="9"/>
      <x:c r="K386" s="12" t="str">
        <x:f>IF(A386="","",IF(ISNUMBER(H386),H386-'Tableau de bord'!$F$5,""))</x:f>
      </x:c>
      <x:c r="L386" s="12" t="str">
        <x:f>IF(A386="","",IF(ISNUMBER(H386),IF(K386&lt;0,"Expiré",IF(K386&lt;='Paramètres'!$E$6,"À renouveler","À jour")),"À compléter"))</x:f>
      </x:c>
      <x:c r="M386" s="9"/>
    </x:row>
    <x:row r="387" ht="23" customHeight="1">
      <x:c r="A387" s="9"/>
      <x:c r="B387" s="9"/>
      <x:c r="C387" s="9"/>
      <x:c r="D387" s="9"/>
      <x:c r="E387" s="9"/>
      <x:c r="F387" s="9"/>
      <x:c r="G387" s="11"/>
      <x:c r="H387" s="11"/>
      <x:c r="I387" s="9"/>
      <x:c r="J387" s="9"/>
      <x:c r="K387" s="12" t="str">
        <x:f>IF(A387="","",IF(ISNUMBER(H387),H387-'Tableau de bord'!$F$5,""))</x:f>
      </x:c>
      <x:c r="L387" s="12" t="str">
        <x:f>IF(A387="","",IF(ISNUMBER(H387),IF(K387&lt;0,"Expiré",IF(K387&lt;='Paramètres'!$E$6,"À renouveler","À jour")),"À compléter"))</x:f>
      </x:c>
      <x:c r="M387" s="9"/>
    </x:row>
    <x:row r="388" ht="23" customHeight="1">
      <x:c r="A388" s="9"/>
      <x:c r="B388" s="9"/>
      <x:c r="C388" s="9"/>
      <x:c r="D388" s="9"/>
      <x:c r="E388" s="9"/>
      <x:c r="F388" s="9"/>
      <x:c r="G388" s="11"/>
      <x:c r="H388" s="11"/>
      <x:c r="I388" s="9"/>
      <x:c r="J388" s="9"/>
      <x:c r="K388" s="12" t="str">
        <x:f>IF(A388="","",IF(ISNUMBER(H388),H388-'Tableau de bord'!$F$5,""))</x:f>
      </x:c>
      <x:c r="L388" s="12" t="str">
        <x:f>IF(A388="","",IF(ISNUMBER(H388),IF(K388&lt;0,"Expiré",IF(K388&lt;='Paramètres'!$E$6,"À renouveler","À jour")),"À compléter"))</x:f>
      </x:c>
      <x:c r="M388" s="9"/>
    </x:row>
    <x:row r="389" ht="23" customHeight="1">
      <x:c r="A389" s="9"/>
      <x:c r="B389" s="9"/>
      <x:c r="C389" s="9"/>
      <x:c r="D389" s="9"/>
      <x:c r="E389" s="9"/>
      <x:c r="F389" s="9"/>
      <x:c r="G389" s="11"/>
      <x:c r="H389" s="11"/>
      <x:c r="I389" s="9"/>
      <x:c r="J389" s="9"/>
      <x:c r="K389" s="12" t="str">
        <x:f>IF(A389="","",IF(ISNUMBER(H389),H389-'Tableau de bord'!$F$5,""))</x:f>
      </x:c>
      <x:c r="L389" s="12" t="str">
        <x:f>IF(A389="","",IF(ISNUMBER(H389),IF(K389&lt;0,"Expiré",IF(K389&lt;='Paramètres'!$E$6,"À renouveler","À jour")),"À compléter"))</x:f>
      </x:c>
      <x:c r="M389" s="9"/>
    </x:row>
    <x:row r="390" ht="23" customHeight="1">
      <x:c r="A390" s="9"/>
      <x:c r="B390" s="9"/>
      <x:c r="C390" s="9"/>
      <x:c r="D390" s="9"/>
      <x:c r="E390" s="9"/>
      <x:c r="F390" s="9"/>
      <x:c r="G390" s="11"/>
      <x:c r="H390" s="11"/>
      <x:c r="I390" s="9"/>
      <x:c r="J390" s="9"/>
      <x:c r="K390" s="12" t="str">
        <x:f>IF(A390="","",IF(ISNUMBER(H390),H390-'Tableau de bord'!$F$5,""))</x:f>
      </x:c>
      <x:c r="L390" s="12" t="str">
        <x:f>IF(A390="","",IF(ISNUMBER(H390),IF(K390&lt;0,"Expiré",IF(K390&lt;='Paramètres'!$E$6,"À renouveler","À jour")),"À compléter"))</x:f>
      </x:c>
      <x:c r="M390" s="9"/>
    </x:row>
    <x:row r="391" ht="23" customHeight="1">
      <x:c r="A391" s="9"/>
      <x:c r="B391" s="9"/>
      <x:c r="C391" s="9"/>
      <x:c r="D391" s="9"/>
      <x:c r="E391" s="9"/>
      <x:c r="F391" s="9"/>
      <x:c r="G391" s="11"/>
      <x:c r="H391" s="11"/>
      <x:c r="I391" s="9"/>
      <x:c r="J391" s="9"/>
      <x:c r="K391" s="12" t="str">
        <x:f>IF(A391="","",IF(ISNUMBER(H391),H391-'Tableau de bord'!$F$5,""))</x:f>
      </x:c>
      <x:c r="L391" s="12" t="str">
        <x:f>IF(A391="","",IF(ISNUMBER(H391),IF(K391&lt;0,"Expiré",IF(K391&lt;='Paramètres'!$E$6,"À renouveler","À jour")),"À compléter"))</x:f>
      </x:c>
      <x:c r="M391" s="9"/>
    </x:row>
    <x:row r="392" ht="23" customHeight="1">
      <x:c r="A392" s="9"/>
      <x:c r="B392" s="9"/>
      <x:c r="C392" s="9"/>
      <x:c r="D392" s="9"/>
      <x:c r="E392" s="9"/>
      <x:c r="F392" s="9"/>
      <x:c r="G392" s="11"/>
      <x:c r="H392" s="11"/>
      <x:c r="I392" s="9"/>
      <x:c r="J392" s="9"/>
      <x:c r="K392" s="12" t="str">
        <x:f>IF(A392="","",IF(ISNUMBER(H392),H392-'Tableau de bord'!$F$5,""))</x:f>
      </x:c>
      <x:c r="L392" s="12" t="str">
        <x:f>IF(A392="","",IF(ISNUMBER(H392),IF(K392&lt;0,"Expiré",IF(K392&lt;='Paramètres'!$E$6,"À renouveler","À jour")),"À compléter"))</x:f>
      </x:c>
      <x:c r="M392" s="9"/>
    </x:row>
    <x:row r="393" ht="23" customHeight="1">
      <x:c r="A393" s="9"/>
      <x:c r="B393" s="9"/>
      <x:c r="C393" s="9"/>
      <x:c r="D393" s="9"/>
      <x:c r="E393" s="9"/>
      <x:c r="F393" s="9"/>
      <x:c r="G393" s="11"/>
      <x:c r="H393" s="11"/>
      <x:c r="I393" s="9"/>
      <x:c r="J393" s="9"/>
      <x:c r="K393" s="12" t="str">
        <x:f>IF(A393="","",IF(ISNUMBER(H393),H393-'Tableau de bord'!$F$5,""))</x:f>
      </x:c>
      <x:c r="L393" s="12" t="str">
        <x:f>IF(A393="","",IF(ISNUMBER(H393),IF(K393&lt;0,"Expiré",IF(K393&lt;='Paramètres'!$E$6,"À renouveler","À jour")),"À compléter"))</x:f>
      </x:c>
      <x:c r="M393" s="9"/>
    </x:row>
    <x:row r="394" ht="23" customHeight="1">
      <x:c r="A394" s="9"/>
      <x:c r="B394" s="9"/>
      <x:c r="C394" s="9"/>
      <x:c r="D394" s="9"/>
      <x:c r="E394" s="9"/>
      <x:c r="F394" s="9"/>
      <x:c r="G394" s="11"/>
      <x:c r="H394" s="11"/>
      <x:c r="I394" s="9"/>
      <x:c r="J394" s="9"/>
      <x:c r="K394" s="12" t="str">
        <x:f>IF(A394="","",IF(ISNUMBER(H394),H394-'Tableau de bord'!$F$5,""))</x:f>
      </x:c>
      <x:c r="L394" s="12" t="str">
        <x:f>IF(A394="","",IF(ISNUMBER(H394),IF(K394&lt;0,"Expiré",IF(K394&lt;='Paramètres'!$E$6,"À renouveler","À jour")),"À compléter"))</x:f>
      </x:c>
      <x:c r="M394" s="9"/>
    </x:row>
    <x:row r="395" ht="23" customHeight="1">
      <x:c r="A395" s="9"/>
      <x:c r="B395" s="9"/>
      <x:c r="C395" s="9"/>
      <x:c r="D395" s="9"/>
      <x:c r="E395" s="9"/>
      <x:c r="F395" s="9"/>
      <x:c r="G395" s="11"/>
      <x:c r="H395" s="11"/>
      <x:c r="I395" s="9"/>
      <x:c r="J395" s="9"/>
      <x:c r="K395" s="12" t="str">
        <x:f>IF(A395="","",IF(ISNUMBER(H395),H395-'Tableau de bord'!$F$5,""))</x:f>
      </x:c>
      <x:c r="L395" s="12" t="str">
        <x:f>IF(A395="","",IF(ISNUMBER(H395),IF(K395&lt;0,"Expiré",IF(K395&lt;='Paramètres'!$E$6,"À renouveler","À jour")),"À compléter"))</x:f>
      </x:c>
      <x:c r="M395" s="9"/>
    </x:row>
    <x:row r="396" ht="23" customHeight="1">
      <x:c r="A396" s="9"/>
      <x:c r="B396" s="9"/>
      <x:c r="C396" s="9"/>
      <x:c r="D396" s="9"/>
      <x:c r="E396" s="9"/>
      <x:c r="F396" s="9"/>
      <x:c r="G396" s="11"/>
      <x:c r="H396" s="11"/>
      <x:c r="I396" s="9"/>
      <x:c r="J396" s="9"/>
      <x:c r="K396" s="12" t="str">
        <x:f>IF(A396="","",IF(ISNUMBER(H396),H396-'Tableau de bord'!$F$5,""))</x:f>
      </x:c>
      <x:c r="L396" s="12" t="str">
        <x:f>IF(A396="","",IF(ISNUMBER(H396),IF(K396&lt;0,"Expiré",IF(K396&lt;='Paramètres'!$E$6,"À renouveler","À jour")),"À compléter"))</x:f>
      </x:c>
      <x:c r="M396" s="9"/>
    </x:row>
    <x:row r="397" ht="23" customHeight="1">
      <x:c r="A397" s="9"/>
      <x:c r="B397" s="9"/>
      <x:c r="C397" s="9"/>
      <x:c r="D397" s="9"/>
      <x:c r="E397" s="9"/>
      <x:c r="F397" s="9"/>
      <x:c r="G397" s="11"/>
      <x:c r="H397" s="11"/>
      <x:c r="I397" s="9"/>
      <x:c r="J397" s="9"/>
      <x:c r="K397" s="12" t="str">
        <x:f>IF(A397="","",IF(ISNUMBER(H397),H397-'Tableau de bord'!$F$5,""))</x:f>
      </x:c>
      <x:c r="L397" s="12" t="str">
        <x:f>IF(A397="","",IF(ISNUMBER(H397),IF(K397&lt;0,"Expiré",IF(K397&lt;='Paramètres'!$E$6,"À renouveler","À jour")),"À compléter"))</x:f>
      </x:c>
      <x:c r="M397" s="9"/>
    </x:row>
    <x:row r="398" ht="23" customHeight="1">
      <x:c r="A398" s="9"/>
      <x:c r="B398" s="9"/>
      <x:c r="C398" s="9"/>
      <x:c r="D398" s="9"/>
      <x:c r="E398" s="9"/>
      <x:c r="F398" s="9"/>
      <x:c r="G398" s="11"/>
      <x:c r="H398" s="11"/>
      <x:c r="I398" s="9"/>
      <x:c r="J398" s="9"/>
      <x:c r="K398" s="12" t="str">
        <x:f>IF(A398="","",IF(ISNUMBER(H398),H398-'Tableau de bord'!$F$5,""))</x:f>
      </x:c>
      <x:c r="L398" s="12" t="str">
        <x:f>IF(A398="","",IF(ISNUMBER(H398),IF(K398&lt;0,"Expiré",IF(K398&lt;='Paramètres'!$E$6,"À renouveler","À jour")),"À compléter"))</x:f>
      </x:c>
      <x:c r="M398" s="9"/>
    </x:row>
    <x:row r="399" ht="23" customHeight="1">
      <x:c r="A399" s="9"/>
      <x:c r="B399" s="9"/>
      <x:c r="C399" s="9"/>
      <x:c r="D399" s="9"/>
      <x:c r="E399" s="9"/>
      <x:c r="F399" s="9"/>
      <x:c r="G399" s="11"/>
      <x:c r="H399" s="11"/>
      <x:c r="I399" s="9"/>
      <x:c r="J399" s="9"/>
      <x:c r="K399" s="12" t="str">
        <x:f>IF(A399="","",IF(ISNUMBER(H399),H399-'Tableau de bord'!$F$5,""))</x:f>
      </x:c>
      <x:c r="L399" s="12" t="str">
        <x:f>IF(A399="","",IF(ISNUMBER(H399),IF(K399&lt;0,"Expiré",IF(K399&lt;='Paramètres'!$E$6,"À renouveler","À jour")),"À compléter"))</x:f>
      </x:c>
      <x:c r="M399" s="9"/>
    </x:row>
    <x:row r="400" ht="23" customHeight="1">
      <x:c r="A400" s="9"/>
      <x:c r="B400" s="9"/>
      <x:c r="C400" s="9"/>
      <x:c r="D400" s="9"/>
      <x:c r="E400" s="9"/>
      <x:c r="F400" s="9"/>
      <x:c r="G400" s="11"/>
      <x:c r="H400" s="11"/>
      <x:c r="I400" s="9"/>
      <x:c r="J400" s="9"/>
      <x:c r="K400" s="12" t="str">
        <x:f>IF(A400="","",IF(ISNUMBER(H400),H400-'Tableau de bord'!$F$5,""))</x:f>
      </x:c>
      <x:c r="L400" s="12" t="str">
        <x:f>IF(A400="","",IF(ISNUMBER(H400),IF(K400&lt;0,"Expiré",IF(K400&lt;='Paramètres'!$E$6,"À renouveler","À jour")),"À compléter"))</x:f>
      </x:c>
      <x:c r="M400" s="9"/>
    </x:row>
    <x:row r="401" ht="23" customHeight="1">
      <x:c r="A401" s="9"/>
      <x:c r="B401" s="9"/>
      <x:c r="C401" s="9"/>
      <x:c r="D401" s="9"/>
      <x:c r="E401" s="9"/>
      <x:c r="F401" s="9"/>
      <x:c r="G401" s="11"/>
      <x:c r="H401" s="11"/>
      <x:c r="I401" s="9"/>
      <x:c r="J401" s="9"/>
      <x:c r="K401" s="12" t="str">
        <x:f>IF(A401="","",IF(ISNUMBER(H401),H401-'Tableau de bord'!$F$5,""))</x:f>
      </x:c>
      <x:c r="L401" s="12" t="str">
        <x:f>IF(A401="","",IF(ISNUMBER(H401),IF(K401&lt;0,"Expiré",IF(K401&lt;='Paramètres'!$E$6,"À renouveler","À jour")),"À compléter"))</x:f>
      </x:c>
      <x:c r="M401" s="9"/>
    </x:row>
    <x:row r="402" ht="23" customHeight="1">
      <x:c r="A402" s="9"/>
      <x:c r="B402" s="9"/>
      <x:c r="C402" s="9"/>
      <x:c r="D402" s="9"/>
      <x:c r="E402" s="9"/>
      <x:c r="F402" s="9"/>
      <x:c r="G402" s="11"/>
      <x:c r="H402" s="11"/>
      <x:c r="I402" s="9"/>
      <x:c r="J402" s="9"/>
      <x:c r="K402" s="12" t="str">
        <x:f>IF(A402="","",IF(ISNUMBER(H402),H402-'Tableau de bord'!$F$5,""))</x:f>
      </x:c>
      <x:c r="L402" s="12" t="str">
        <x:f>IF(A402="","",IF(ISNUMBER(H402),IF(K402&lt;0,"Expiré",IF(K402&lt;='Paramètres'!$E$6,"À renouveler","À jour")),"À compléter"))</x:f>
      </x:c>
      <x:c r="M402" s="9"/>
    </x:row>
    <x:row r="403" ht="23" customHeight="1">
      <x:c r="A403" s="9"/>
      <x:c r="B403" s="9"/>
      <x:c r="C403" s="9"/>
      <x:c r="D403" s="9"/>
      <x:c r="E403" s="9"/>
      <x:c r="F403" s="9"/>
      <x:c r="G403" s="11"/>
      <x:c r="H403" s="11"/>
      <x:c r="I403" s="9"/>
      <x:c r="J403" s="9"/>
      <x:c r="K403" s="12" t="str">
        <x:f>IF(A403="","",IF(ISNUMBER(H403),H403-'Tableau de bord'!$F$5,""))</x:f>
      </x:c>
      <x:c r="L403" s="12" t="str">
        <x:f>IF(A403="","",IF(ISNUMBER(H403),IF(K403&lt;0,"Expiré",IF(K403&lt;='Paramètres'!$E$6,"À renouveler","À jour")),"À compléter"))</x:f>
      </x:c>
      <x:c r="M403" s="9"/>
    </x:row>
    <x:row r="404" ht="23" customHeight="1">
      <x:c r="A404" s="9"/>
      <x:c r="B404" s="9"/>
      <x:c r="C404" s="9"/>
      <x:c r="D404" s="9"/>
      <x:c r="E404" s="9"/>
      <x:c r="F404" s="9"/>
      <x:c r="G404" s="11"/>
      <x:c r="H404" s="11"/>
      <x:c r="I404" s="9"/>
      <x:c r="J404" s="9"/>
      <x:c r="K404" s="12" t="str">
        <x:f>IF(A404="","",IF(ISNUMBER(H404),H404-'Tableau de bord'!$F$5,""))</x:f>
      </x:c>
      <x:c r="L404" s="12" t="str">
        <x:f>IF(A404="","",IF(ISNUMBER(H404),IF(K404&lt;0,"Expiré",IF(K404&lt;='Paramètres'!$E$6,"À renouveler","À jour")),"À compléter"))</x:f>
      </x:c>
      <x:c r="M404" s="9"/>
    </x:row>
    <x:row r="405" ht="23" customHeight="1">
      <x:c r="A405" s="9"/>
      <x:c r="B405" s="9"/>
      <x:c r="C405" s="9"/>
      <x:c r="D405" s="9"/>
      <x:c r="E405" s="9"/>
      <x:c r="F405" s="9"/>
      <x:c r="G405" s="11"/>
      <x:c r="H405" s="11"/>
      <x:c r="I405" s="9"/>
      <x:c r="J405" s="9"/>
      <x:c r="K405" s="12" t="str">
        <x:f>IF(A405="","",IF(ISNUMBER(H405),H405-'Tableau de bord'!$F$5,""))</x:f>
      </x:c>
      <x:c r="L405" s="12" t="str">
        <x:f>IF(A405="","",IF(ISNUMBER(H405),IF(K405&lt;0,"Expiré",IF(K405&lt;='Paramètres'!$E$6,"À renouveler","À jour")),"À compléter"))</x:f>
      </x:c>
      <x:c r="M405" s="9"/>
    </x:row>
    <x:row r="406" ht="23" customHeight="1">
      <x:c r="A406" s="9"/>
      <x:c r="B406" s="9"/>
      <x:c r="C406" s="9"/>
      <x:c r="D406" s="9"/>
      <x:c r="E406" s="9"/>
      <x:c r="F406" s="9"/>
      <x:c r="G406" s="11"/>
      <x:c r="H406" s="11"/>
      <x:c r="I406" s="9"/>
      <x:c r="J406" s="9"/>
      <x:c r="K406" s="12" t="str">
        <x:f>IF(A406="","",IF(ISNUMBER(H406),H406-'Tableau de bord'!$F$5,""))</x:f>
      </x:c>
      <x:c r="L406" s="12" t="str">
        <x:f>IF(A406="","",IF(ISNUMBER(H406),IF(K406&lt;0,"Expiré",IF(K406&lt;='Paramètres'!$E$6,"À renouveler","À jour")),"À compléter"))</x:f>
      </x:c>
      <x:c r="M406" s="9"/>
    </x:row>
    <x:row r="407" ht="23" customHeight="1">
      <x:c r="A407" s="9"/>
      <x:c r="B407" s="9"/>
      <x:c r="C407" s="9"/>
      <x:c r="D407" s="9"/>
      <x:c r="E407" s="9"/>
      <x:c r="F407" s="9"/>
      <x:c r="G407" s="11"/>
      <x:c r="H407" s="11"/>
      <x:c r="I407" s="9"/>
      <x:c r="J407" s="9"/>
      <x:c r="K407" s="12" t="str">
        <x:f>IF(A407="","",IF(ISNUMBER(H407),H407-'Tableau de bord'!$F$5,""))</x:f>
      </x:c>
      <x:c r="L407" s="12" t="str">
        <x:f>IF(A407="","",IF(ISNUMBER(H407),IF(K407&lt;0,"Expiré",IF(K407&lt;='Paramètres'!$E$6,"À renouveler","À jour")),"À compléter"))</x:f>
      </x:c>
      <x:c r="M407" s="9"/>
    </x:row>
    <x:row r="408" ht="23" customHeight="1">
      <x:c r="A408" s="9"/>
      <x:c r="B408" s="9"/>
      <x:c r="C408" s="9"/>
      <x:c r="D408" s="9"/>
      <x:c r="E408" s="9"/>
      <x:c r="F408" s="9"/>
      <x:c r="G408" s="11"/>
      <x:c r="H408" s="11"/>
      <x:c r="I408" s="9"/>
      <x:c r="J408" s="9"/>
      <x:c r="K408" s="12" t="str">
        <x:f>IF(A408="","",IF(ISNUMBER(H408),H408-'Tableau de bord'!$F$5,""))</x:f>
      </x:c>
      <x:c r="L408" s="12" t="str">
        <x:f>IF(A408="","",IF(ISNUMBER(H408),IF(K408&lt;0,"Expiré",IF(K408&lt;='Paramètres'!$E$6,"À renouveler","À jour")),"À compléter"))</x:f>
      </x:c>
      <x:c r="M408" s="9"/>
    </x:row>
    <x:row r="409" ht="23" customHeight="1">
      <x:c r="A409" s="9"/>
      <x:c r="B409" s="9"/>
      <x:c r="C409" s="9"/>
      <x:c r="D409" s="9"/>
      <x:c r="E409" s="9"/>
      <x:c r="F409" s="9"/>
      <x:c r="G409" s="11"/>
      <x:c r="H409" s="11"/>
      <x:c r="I409" s="9"/>
      <x:c r="J409" s="9"/>
      <x:c r="K409" s="12" t="str">
        <x:f>IF(A409="","",IF(ISNUMBER(H409),H409-'Tableau de bord'!$F$5,""))</x:f>
      </x:c>
      <x:c r="L409" s="12" t="str">
        <x:f>IF(A409="","",IF(ISNUMBER(H409),IF(K409&lt;0,"Expiré",IF(K409&lt;='Paramètres'!$E$6,"À renouveler","À jour")),"À compléter"))</x:f>
      </x:c>
      <x:c r="M409" s="9"/>
    </x:row>
    <x:row r="410" ht="23" customHeight="1">
      <x:c r="A410" s="9"/>
      <x:c r="B410" s="9"/>
      <x:c r="C410" s="9"/>
      <x:c r="D410" s="9"/>
      <x:c r="E410" s="9"/>
      <x:c r="F410" s="9"/>
      <x:c r="G410" s="11"/>
      <x:c r="H410" s="11"/>
      <x:c r="I410" s="9"/>
      <x:c r="J410" s="9"/>
      <x:c r="K410" s="12" t="str">
        <x:f>IF(A410="","",IF(ISNUMBER(H410),H410-'Tableau de bord'!$F$5,""))</x:f>
      </x:c>
      <x:c r="L410" s="12" t="str">
        <x:f>IF(A410="","",IF(ISNUMBER(H410),IF(K410&lt;0,"Expiré",IF(K410&lt;='Paramètres'!$E$6,"À renouveler","À jour")),"À compléter"))</x:f>
      </x:c>
      <x:c r="M410" s="9"/>
    </x:row>
    <x:row r="411" ht="23" customHeight="1">
      <x:c r="A411" s="9"/>
      <x:c r="B411" s="9"/>
      <x:c r="C411" s="9"/>
      <x:c r="D411" s="9"/>
      <x:c r="E411" s="9"/>
      <x:c r="F411" s="9"/>
      <x:c r="G411" s="11"/>
      <x:c r="H411" s="11"/>
      <x:c r="I411" s="9"/>
      <x:c r="J411" s="9"/>
      <x:c r="K411" s="12" t="str">
        <x:f>IF(A411="","",IF(ISNUMBER(H411),H411-'Tableau de bord'!$F$5,""))</x:f>
      </x:c>
      <x:c r="L411" s="12" t="str">
        <x:f>IF(A411="","",IF(ISNUMBER(H411),IF(K411&lt;0,"Expiré",IF(K411&lt;='Paramètres'!$E$6,"À renouveler","À jour")),"À compléter"))</x:f>
      </x:c>
      <x:c r="M411" s="9"/>
    </x:row>
    <x:row r="412" ht="23" customHeight="1">
      <x:c r="A412" s="9"/>
      <x:c r="B412" s="9"/>
      <x:c r="C412" s="9"/>
      <x:c r="D412" s="9"/>
      <x:c r="E412" s="9"/>
      <x:c r="F412" s="9"/>
      <x:c r="G412" s="11"/>
      <x:c r="H412" s="11"/>
      <x:c r="I412" s="9"/>
      <x:c r="J412" s="9"/>
      <x:c r="K412" s="12" t="str">
        <x:f>IF(A412="","",IF(ISNUMBER(H412),H412-'Tableau de bord'!$F$5,""))</x:f>
      </x:c>
      <x:c r="L412" s="12" t="str">
        <x:f>IF(A412="","",IF(ISNUMBER(H412),IF(K412&lt;0,"Expiré",IF(K412&lt;='Paramètres'!$E$6,"À renouveler","À jour")),"À compléter"))</x:f>
      </x:c>
      <x:c r="M412" s="9"/>
    </x:row>
    <x:row r="413" ht="23" customHeight="1">
      <x:c r="A413" s="9"/>
      <x:c r="B413" s="9"/>
      <x:c r="C413" s="9"/>
      <x:c r="D413" s="9"/>
      <x:c r="E413" s="9"/>
      <x:c r="F413" s="9"/>
      <x:c r="G413" s="11"/>
      <x:c r="H413" s="11"/>
      <x:c r="I413" s="9"/>
      <x:c r="J413" s="9"/>
      <x:c r="K413" s="12" t="str">
        <x:f>IF(A413="","",IF(ISNUMBER(H413),H413-'Tableau de bord'!$F$5,""))</x:f>
      </x:c>
      <x:c r="L413" s="12" t="str">
        <x:f>IF(A413="","",IF(ISNUMBER(H413),IF(K413&lt;0,"Expiré",IF(K413&lt;='Paramètres'!$E$6,"À renouveler","À jour")),"À compléter"))</x:f>
      </x:c>
      <x:c r="M413" s="9"/>
    </x:row>
    <x:row r="414" ht="23" customHeight="1">
      <x:c r="A414" s="9"/>
      <x:c r="B414" s="9"/>
      <x:c r="C414" s="9"/>
      <x:c r="D414" s="9"/>
      <x:c r="E414" s="9"/>
      <x:c r="F414" s="9"/>
      <x:c r="G414" s="11"/>
      <x:c r="H414" s="11"/>
      <x:c r="I414" s="9"/>
      <x:c r="J414" s="9"/>
      <x:c r="K414" s="12" t="str">
        <x:f>IF(A414="","",IF(ISNUMBER(H414),H414-'Tableau de bord'!$F$5,""))</x:f>
      </x:c>
      <x:c r="L414" s="12" t="str">
        <x:f>IF(A414="","",IF(ISNUMBER(H414),IF(K414&lt;0,"Expiré",IF(K414&lt;='Paramètres'!$E$6,"À renouveler","À jour")),"À compléter"))</x:f>
      </x:c>
      <x:c r="M414" s="9"/>
    </x:row>
    <x:row r="415" ht="23" customHeight="1">
      <x:c r="A415" s="9"/>
      <x:c r="B415" s="9"/>
      <x:c r="C415" s="9"/>
      <x:c r="D415" s="9"/>
      <x:c r="E415" s="9"/>
      <x:c r="F415" s="9"/>
      <x:c r="G415" s="11"/>
      <x:c r="H415" s="11"/>
      <x:c r="I415" s="9"/>
      <x:c r="J415" s="9"/>
      <x:c r="K415" s="12" t="str">
        <x:f>IF(A415="","",IF(ISNUMBER(H415),H415-'Tableau de bord'!$F$5,""))</x:f>
      </x:c>
      <x:c r="L415" s="12" t="str">
        <x:f>IF(A415="","",IF(ISNUMBER(H415),IF(K415&lt;0,"Expiré",IF(K415&lt;='Paramètres'!$E$6,"À renouveler","À jour")),"À compléter"))</x:f>
      </x:c>
      <x:c r="M415" s="9"/>
    </x:row>
    <x:row r="416" ht="23" customHeight="1">
      <x:c r="A416" s="9"/>
      <x:c r="B416" s="9"/>
      <x:c r="C416" s="9"/>
      <x:c r="D416" s="9"/>
      <x:c r="E416" s="9"/>
      <x:c r="F416" s="9"/>
      <x:c r="G416" s="11"/>
      <x:c r="H416" s="11"/>
      <x:c r="I416" s="9"/>
      <x:c r="J416" s="9"/>
      <x:c r="K416" s="12" t="str">
        <x:f>IF(A416="","",IF(ISNUMBER(H416),H416-'Tableau de bord'!$F$5,""))</x:f>
      </x:c>
      <x:c r="L416" s="12" t="str">
        <x:f>IF(A416="","",IF(ISNUMBER(H416),IF(K416&lt;0,"Expiré",IF(K416&lt;='Paramètres'!$E$6,"À renouveler","À jour")),"À compléter"))</x:f>
      </x:c>
      <x:c r="M416" s="9"/>
    </x:row>
    <x:row r="417" ht="23" customHeight="1">
      <x:c r="A417" s="9"/>
      <x:c r="B417" s="9"/>
      <x:c r="C417" s="9"/>
      <x:c r="D417" s="9"/>
      <x:c r="E417" s="9"/>
      <x:c r="F417" s="9"/>
      <x:c r="G417" s="11"/>
      <x:c r="H417" s="11"/>
      <x:c r="I417" s="9"/>
      <x:c r="J417" s="9"/>
      <x:c r="K417" s="12" t="str">
        <x:f>IF(A417="","",IF(ISNUMBER(H417),H417-'Tableau de bord'!$F$5,""))</x:f>
      </x:c>
      <x:c r="L417" s="12" t="str">
        <x:f>IF(A417="","",IF(ISNUMBER(H417),IF(K417&lt;0,"Expiré",IF(K417&lt;='Paramètres'!$E$6,"À renouveler","À jour")),"À compléter"))</x:f>
      </x:c>
      <x:c r="M417" s="9"/>
    </x:row>
    <x:row r="418" ht="23" customHeight="1">
      <x:c r="A418" s="9"/>
      <x:c r="B418" s="9"/>
      <x:c r="C418" s="9"/>
      <x:c r="D418" s="9"/>
      <x:c r="E418" s="9"/>
      <x:c r="F418" s="9"/>
      <x:c r="G418" s="11"/>
      <x:c r="H418" s="11"/>
      <x:c r="I418" s="9"/>
      <x:c r="J418" s="9"/>
      <x:c r="K418" s="12" t="str">
        <x:f>IF(A418="","",IF(ISNUMBER(H418),H418-'Tableau de bord'!$F$5,""))</x:f>
      </x:c>
      <x:c r="L418" s="12" t="str">
        <x:f>IF(A418="","",IF(ISNUMBER(H418),IF(K418&lt;0,"Expiré",IF(K418&lt;='Paramètres'!$E$6,"À renouveler","À jour")),"À compléter"))</x:f>
      </x:c>
      <x:c r="M418" s="9"/>
    </x:row>
    <x:row r="419" ht="23" customHeight="1">
      <x:c r="A419" s="9"/>
      <x:c r="B419" s="9"/>
      <x:c r="C419" s="9"/>
      <x:c r="D419" s="9"/>
      <x:c r="E419" s="9"/>
      <x:c r="F419" s="9"/>
      <x:c r="G419" s="11"/>
      <x:c r="H419" s="11"/>
      <x:c r="I419" s="9"/>
      <x:c r="J419" s="9"/>
      <x:c r="K419" s="12" t="str">
        <x:f>IF(A419="","",IF(ISNUMBER(H419),H419-'Tableau de bord'!$F$5,""))</x:f>
      </x:c>
      <x:c r="L419" s="12" t="str">
        <x:f>IF(A419="","",IF(ISNUMBER(H419),IF(K419&lt;0,"Expiré",IF(K419&lt;='Paramètres'!$E$6,"À renouveler","À jour")),"À compléter"))</x:f>
      </x:c>
      <x:c r="M419" s="9"/>
    </x:row>
    <x:row r="420" ht="23" customHeight="1">
      <x:c r="A420" s="9"/>
      <x:c r="B420" s="9"/>
      <x:c r="C420" s="9"/>
      <x:c r="D420" s="9"/>
      <x:c r="E420" s="9"/>
      <x:c r="F420" s="9"/>
      <x:c r="G420" s="11"/>
      <x:c r="H420" s="11"/>
      <x:c r="I420" s="9"/>
      <x:c r="J420" s="9"/>
      <x:c r="K420" s="12" t="str">
        <x:f>IF(A420="","",IF(ISNUMBER(H420),H420-'Tableau de bord'!$F$5,""))</x:f>
      </x:c>
      <x:c r="L420" s="12" t="str">
        <x:f>IF(A420="","",IF(ISNUMBER(H420),IF(K420&lt;0,"Expiré",IF(K420&lt;='Paramètres'!$E$6,"À renouveler","À jour")),"À compléter"))</x:f>
      </x:c>
      <x:c r="M420" s="9"/>
    </x:row>
    <x:row r="421" ht="23" customHeight="1">
      <x:c r="A421" s="9"/>
      <x:c r="B421" s="9"/>
      <x:c r="C421" s="9"/>
      <x:c r="D421" s="9"/>
      <x:c r="E421" s="9"/>
      <x:c r="F421" s="9"/>
      <x:c r="G421" s="11"/>
      <x:c r="H421" s="11"/>
      <x:c r="I421" s="9"/>
      <x:c r="J421" s="9"/>
      <x:c r="K421" s="12" t="str">
        <x:f>IF(A421="","",IF(ISNUMBER(H421),H421-'Tableau de bord'!$F$5,""))</x:f>
      </x:c>
      <x:c r="L421" s="12" t="str">
        <x:f>IF(A421="","",IF(ISNUMBER(H421),IF(K421&lt;0,"Expiré",IF(K421&lt;='Paramètres'!$E$6,"À renouveler","À jour")),"À compléter"))</x:f>
      </x:c>
      <x:c r="M421" s="9"/>
    </x:row>
    <x:row r="422" ht="23" customHeight="1">
      <x:c r="A422" s="9"/>
      <x:c r="B422" s="9"/>
      <x:c r="C422" s="9"/>
      <x:c r="D422" s="9"/>
      <x:c r="E422" s="9"/>
      <x:c r="F422" s="9"/>
      <x:c r="G422" s="11"/>
      <x:c r="H422" s="11"/>
      <x:c r="I422" s="9"/>
      <x:c r="J422" s="9"/>
      <x:c r="K422" s="12" t="str">
        <x:f>IF(A422="","",IF(ISNUMBER(H422),H422-'Tableau de bord'!$F$5,""))</x:f>
      </x:c>
      <x:c r="L422" s="12" t="str">
        <x:f>IF(A422="","",IF(ISNUMBER(H422),IF(K422&lt;0,"Expiré",IF(K422&lt;='Paramètres'!$E$6,"À renouveler","À jour")),"À compléter"))</x:f>
      </x:c>
      <x:c r="M422" s="9"/>
    </x:row>
    <x:row r="423" ht="23" customHeight="1">
      <x:c r="A423" s="9"/>
      <x:c r="B423" s="9"/>
      <x:c r="C423" s="9"/>
      <x:c r="D423" s="9"/>
      <x:c r="E423" s="9"/>
      <x:c r="F423" s="9"/>
      <x:c r="G423" s="11"/>
      <x:c r="H423" s="11"/>
      <x:c r="I423" s="9"/>
      <x:c r="J423" s="9"/>
      <x:c r="K423" s="12" t="str">
        <x:f>IF(A423="","",IF(ISNUMBER(H423),H423-'Tableau de bord'!$F$5,""))</x:f>
      </x:c>
      <x:c r="L423" s="12" t="str">
        <x:f>IF(A423="","",IF(ISNUMBER(H423),IF(K423&lt;0,"Expiré",IF(K423&lt;='Paramètres'!$E$6,"À renouveler","À jour")),"À compléter"))</x:f>
      </x:c>
      <x:c r="M423" s="9"/>
    </x:row>
    <x:row r="424" ht="23" customHeight="1">
      <x:c r="A424" s="9"/>
      <x:c r="B424" s="9"/>
      <x:c r="C424" s="9"/>
      <x:c r="D424" s="9"/>
      <x:c r="E424" s="9"/>
      <x:c r="F424" s="9"/>
      <x:c r="G424" s="11"/>
      <x:c r="H424" s="11"/>
      <x:c r="I424" s="9"/>
      <x:c r="J424" s="9"/>
      <x:c r="K424" s="12" t="str">
        <x:f>IF(A424="","",IF(ISNUMBER(H424),H424-'Tableau de bord'!$F$5,""))</x:f>
      </x:c>
      <x:c r="L424" s="12" t="str">
        <x:f>IF(A424="","",IF(ISNUMBER(H424),IF(K424&lt;0,"Expiré",IF(K424&lt;='Paramètres'!$E$6,"À renouveler","À jour")),"À compléter"))</x:f>
      </x:c>
      <x:c r="M424" s="9"/>
    </x:row>
    <x:row r="425" ht="23" customHeight="1">
      <x:c r="A425" s="9"/>
      <x:c r="B425" s="9"/>
      <x:c r="C425" s="9"/>
      <x:c r="D425" s="9"/>
      <x:c r="E425" s="9"/>
      <x:c r="F425" s="9"/>
      <x:c r="G425" s="11"/>
      <x:c r="H425" s="11"/>
      <x:c r="I425" s="9"/>
      <x:c r="J425" s="9"/>
      <x:c r="K425" s="12" t="str">
        <x:f>IF(A425="","",IF(ISNUMBER(H425),H425-'Tableau de bord'!$F$5,""))</x:f>
      </x:c>
      <x:c r="L425" s="12" t="str">
        <x:f>IF(A425="","",IF(ISNUMBER(H425),IF(K425&lt;0,"Expiré",IF(K425&lt;='Paramètres'!$E$6,"À renouveler","À jour")),"À compléter"))</x:f>
      </x:c>
      <x:c r="M425" s="9"/>
    </x:row>
    <x:row r="426" ht="23" customHeight="1">
      <x:c r="A426" s="9"/>
      <x:c r="B426" s="9"/>
      <x:c r="C426" s="9"/>
      <x:c r="D426" s="9"/>
      <x:c r="E426" s="9"/>
      <x:c r="F426" s="9"/>
      <x:c r="G426" s="11"/>
      <x:c r="H426" s="11"/>
      <x:c r="I426" s="9"/>
      <x:c r="J426" s="9"/>
      <x:c r="K426" s="12" t="str">
        <x:f>IF(A426="","",IF(ISNUMBER(H426),H426-'Tableau de bord'!$F$5,""))</x:f>
      </x:c>
      <x:c r="L426" s="12" t="str">
        <x:f>IF(A426="","",IF(ISNUMBER(H426),IF(K426&lt;0,"Expiré",IF(K426&lt;='Paramètres'!$E$6,"À renouveler","À jour")),"À compléter"))</x:f>
      </x:c>
      <x:c r="M426" s="9"/>
    </x:row>
    <x:row r="427" ht="23" customHeight="1">
      <x:c r="A427" s="9"/>
      <x:c r="B427" s="9"/>
      <x:c r="C427" s="9"/>
      <x:c r="D427" s="9"/>
      <x:c r="E427" s="9"/>
      <x:c r="F427" s="9"/>
      <x:c r="G427" s="11"/>
      <x:c r="H427" s="11"/>
      <x:c r="I427" s="9"/>
      <x:c r="J427" s="9"/>
      <x:c r="K427" s="12" t="str">
        <x:f>IF(A427="","",IF(ISNUMBER(H427),H427-'Tableau de bord'!$F$5,""))</x:f>
      </x:c>
      <x:c r="L427" s="12" t="str">
        <x:f>IF(A427="","",IF(ISNUMBER(H427),IF(K427&lt;0,"Expiré",IF(K427&lt;='Paramètres'!$E$6,"À renouveler","À jour")),"À compléter"))</x:f>
      </x:c>
      <x:c r="M427" s="9"/>
    </x:row>
    <x:row r="428" ht="23" customHeight="1">
      <x:c r="A428" s="9"/>
      <x:c r="B428" s="9"/>
      <x:c r="C428" s="9"/>
      <x:c r="D428" s="9"/>
      <x:c r="E428" s="9"/>
      <x:c r="F428" s="9"/>
      <x:c r="G428" s="11"/>
      <x:c r="H428" s="11"/>
      <x:c r="I428" s="9"/>
      <x:c r="J428" s="9"/>
      <x:c r="K428" s="12" t="str">
        <x:f>IF(A428="","",IF(ISNUMBER(H428),H428-'Tableau de bord'!$F$5,""))</x:f>
      </x:c>
      <x:c r="L428" s="12" t="str">
        <x:f>IF(A428="","",IF(ISNUMBER(H428),IF(K428&lt;0,"Expiré",IF(K428&lt;='Paramètres'!$E$6,"À renouveler","À jour")),"À compléter"))</x:f>
      </x:c>
      <x:c r="M428" s="9"/>
    </x:row>
    <x:row r="429" ht="23" customHeight="1">
      <x:c r="A429" s="9"/>
      <x:c r="B429" s="9"/>
      <x:c r="C429" s="9"/>
      <x:c r="D429" s="9"/>
      <x:c r="E429" s="9"/>
      <x:c r="F429" s="9"/>
      <x:c r="G429" s="11"/>
      <x:c r="H429" s="11"/>
      <x:c r="I429" s="9"/>
      <x:c r="J429" s="9"/>
      <x:c r="K429" s="12" t="str">
        <x:f>IF(A429="","",IF(ISNUMBER(H429),H429-'Tableau de bord'!$F$5,""))</x:f>
      </x:c>
      <x:c r="L429" s="12" t="str">
        <x:f>IF(A429="","",IF(ISNUMBER(H429),IF(K429&lt;0,"Expiré",IF(K429&lt;='Paramètres'!$E$6,"À renouveler","À jour")),"À compléter"))</x:f>
      </x:c>
      <x:c r="M429" s="9"/>
    </x:row>
    <x:row r="430" ht="23" customHeight="1">
      <x:c r="A430" s="9"/>
      <x:c r="B430" s="9"/>
      <x:c r="C430" s="9"/>
      <x:c r="D430" s="9"/>
      <x:c r="E430" s="9"/>
      <x:c r="F430" s="9"/>
      <x:c r="G430" s="11"/>
      <x:c r="H430" s="11"/>
      <x:c r="I430" s="9"/>
      <x:c r="J430" s="9"/>
      <x:c r="K430" s="12" t="str">
        <x:f>IF(A430="","",IF(ISNUMBER(H430),H430-'Tableau de bord'!$F$5,""))</x:f>
      </x:c>
      <x:c r="L430" s="12" t="str">
        <x:f>IF(A430="","",IF(ISNUMBER(H430),IF(K430&lt;0,"Expiré",IF(K430&lt;='Paramètres'!$E$6,"À renouveler","À jour")),"À compléter"))</x:f>
      </x:c>
      <x:c r="M430" s="9"/>
    </x:row>
    <x:row r="431" ht="23" customHeight="1">
      <x:c r="A431" s="9"/>
      <x:c r="B431" s="9"/>
      <x:c r="C431" s="9"/>
      <x:c r="D431" s="9"/>
      <x:c r="E431" s="9"/>
      <x:c r="F431" s="9"/>
      <x:c r="G431" s="11"/>
      <x:c r="H431" s="11"/>
      <x:c r="I431" s="9"/>
      <x:c r="J431" s="9"/>
      <x:c r="K431" s="12" t="str">
        <x:f>IF(A431="","",IF(ISNUMBER(H431),H431-'Tableau de bord'!$F$5,""))</x:f>
      </x:c>
      <x:c r="L431" s="12" t="str">
        <x:f>IF(A431="","",IF(ISNUMBER(H431),IF(K431&lt;0,"Expiré",IF(K431&lt;='Paramètres'!$E$6,"À renouveler","À jour")),"À compléter"))</x:f>
      </x:c>
      <x:c r="M431" s="9"/>
    </x:row>
    <x:row r="432" ht="23" customHeight="1">
      <x:c r="A432" s="9"/>
      <x:c r="B432" s="9"/>
      <x:c r="C432" s="9"/>
      <x:c r="D432" s="9"/>
      <x:c r="E432" s="9"/>
      <x:c r="F432" s="9"/>
      <x:c r="G432" s="11"/>
      <x:c r="H432" s="11"/>
      <x:c r="I432" s="9"/>
      <x:c r="J432" s="9"/>
      <x:c r="K432" s="12" t="str">
        <x:f>IF(A432="","",IF(ISNUMBER(H432),H432-'Tableau de bord'!$F$5,""))</x:f>
      </x:c>
      <x:c r="L432" s="12" t="str">
        <x:f>IF(A432="","",IF(ISNUMBER(H432),IF(K432&lt;0,"Expiré",IF(K432&lt;='Paramètres'!$E$6,"À renouveler","À jour")),"À compléter"))</x:f>
      </x:c>
      <x:c r="M432" s="9"/>
    </x:row>
    <x:row r="433" ht="23" customHeight="1">
      <x:c r="A433" s="9"/>
      <x:c r="B433" s="9"/>
      <x:c r="C433" s="9"/>
      <x:c r="D433" s="9"/>
      <x:c r="E433" s="9"/>
      <x:c r="F433" s="9"/>
      <x:c r="G433" s="11"/>
      <x:c r="H433" s="11"/>
      <x:c r="I433" s="9"/>
      <x:c r="J433" s="9"/>
      <x:c r="K433" s="12" t="str">
        <x:f>IF(A433="","",IF(ISNUMBER(H433),H433-'Tableau de bord'!$F$5,""))</x:f>
      </x:c>
      <x:c r="L433" s="12" t="str">
        <x:f>IF(A433="","",IF(ISNUMBER(H433),IF(K433&lt;0,"Expiré",IF(K433&lt;='Paramètres'!$E$6,"À renouveler","À jour")),"À compléter"))</x:f>
      </x:c>
      <x:c r="M433" s="9"/>
    </x:row>
    <x:row r="434" ht="23" customHeight="1">
      <x:c r="A434" s="9"/>
      <x:c r="B434" s="9"/>
      <x:c r="C434" s="9"/>
      <x:c r="D434" s="9"/>
      <x:c r="E434" s="9"/>
      <x:c r="F434" s="9"/>
      <x:c r="G434" s="11"/>
      <x:c r="H434" s="11"/>
      <x:c r="I434" s="9"/>
      <x:c r="J434" s="9"/>
      <x:c r="K434" s="12" t="str">
        <x:f>IF(A434="","",IF(ISNUMBER(H434),H434-'Tableau de bord'!$F$5,""))</x:f>
      </x:c>
      <x:c r="L434" s="12" t="str">
        <x:f>IF(A434="","",IF(ISNUMBER(H434),IF(K434&lt;0,"Expiré",IF(K434&lt;='Paramètres'!$E$6,"À renouveler","À jour")),"À compléter"))</x:f>
      </x:c>
      <x:c r="M434" s="9"/>
    </x:row>
    <x:row r="435" ht="23" customHeight="1">
      <x:c r="A435" s="9"/>
      <x:c r="B435" s="9"/>
      <x:c r="C435" s="9"/>
      <x:c r="D435" s="9"/>
      <x:c r="E435" s="9"/>
      <x:c r="F435" s="9"/>
      <x:c r="G435" s="11"/>
      <x:c r="H435" s="11"/>
      <x:c r="I435" s="9"/>
      <x:c r="J435" s="9"/>
      <x:c r="K435" s="12" t="str">
        <x:f>IF(A435="","",IF(ISNUMBER(H435),H435-'Tableau de bord'!$F$5,""))</x:f>
      </x:c>
      <x:c r="L435" s="12" t="str">
        <x:f>IF(A435="","",IF(ISNUMBER(H435),IF(K435&lt;0,"Expiré",IF(K435&lt;='Paramètres'!$E$6,"À renouveler","À jour")),"À compléter"))</x:f>
      </x:c>
      <x:c r="M435" s="9"/>
    </x:row>
    <x:row r="436" ht="23" customHeight="1">
      <x:c r="A436" s="9"/>
      <x:c r="B436" s="9"/>
      <x:c r="C436" s="9"/>
      <x:c r="D436" s="9"/>
      <x:c r="E436" s="9"/>
      <x:c r="F436" s="9"/>
      <x:c r="G436" s="11"/>
      <x:c r="H436" s="11"/>
      <x:c r="I436" s="9"/>
      <x:c r="J436" s="9"/>
      <x:c r="K436" s="12" t="str">
        <x:f>IF(A436="","",IF(ISNUMBER(H436),H436-'Tableau de bord'!$F$5,""))</x:f>
      </x:c>
      <x:c r="L436" s="12" t="str">
        <x:f>IF(A436="","",IF(ISNUMBER(H436),IF(K436&lt;0,"Expiré",IF(K436&lt;='Paramètres'!$E$6,"À renouveler","À jour")),"À compléter"))</x:f>
      </x:c>
      <x:c r="M436" s="9"/>
    </x:row>
    <x:row r="437" ht="23" customHeight="1">
      <x:c r="A437" s="9"/>
      <x:c r="B437" s="9"/>
      <x:c r="C437" s="9"/>
      <x:c r="D437" s="9"/>
      <x:c r="E437" s="9"/>
      <x:c r="F437" s="9"/>
      <x:c r="G437" s="11"/>
      <x:c r="H437" s="11"/>
      <x:c r="I437" s="9"/>
      <x:c r="J437" s="9"/>
      <x:c r="K437" s="12" t="str">
        <x:f>IF(A437="","",IF(ISNUMBER(H437),H437-'Tableau de bord'!$F$5,""))</x:f>
      </x:c>
      <x:c r="L437" s="12" t="str">
        <x:f>IF(A437="","",IF(ISNUMBER(H437),IF(K437&lt;0,"Expiré",IF(K437&lt;='Paramètres'!$E$6,"À renouveler","À jour")),"À compléter"))</x:f>
      </x:c>
      <x:c r="M437" s="9"/>
    </x:row>
    <x:row r="438" ht="23" customHeight="1">
      <x:c r="A438" s="9"/>
      <x:c r="B438" s="9"/>
      <x:c r="C438" s="9"/>
      <x:c r="D438" s="9"/>
      <x:c r="E438" s="9"/>
      <x:c r="F438" s="9"/>
      <x:c r="G438" s="11"/>
      <x:c r="H438" s="11"/>
      <x:c r="I438" s="9"/>
      <x:c r="J438" s="9"/>
      <x:c r="K438" s="12" t="str">
        <x:f>IF(A438="","",IF(ISNUMBER(H438),H438-'Tableau de bord'!$F$5,""))</x:f>
      </x:c>
      <x:c r="L438" s="12" t="str">
        <x:f>IF(A438="","",IF(ISNUMBER(H438),IF(K438&lt;0,"Expiré",IF(K438&lt;='Paramètres'!$E$6,"À renouveler","À jour")),"À compléter"))</x:f>
      </x:c>
      <x:c r="M438" s="9"/>
    </x:row>
    <x:row r="439" ht="23" customHeight="1">
      <x:c r="A439" s="9"/>
      <x:c r="B439" s="9"/>
      <x:c r="C439" s="9"/>
      <x:c r="D439" s="9"/>
      <x:c r="E439" s="9"/>
      <x:c r="F439" s="9"/>
      <x:c r="G439" s="11"/>
      <x:c r="H439" s="11"/>
      <x:c r="I439" s="9"/>
      <x:c r="J439" s="9"/>
      <x:c r="K439" s="12" t="str">
        <x:f>IF(A439="","",IF(ISNUMBER(H439),H439-'Tableau de bord'!$F$5,""))</x:f>
      </x:c>
      <x:c r="L439" s="12" t="str">
        <x:f>IF(A439="","",IF(ISNUMBER(H439),IF(K439&lt;0,"Expiré",IF(K439&lt;='Paramètres'!$E$6,"À renouveler","À jour")),"À compléter"))</x:f>
      </x:c>
      <x:c r="M439" s="9"/>
    </x:row>
    <x:row r="440" ht="23" customHeight="1">
      <x:c r="A440" s="9"/>
      <x:c r="B440" s="9"/>
      <x:c r="C440" s="9"/>
      <x:c r="D440" s="9"/>
      <x:c r="E440" s="9"/>
      <x:c r="F440" s="9"/>
      <x:c r="G440" s="11"/>
      <x:c r="H440" s="11"/>
      <x:c r="I440" s="9"/>
      <x:c r="J440" s="9"/>
      <x:c r="K440" s="12" t="str">
        <x:f>IF(A440="","",IF(ISNUMBER(H440),H440-'Tableau de bord'!$F$5,""))</x:f>
      </x:c>
      <x:c r="L440" s="12" t="str">
        <x:f>IF(A440="","",IF(ISNUMBER(H440),IF(K440&lt;0,"Expiré",IF(K440&lt;='Paramètres'!$E$6,"À renouveler","À jour")),"À compléter"))</x:f>
      </x:c>
      <x:c r="M440" s="9"/>
    </x:row>
    <x:row r="441" ht="23" customHeight="1">
      <x:c r="A441" s="9"/>
      <x:c r="B441" s="9"/>
      <x:c r="C441" s="9"/>
      <x:c r="D441" s="9"/>
      <x:c r="E441" s="9"/>
      <x:c r="F441" s="9"/>
      <x:c r="G441" s="11"/>
      <x:c r="H441" s="11"/>
      <x:c r="I441" s="9"/>
      <x:c r="J441" s="9"/>
      <x:c r="K441" s="12" t="str">
        <x:f>IF(A441="","",IF(ISNUMBER(H441),H441-'Tableau de bord'!$F$5,""))</x:f>
      </x:c>
      <x:c r="L441" s="12" t="str">
        <x:f>IF(A441="","",IF(ISNUMBER(H441),IF(K441&lt;0,"Expiré",IF(K441&lt;='Paramètres'!$E$6,"À renouveler","À jour")),"À compléter"))</x:f>
      </x:c>
      <x:c r="M441" s="9"/>
    </x:row>
    <x:row r="442" ht="23" customHeight="1">
      <x:c r="A442" s="9"/>
      <x:c r="B442" s="9"/>
      <x:c r="C442" s="9"/>
      <x:c r="D442" s="9"/>
      <x:c r="E442" s="9"/>
      <x:c r="F442" s="9"/>
      <x:c r="G442" s="11"/>
      <x:c r="H442" s="11"/>
      <x:c r="I442" s="9"/>
      <x:c r="J442" s="9"/>
      <x:c r="K442" s="12" t="str">
        <x:f>IF(A442="","",IF(ISNUMBER(H442),H442-'Tableau de bord'!$F$5,""))</x:f>
      </x:c>
      <x:c r="L442" s="12" t="str">
        <x:f>IF(A442="","",IF(ISNUMBER(H442),IF(K442&lt;0,"Expiré",IF(K442&lt;='Paramètres'!$E$6,"À renouveler","À jour")),"À compléter"))</x:f>
      </x:c>
      <x:c r="M442" s="9"/>
    </x:row>
    <x:row r="443" ht="23" customHeight="1">
      <x:c r="A443" s="9"/>
      <x:c r="B443" s="9"/>
      <x:c r="C443" s="9"/>
      <x:c r="D443" s="9"/>
      <x:c r="E443" s="9"/>
      <x:c r="F443" s="9"/>
      <x:c r="G443" s="11"/>
      <x:c r="H443" s="11"/>
      <x:c r="I443" s="9"/>
      <x:c r="J443" s="9"/>
      <x:c r="K443" s="12" t="str">
        <x:f>IF(A443="","",IF(ISNUMBER(H443),H443-'Tableau de bord'!$F$5,""))</x:f>
      </x:c>
      <x:c r="L443" s="12" t="str">
        <x:f>IF(A443="","",IF(ISNUMBER(H443),IF(K443&lt;0,"Expiré",IF(K443&lt;='Paramètres'!$E$6,"À renouveler","À jour")),"À compléter"))</x:f>
      </x:c>
      <x:c r="M443" s="9"/>
    </x:row>
    <x:row r="444" ht="23" customHeight="1">
      <x:c r="A444" s="9"/>
      <x:c r="B444" s="9"/>
      <x:c r="C444" s="9"/>
      <x:c r="D444" s="9"/>
      <x:c r="E444" s="9"/>
      <x:c r="F444" s="9"/>
      <x:c r="G444" s="11"/>
      <x:c r="H444" s="11"/>
      <x:c r="I444" s="9"/>
      <x:c r="J444" s="9"/>
      <x:c r="K444" s="12" t="str">
        <x:f>IF(A444="","",IF(ISNUMBER(H444),H444-'Tableau de bord'!$F$5,""))</x:f>
      </x:c>
      <x:c r="L444" s="12" t="str">
        <x:f>IF(A444="","",IF(ISNUMBER(H444),IF(K444&lt;0,"Expiré",IF(K444&lt;='Paramètres'!$E$6,"À renouveler","À jour")),"À compléter"))</x:f>
      </x:c>
      <x:c r="M444" s="9"/>
    </x:row>
    <x:row r="445" ht="23" customHeight="1">
      <x:c r="A445" s="9"/>
      <x:c r="B445" s="9"/>
      <x:c r="C445" s="9"/>
      <x:c r="D445" s="9"/>
      <x:c r="E445" s="9"/>
      <x:c r="F445" s="9"/>
      <x:c r="G445" s="11"/>
      <x:c r="H445" s="11"/>
      <x:c r="I445" s="9"/>
      <x:c r="J445" s="9"/>
      <x:c r="K445" s="12" t="str">
        <x:f>IF(A445="","",IF(ISNUMBER(H445),H445-'Tableau de bord'!$F$5,""))</x:f>
      </x:c>
      <x:c r="L445" s="12" t="str">
        <x:f>IF(A445="","",IF(ISNUMBER(H445),IF(K445&lt;0,"Expiré",IF(K445&lt;='Paramètres'!$E$6,"À renouveler","À jour")),"À compléter"))</x:f>
      </x:c>
      <x:c r="M445" s="9"/>
    </x:row>
    <x:row r="446" ht="23" customHeight="1">
      <x:c r="A446" s="9"/>
      <x:c r="B446" s="9"/>
      <x:c r="C446" s="9"/>
      <x:c r="D446" s="9"/>
      <x:c r="E446" s="9"/>
      <x:c r="F446" s="9"/>
      <x:c r="G446" s="11"/>
      <x:c r="H446" s="11"/>
      <x:c r="I446" s="9"/>
      <x:c r="J446" s="9"/>
      <x:c r="K446" s="12" t="str">
        <x:f>IF(A446="","",IF(ISNUMBER(H446),H446-'Tableau de bord'!$F$5,""))</x:f>
      </x:c>
      <x:c r="L446" s="12" t="str">
        <x:f>IF(A446="","",IF(ISNUMBER(H446),IF(K446&lt;0,"Expiré",IF(K446&lt;='Paramètres'!$E$6,"À renouveler","À jour")),"À compléter"))</x:f>
      </x:c>
      <x:c r="M446" s="9"/>
    </x:row>
    <x:row r="447" ht="23" customHeight="1">
      <x:c r="A447" s="9"/>
      <x:c r="B447" s="9"/>
      <x:c r="C447" s="9"/>
      <x:c r="D447" s="9"/>
      <x:c r="E447" s="9"/>
      <x:c r="F447" s="9"/>
      <x:c r="G447" s="11"/>
      <x:c r="H447" s="11"/>
      <x:c r="I447" s="9"/>
      <x:c r="J447" s="9"/>
      <x:c r="K447" s="12" t="str">
        <x:f>IF(A447="","",IF(ISNUMBER(H447),H447-'Tableau de bord'!$F$5,""))</x:f>
      </x:c>
      <x:c r="L447" s="12" t="str">
        <x:f>IF(A447="","",IF(ISNUMBER(H447),IF(K447&lt;0,"Expiré",IF(K447&lt;='Paramètres'!$E$6,"À renouveler","À jour")),"À compléter"))</x:f>
      </x:c>
      <x:c r="M447" s="9"/>
    </x:row>
    <x:row r="448" ht="23" customHeight="1">
      <x:c r="A448" s="9"/>
      <x:c r="B448" s="9"/>
      <x:c r="C448" s="9"/>
      <x:c r="D448" s="9"/>
      <x:c r="E448" s="9"/>
      <x:c r="F448" s="9"/>
      <x:c r="G448" s="11"/>
      <x:c r="H448" s="11"/>
      <x:c r="I448" s="9"/>
      <x:c r="J448" s="9"/>
      <x:c r="K448" s="12" t="str">
        <x:f>IF(A448="","",IF(ISNUMBER(H448),H448-'Tableau de bord'!$F$5,""))</x:f>
      </x:c>
      <x:c r="L448" s="12" t="str">
        <x:f>IF(A448="","",IF(ISNUMBER(H448),IF(K448&lt;0,"Expiré",IF(K448&lt;='Paramètres'!$E$6,"À renouveler","À jour")),"À compléter"))</x:f>
      </x:c>
      <x:c r="M448" s="9"/>
    </x:row>
    <x:row r="449" ht="23" customHeight="1">
      <x:c r="A449" s="9"/>
      <x:c r="B449" s="9"/>
      <x:c r="C449" s="9"/>
      <x:c r="D449" s="9"/>
      <x:c r="E449" s="9"/>
      <x:c r="F449" s="9"/>
      <x:c r="G449" s="11"/>
      <x:c r="H449" s="11"/>
      <x:c r="I449" s="9"/>
      <x:c r="J449" s="9"/>
      <x:c r="K449" s="12" t="str">
        <x:f>IF(A449="","",IF(ISNUMBER(H449),H449-'Tableau de bord'!$F$5,""))</x:f>
      </x:c>
      <x:c r="L449" s="12" t="str">
        <x:f>IF(A449="","",IF(ISNUMBER(H449),IF(K449&lt;0,"Expiré",IF(K449&lt;='Paramètres'!$E$6,"À renouveler","À jour")),"À compléter"))</x:f>
      </x:c>
      <x:c r="M449" s="9"/>
    </x:row>
    <x:row r="450" ht="23" customHeight="1">
      <x:c r="A450" s="9"/>
      <x:c r="B450" s="9"/>
      <x:c r="C450" s="9"/>
      <x:c r="D450" s="9"/>
      <x:c r="E450" s="9"/>
      <x:c r="F450" s="9"/>
      <x:c r="G450" s="11"/>
      <x:c r="H450" s="11"/>
      <x:c r="I450" s="9"/>
      <x:c r="J450" s="9"/>
      <x:c r="K450" s="12" t="str">
        <x:f>IF(A450="","",IF(ISNUMBER(H450),H450-'Tableau de bord'!$F$5,""))</x:f>
      </x:c>
      <x:c r="L450" s="12" t="str">
        <x:f>IF(A450="","",IF(ISNUMBER(H450),IF(K450&lt;0,"Expiré",IF(K450&lt;='Paramètres'!$E$6,"À renouveler","À jour")),"À compléter"))</x:f>
      </x:c>
      <x:c r="M450" s="9"/>
    </x:row>
    <x:row r="451" ht="23" customHeight="1">
      <x:c r="A451" s="9"/>
      <x:c r="B451" s="9"/>
      <x:c r="C451" s="9"/>
      <x:c r="D451" s="9"/>
      <x:c r="E451" s="9"/>
      <x:c r="F451" s="9"/>
      <x:c r="G451" s="11"/>
      <x:c r="H451" s="11"/>
      <x:c r="I451" s="9"/>
      <x:c r="J451" s="9"/>
      <x:c r="K451" s="12" t="str">
        <x:f>IF(A451="","",IF(ISNUMBER(H451),H451-'Tableau de bord'!$F$5,""))</x:f>
      </x:c>
      <x:c r="L451" s="12" t="str">
        <x:f>IF(A451="","",IF(ISNUMBER(H451),IF(K451&lt;0,"Expiré",IF(K451&lt;='Paramètres'!$E$6,"À renouveler","À jour")),"À compléter"))</x:f>
      </x:c>
      <x:c r="M451" s="9"/>
    </x:row>
    <x:row r="452" ht="23" customHeight="1">
      <x:c r="A452" s="9"/>
      <x:c r="B452" s="9"/>
      <x:c r="C452" s="9"/>
      <x:c r="D452" s="9"/>
      <x:c r="E452" s="9"/>
      <x:c r="F452" s="9"/>
      <x:c r="G452" s="11"/>
      <x:c r="H452" s="11"/>
      <x:c r="I452" s="9"/>
      <x:c r="J452" s="9"/>
      <x:c r="K452" s="12" t="str">
        <x:f>IF(A452="","",IF(ISNUMBER(H452),H452-'Tableau de bord'!$F$5,""))</x:f>
      </x:c>
      <x:c r="L452" s="12" t="str">
        <x:f>IF(A452="","",IF(ISNUMBER(H452),IF(K452&lt;0,"Expiré",IF(K452&lt;='Paramètres'!$E$6,"À renouveler","À jour")),"À compléter"))</x:f>
      </x:c>
      <x:c r="M452" s="9"/>
    </x:row>
    <x:row r="453" ht="23" customHeight="1">
      <x:c r="A453" s="9"/>
      <x:c r="B453" s="9"/>
      <x:c r="C453" s="9"/>
      <x:c r="D453" s="9"/>
      <x:c r="E453" s="9"/>
      <x:c r="F453" s="9"/>
      <x:c r="G453" s="11"/>
      <x:c r="H453" s="11"/>
      <x:c r="I453" s="9"/>
      <x:c r="J453" s="9"/>
      <x:c r="K453" s="12" t="str">
        <x:f>IF(A453="","",IF(ISNUMBER(H453),H453-'Tableau de bord'!$F$5,""))</x:f>
      </x:c>
      <x:c r="L453" s="12" t="str">
        <x:f>IF(A453="","",IF(ISNUMBER(H453),IF(K453&lt;0,"Expiré",IF(K453&lt;='Paramètres'!$E$6,"À renouveler","À jour")),"À compléter"))</x:f>
      </x:c>
      <x:c r="M453" s="9"/>
    </x:row>
    <x:row r="454" ht="23" customHeight="1">
      <x:c r="A454" s="9"/>
      <x:c r="B454" s="9"/>
      <x:c r="C454" s="9"/>
      <x:c r="D454" s="9"/>
      <x:c r="E454" s="9"/>
      <x:c r="F454" s="9"/>
      <x:c r="G454" s="11"/>
      <x:c r="H454" s="11"/>
      <x:c r="I454" s="9"/>
      <x:c r="J454" s="9"/>
      <x:c r="K454" s="12" t="str">
        <x:f>IF(A454="","",IF(ISNUMBER(H454),H454-'Tableau de bord'!$F$5,""))</x:f>
      </x:c>
      <x:c r="L454" s="12" t="str">
        <x:f>IF(A454="","",IF(ISNUMBER(H454),IF(K454&lt;0,"Expiré",IF(K454&lt;='Paramètres'!$E$6,"À renouveler","À jour")),"À compléter"))</x:f>
      </x:c>
      <x:c r="M454" s="9"/>
    </x:row>
    <x:row r="455" ht="23" customHeight="1">
      <x:c r="A455" s="9"/>
      <x:c r="B455" s="9"/>
      <x:c r="C455" s="9"/>
      <x:c r="D455" s="9"/>
      <x:c r="E455" s="9"/>
      <x:c r="F455" s="9"/>
      <x:c r="G455" s="11"/>
      <x:c r="H455" s="11"/>
      <x:c r="I455" s="9"/>
      <x:c r="J455" s="9"/>
      <x:c r="K455" s="12" t="str">
        <x:f>IF(A455="","",IF(ISNUMBER(H455),H455-'Tableau de bord'!$F$5,""))</x:f>
      </x:c>
      <x:c r="L455" s="12" t="str">
        <x:f>IF(A455="","",IF(ISNUMBER(H455),IF(K455&lt;0,"Expiré",IF(K455&lt;='Paramètres'!$E$6,"À renouveler","À jour")),"À compléter"))</x:f>
      </x:c>
      <x:c r="M455" s="9"/>
    </x:row>
    <x:row r="456" ht="23" customHeight="1">
      <x:c r="A456" s="9"/>
      <x:c r="B456" s="9"/>
      <x:c r="C456" s="9"/>
      <x:c r="D456" s="9"/>
      <x:c r="E456" s="9"/>
      <x:c r="F456" s="9"/>
      <x:c r="G456" s="11"/>
      <x:c r="H456" s="11"/>
      <x:c r="I456" s="9"/>
      <x:c r="J456" s="9"/>
      <x:c r="K456" s="12" t="str">
        <x:f>IF(A456="","",IF(ISNUMBER(H456),H456-'Tableau de bord'!$F$5,""))</x:f>
      </x:c>
      <x:c r="L456" s="12" t="str">
        <x:f>IF(A456="","",IF(ISNUMBER(H456),IF(K456&lt;0,"Expiré",IF(K456&lt;='Paramètres'!$E$6,"À renouveler","À jour")),"À compléter"))</x:f>
      </x:c>
      <x:c r="M456" s="9"/>
    </x:row>
    <x:row r="457" ht="23" customHeight="1">
      <x:c r="A457" s="9"/>
      <x:c r="B457" s="9"/>
      <x:c r="C457" s="9"/>
      <x:c r="D457" s="9"/>
      <x:c r="E457" s="9"/>
      <x:c r="F457" s="9"/>
      <x:c r="G457" s="11"/>
      <x:c r="H457" s="11"/>
      <x:c r="I457" s="9"/>
      <x:c r="J457" s="9"/>
      <x:c r="K457" s="12" t="str">
        <x:f>IF(A457="","",IF(ISNUMBER(H457),H457-'Tableau de bord'!$F$5,""))</x:f>
      </x:c>
      <x:c r="L457" s="12" t="str">
        <x:f>IF(A457="","",IF(ISNUMBER(H457),IF(K457&lt;0,"Expiré",IF(K457&lt;='Paramètres'!$E$6,"À renouveler","À jour")),"À compléter"))</x:f>
      </x:c>
      <x:c r="M457" s="9"/>
    </x:row>
    <x:row r="458" ht="23" customHeight="1">
      <x:c r="A458" s="9"/>
      <x:c r="B458" s="9"/>
      <x:c r="C458" s="9"/>
      <x:c r="D458" s="9"/>
      <x:c r="E458" s="9"/>
      <x:c r="F458" s="9"/>
      <x:c r="G458" s="11"/>
      <x:c r="H458" s="11"/>
      <x:c r="I458" s="9"/>
      <x:c r="J458" s="9"/>
      <x:c r="K458" s="12" t="str">
        <x:f>IF(A458="","",IF(ISNUMBER(H458),H458-'Tableau de bord'!$F$5,""))</x:f>
      </x:c>
      <x:c r="L458" s="12" t="str">
        <x:f>IF(A458="","",IF(ISNUMBER(H458),IF(K458&lt;0,"Expiré",IF(K458&lt;='Paramètres'!$E$6,"À renouveler","À jour")),"À compléter"))</x:f>
      </x:c>
      <x:c r="M458" s="9"/>
    </x:row>
    <x:row r="459" ht="23" customHeight="1">
      <x:c r="A459" s="9"/>
      <x:c r="B459" s="9"/>
      <x:c r="C459" s="9"/>
      <x:c r="D459" s="9"/>
      <x:c r="E459" s="9"/>
      <x:c r="F459" s="9"/>
      <x:c r="G459" s="11"/>
      <x:c r="H459" s="11"/>
      <x:c r="I459" s="9"/>
      <x:c r="J459" s="9"/>
      <x:c r="K459" s="12" t="str">
        <x:f>IF(A459="","",IF(ISNUMBER(H459),H459-'Tableau de bord'!$F$5,""))</x:f>
      </x:c>
      <x:c r="L459" s="12" t="str">
        <x:f>IF(A459="","",IF(ISNUMBER(H459),IF(K459&lt;0,"Expiré",IF(K459&lt;='Paramètres'!$E$6,"À renouveler","À jour")),"À compléter"))</x:f>
      </x:c>
      <x:c r="M459" s="9"/>
    </x:row>
    <x:row r="460" ht="23" customHeight="1">
      <x:c r="A460" s="9"/>
      <x:c r="B460" s="9"/>
      <x:c r="C460" s="9"/>
      <x:c r="D460" s="9"/>
      <x:c r="E460" s="9"/>
      <x:c r="F460" s="9"/>
      <x:c r="G460" s="11"/>
      <x:c r="H460" s="11"/>
      <x:c r="I460" s="9"/>
      <x:c r="J460" s="9"/>
      <x:c r="K460" s="12" t="str">
        <x:f>IF(A460="","",IF(ISNUMBER(H460),H460-'Tableau de bord'!$F$5,""))</x:f>
      </x:c>
      <x:c r="L460" s="12" t="str">
        <x:f>IF(A460="","",IF(ISNUMBER(H460),IF(K460&lt;0,"Expiré",IF(K460&lt;='Paramètres'!$E$6,"À renouveler","À jour")),"À compléter"))</x:f>
      </x:c>
      <x:c r="M460" s="9"/>
    </x:row>
    <x:row r="461" ht="23" customHeight="1">
      <x:c r="A461" s="9"/>
      <x:c r="B461" s="9"/>
      <x:c r="C461" s="9"/>
      <x:c r="D461" s="9"/>
      <x:c r="E461" s="9"/>
      <x:c r="F461" s="9"/>
      <x:c r="G461" s="11"/>
      <x:c r="H461" s="11"/>
      <x:c r="I461" s="9"/>
      <x:c r="J461" s="9"/>
      <x:c r="K461" s="12" t="str">
        <x:f>IF(A461="","",IF(ISNUMBER(H461),H461-'Tableau de bord'!$F$5,""))</x:f>
      </x:c>
      <x:c r="L461" s="12" t="str">
        <x:f>IF(A461="","",IF(ISNUMBER(H461),IF(K461&lt;0,"Expiré",IF(K461&lt;='Paramètres'!$E$6,"À renouveler","À jour")),"À compléter"))</x:f>
      </x:c>
      <x:c r="M461" s="9"/>
    </x:row>
    <x:row r="462" ht="23" customHeight="1">
      <x:c r="A462" s="9"/>
      <x:c r="B462" s="9"/>
      <x:c r="C462" s="9"/>
      <x:c r="D462" s="9"/>
      <x:c r="E462" s="9"/>
      <x:c r="F462" s="9"/>
      <x:c r="G462" s="11"/>
      <x:c r="H462" s="11"/>
      <x:c r="I462" s="9"/>
      <x:c r="J462" s="9"/>
      <x:c r="K462" s="12" t="str">
        <x:f>IF(A462="","",IF(ISNUMBER(H462),H462-'Tableau de bord'!$F$5,""))</x:f>
      </x:c>
      <x:c r="L462" s="12" t="str">
        <x:f>IF(A462="","",IF(ISNUMBER(H462),IF(K462&lt;0,"Expiré",IF(K462&lt;='Paramètres'!$E$6,"À renouveler","À jour")),"À compléter"))</x:f>
      </x:c>
      <x:c r="M462" s="9"/>
    </x:row>
    <x:row r="463" ht="23" customHeight="1">
      <x:c r="A463" s="9"/>
      <x:c r="B463" s="9"/>
      <x:c r="C463" s="9"/>
      <x:c r="D463" s="9"/>
      <x:c r="E463" s="9"/>
      <x:c r="F463" s="9"/>
      <x:c r="G463" s="11"/>
      <x:c r="H463" s="11"/>
      <x:c r="I463" s="9"/>
      <x:c r="J463" s="9"/>
      <x:c r="K463" s="12" t="str">
        <x:f>IF(A463="","",IF(ISNUMBER(H463),H463-'Tableau de bord'!$F$5,""))</x:f>
      </x:c>
      <x:c r="L463" s="12" t="str">
        <x:f>IF(A463="","",IF(ISNUMBER(H463),IF(K463&lt;0,"Expiré",IF(K463&lt;='Paramètres'!$E$6,"À renouveler","À jour")),"À compléter"))</x:f>
      </x:c>
      <x:c r="M463" s="9"/>
    </x:row>
    <x:row r="464" ht="23" customHeight="1">
      <x:c r="A464" s="9"/>
      <x:c r="B464" s="9"/>
      <x:c r="C464" s="9"/>
      <x:c r="D464" s="9"/>
      <x:c r="E464" s="9"/>
      <x:c r="F464" s="9"/>
      <x:c r="G464" s="11"/>
      <x:c r="H464" s="11"/>
      <x:c r="I464" s="9"/>
      <x:c r="J464" s="9"/>
      <x:c r="K464" s="12" t="str">
        <x:f>IF(A464="","",IF(ISNUMBER(H464),H464-'Tableau de bord'!$F$5,""))</x:f>
      </x:c>
      <x:c r="L464" s="12" t="str">
        <x:f>IF(A464="","",IF(ISNUMBER(H464),IF(K464&lt;0,"Expiré",IF(K464&lt;='Paramètres'!$E$6,"À renouveler","À jour")),"À compléter"))</x:f>
      </x:c>
      <x:c r="M464" s="9"/>
    </x:row>
    <x:row r="465" ht="23" customHeight="1">
      <x:c r="A465" s="9"/>
      <x:c r="B465" s="9"/>
      <x:c r="C465" s="9"/>
      <x:c r="D465" s="9"/>
      <x:c r="E465" s="9"/>
      <x:c r="F465" s="9"/>
      <x:c r="G465" s="11"/>
      <x:c r="H465" s="11"/>
      <x:c r="I465" s="9"/>
      <x:c r="J465" s="9"/>
      <x:c r="K465" s="12" t="str">
        <x:f>IF(A465="","",IF(ISNUMBER(H465),H465-'Tableau de bord'!$F$5,""))</x:f>
      </x:c>
      <x:c r="L465" s="12" t="str">
        <x:f>IF(A465="","",IF(ISNUMBER(H465),IF(K465&lt;0,"Expiré",IF(K465&lt;='Paramètres'!$E$6,"À renouveler","À jour")),"À compléter"))</x:f>
      </x:c>
      <x:c r="M465" s="9"/>
    </x:row>
    <x:row r="466" ht="23" customHeight="1">
      <x:c r="A466" s="9"/>
      <x:c r="B466" s="9"/>
      <x:c r="C466" s="9"/>
      <x:c r="D466" s="9"/>
      <x:c r="E466" s="9"/>
      <x:c r="F466" s="9"/>
      <x:c r="G466" s="11"/>
      <x:c r="H466" s="11"/>
      <x:c r="I466" s="9"/>
      <x:c r="J466" s="9"/>
      <x:c r="K466" s="12" t="str">
        <x:f>IF(A466="","",IF(ISNUMBER(H466),H466-'Tableau de bord'!$F$5,""))</x:f>
      </x:c>
      <x:c r="L466" s="12" t="str">
        <x:f>IF(A466="","",IF(ISNUMBER(H466),IF(K466&lt;0,"Expiré",IF(K466&lt;='Paramètres'!$E$6,"À renouveler","À jour")),"À compléter"))</x:f>
      </x:c>
      <x:c r="M466" s="9"/>
    </x:row>
    <x:row r="467" ht="23" customHeight="1">
      <x:c r="A467" s="9"/>
      <x:c r="B467" s="9"/>
      <x:c r="C467" s="9"/>
      <x:c r="D467" s="9"/>
      <x:c r="E467" s="9"/>
      <x:c r="F467" s="9"/>
      <x:c r="G467" s="11"/>
      <x:c r="H467" s="11"/>
      <x:c r="I467" s="9"/>
      <x:c r="J467" s="9"/>
      <x:c r="K467" s="12" t="str">
        <x:f>IF(A467="","",IF(ISNUMBER(H467),H467-'Tableau de bord'!$F$5,""))</x:f>
      </x:c>
      <x:c r="L467" s="12" t="str">
        <x:f>IF(A467="","",IF(ISNUMBER(H467),IF(K467&lt;0,"Expiré",IF(K467&lt;='Paramètres'!$E$6,"À renouveler","À jour")),"À compléter"))</x:f>
      </x:c>
      <x:c r="M467" s="9"/>
    </x:row>
    <x:row r="468" ht="23" customHeight="1">
      <x:c r="A468" s="9"/>
      <x:c r="B468" s="9"/>
      <x:c r="C468" s="9"/>
      <x:c r="D468" s="9"/>
      <x:c r="E468" s="9"/>
      <x:c r="F468" s="9"/>
      <x:c r="G468" s="11"/>
      <x:c r="H468" s="11"/>
      <x:c r="I468" s="9"/>
      <x:c r="J468" s="9"/>
      <x:c r="K468" s="12" t="str">
        <x:f>IF(A468="","",IF(ISNUMBER(H468),H468-'Tableau de bord'!$F$5,""))</x:f>
      </x:c>
      <x:c r="L468" s="12" t="str">
        <x:f>IF(A468="","",IF(ISNUMBER(H468),IF(K468&lt;0,"Expiré",IF(K468&lt;='Paramètres'!$E$6,"À renouveler","À jour")),"À compléter"))</x:f>
      </x:c>
      <x:c r="M468" s="9"/>
    </x:row>
    <x:row r="469" ht="23" customHeight="1">
      <x:c r="A469" s="9"/>
      <x:c r="B469" s="9"/>
      <x:c r="C469" s="9"/>
      <x:c r="D469" s="9"/>
      <x:c r="E469" s="9"/>
      <x:c r="F469" s="9"/>
      <x:c r="G469" s="11"/>
      <x:c r="H469" s="11"/>
      <x:c r="I469" s="9"/>
      <x:c r="J469" s="9"/>
      <x:c r="K469" s="12" t="str">
        <x:f>IF(A469="","",IF(ISNUMBER(H469),H469-'Tableau de bord'!$F$5,""))</x:f>
      </x:c>
      <x:c r="L469" s="12" t="str">
        <x:f>IF(A469="","",IF(ISNUMBER(H469),IF(K469&lt;0,"Expiré",IF(K469&lt;='Paramètres'!$E$6,"À renouveler","À jour")),"À compléter"))</x:f>
      </x:c>
      <x:c r="M469" s="9"/>
    </x:row>
    <x:row r="470" ht="23" customHeight="1">
      <x:c r="A470" s="9"/>
      <x:c r="B470" s="9"/>
      <x:c r="C470" s="9"/>
      <x:c r="D470" s="9"/>
      <x:c r="E470" s="9"/>
      <x:c r="F470" s="9"/>
      <x:c r="G470" s="11"/>
      <x:c r="H470" s="11"/>
      <x:c r="I470" s="9"/>
      <x:c r="J470" s="9"/>
      <x:c r="K470" s="12" t="str">
        <x:f>IF(A470="","",IF(ISNUMBER(H470),H470-'Tableau de bord'!$F$5,""))</x:f>
      </x:c>
      <x:c r="L470" s="12" t="str">
        <x:f>IF(A470="","",IF(ISNUMBER(H470),IF(K470&lt;0,"Expiré",IF(K470&lt;='Paramètres'!$E$6,"À renouveler","À jour")),"À compléter"))</x:f>
      </x:c>
      <x:c r="M470" s="9"/>
    </x:row>
    <x:row r="471" ht="23" customHeight="1">
      <x:c r="A471" s="9"/>
      <x:c r="B471" s="9"/>
      <x:c r="C471" s="9"/>
      <x:c r="D471" s="9"/>
      <x:c r="E471" s="9"/>
      <x:c r="F471" s="9"/>
      <x:c r="G471" s="11"/>
      <x:c r="H471" s="11"/>
      <x:c r="I471" s="9"/>
      <x:c r="J471" s="9"/>
      <x:c r="K471" s="12" t="str">
        <x:f>IF(A471="","",IF(ISNUMBER(H471),H471-'Tableau de bord'!$F$5,""))</x:f>
      </x:c>
      <x:c r="L471" s="12" t="str">
        <x:f>IF(A471="","",IF(ISNUMBER(H471),IF(K471&lt;0,"Expiré",IF(K471&lt;='Paramètres'!$E$6,"À renouveler","À jour")),"À compléter"))</x:f>
      </x:c>
      <x:c r="M471" s="9"/>
    </x:row>
    <x:row r="472" ht="23" customHeight="1">
      <x:c r="A472" s="9"/>
      <x:c r="B472" s="9"/>
      <x:c r="C472" s="9"/>
      <x:c r="D472" s="9"/>
      <x:c r="E472" s="9"/>
      <x:c r="F472" s="9"/>
      <x:c r="G472" s="11"/>
      <x:c r="H472" s="11"/>
      <x:c r="I472" s="9"/>
      <x:c r="J472" s="9"/>
      <x:c r="K472" s="12" t="str">
        <x:f>IF(A472="","",IF(ISNUMBER(H472),H472-'Tableau de bord'!$F$5,""))</x:f>
      </x:c>
      <x:c r="L472" s="12" t="str">
        <x:f>IF(A472="","",IF(ISNUMBER(H472),IF(K472&lt;0,"Expiré",IF(K472&lt;='Paramètres'!$E$6,"À renouveler","À jour")),"À compléter"))</x:f>
      </x:c>
      <x:c r="M472" s="9"/>
    </x:row>
    <x:row r="473" ht="23" customHeight="1">
      <x:c r="A473" s="9"/>
      <x:c r="B473" s="9"/>
      <x:c r="C473" s="9"/>
      <x:c r="D473" s="9"/>
      <x:c r="E473" s="9"/>
      <x:c r="F473" s="9"/>
      <x:c r="G473" s="11"/>
      <x:c r="H473" s="11"/>
      <x:c r="I473" s="9"/>
      <x:c r="J473" s="9"/>
      <x:c r="K473" s="12" t="str">
        <x:f>IF(A473="","",IF(ISNUMBER(H473),H473-'Tableau de bord'!$F$5,""))</x:f>
      </x:c>
      <x:c r="L473" s="12" t="str">
        <x:f>IF(A473="","",IF(ISNUMBER(H473),IF(K473&lt;0,"Expiré",IF(K473&lt;='Paramètres'!$E$6,"À renouveler","À jour")),"À compléter"))</x:f>
      </x:c>
      <x:c r="M473" s="9"/>
    </x:row>
    <x:row r="474" ht="23" customHeight="1">
      <x:c r="A474" s="9"/>
      <x:c r="B474" s="9"/>
      <x:c r="C474" s="9"/>
      <x:c r="D474" s="9"/>
      <x:c r="E474" s="9"/>
      <x:c r="F474" s="9"/>
      <x:c r="G474" s="11"/>
      <x:c r="H474" s="11"/>
      <x:c r="I474" s="9"/>
      <x:c r="J474" s="9"/>
      <x:c r="K474" s="12" t="str">
        <x:f>IF(A474="","",IF(ISNUMBER(H474),H474-'Tableau de bord'!$F$5,""))</x:f>
      </x:c>
      <x:c r="L474" s="12" t="str">
        <x:f>IF(A474="","",IF(ISNUMBER(H474),IF(K474&lt;0,"Expiré",IF(K474&lt;='Paramètres'!$E$6,"À renouveler","À jour")),"À compléter"))</x:f>
      </x:c>
      <x:c r="M474" s="9"/>
    </x:row>
    <x:row r="475" ht="23" customHeight="1">
      <x:c r="A475" s="9"/>
      <x:c r="B475" s="9"/>
      <x:c r="C475" s="9"/>
      <x:c r="D475" s="9"/>
      <x:c r="E475" s="9"/>
      <x:c r="F475" s="9"/>
      <x:c r="G475" s="11"/>
      <x:c r="H475" s="11"/>
      <x:c r="I475" s="9"/>
      <x:c r="J475" s="9"/>
      <x:c r="K475" s="12" t="str">
        <x:f>IF(A475="","",IF(ISNUMBER(H475),H475-'Tableau de bord'!$F$5,""))</x:f>
      </x:c>
      <x:c r="L475" s="12" t="str">
        <x:f>IF(A475="","",IF(ISNUMBER(H475),IF(K475&lt;0,"Expiré",IF(K475&lt;='Paramètres'!$E$6,"À renouveler","À jour")),"À compléter"))</x:f>
      </x:c>
      <x:c r="M475" s="9"/>
    </x:row>
    <x:row r="476" ht="23" customHeight="1">
      <x:c r="A476" s="9"/>
      <x:c r="B476" s="9"/>
      <x:c r="C476" s="9"/>
      <x:c r="D476" s="9"/>
      <x:c r="E476" s="9"/>
      <x:c r="F476" s="9"/>
      <x:c r="G476" s="11"/>
      <x:c r="H476" s="11"/>
      <x:c r="I476" s="9"/>
      <x:c r="J476" s="9"/>
      <x:c r="K476" s="12" t="str">
        <x:f>IF(A476="","",IF(ISNUMBER(H476),H476-'Tableau de bord'!$F$5,""))</x:f>
      </x:c>
      <x:c r="L476" s="12" t="str">
        <x:f>IF(A476="","",IF(ISNUMBER(H476),IF(K476&lt;0,"Expiré",IF(K476&lt;='Paramètres'!$E$6,"À renouveler","À jour")),"À compléter"))</x:f>
      </x:c>
      <x:c r="M476" s="9"/>
    </x:row>
    <x:row r="477" ht="23" customHeight="1">
      <x:c r="A477" s="9"/>
      <x:c r="B477" s="9"/>
      <x:c r="C477" s="9"/>
      <x:c r="D477" s="9"/>
      <x:c r="E477" s="9"/>
      <x:c r="F477" s="9"/>
      <x:c r="G477" s="11"/>
      <x:c r="H477" s="11"/>
      <x:c r="I477" s="9"/>
      <x:c r="J477" s="9"/>
      <x:c r="K477" s="12" t="str">
        <x:f>IF(A477="","",IF(ISNUMBER(H477),H477-'Tableau de bord'!$F$5,""))</x:f>
      </x:c>
      <x:c r="L477" s="12" t="str">
        <x:f>IF(A477="","",IF(ISNUMBER(H477),IF(K477&lt;0,"Expiré",IF(K477&lt;='Paramètres'!$E$6,"À renouveler","À jour")),"À compléter"))</x:f>
      </x:c>
      <x:c r="M477" s="9"/>
    </x:row>
    <x:row r="478" ht="23" customHeight="1">
      <x:c r="A478" s="9"/>
      <x:c r="B478" s="9"/>
      <x:c r="C478" s="9"/>
      <x:c r="D478" s="9"/>
      <x:c r="E478" s="9"/>
      <x:c r="F478" s="9"/>
      <x:c r="G478" s="11"/>
      <x:c r="H478" s="11"/>
      <x:c r="I478" s="9"/>
      <x:c r="J478" s="9"/>
      <x:c r="K478" s="12" t="str">
        <x:f>IF(A478="","",IF(ISNUMBER(H478),H478-'Tableau de bord'!$F$5,""))</x:f>
      </x:c>
      <x:c r="L478" s="12" t="str">
        <x:f>IF(A478="","",IF(ISNUMBER(H478),IF(K478&lt;0,"Expiré",IF(K478&lt;='Paramètres'!$E$6,"À renouveler","À jour")),"À compléter"))</x:f>
      </x:c>
      <x:c r="M478" s="9"/>
    </x:row>
    <x:row r="479" ht="23" customHeight="1">
      <x:c r="A479" s="9"/>
      <x:c r="B479" s="9"/>
      <x:c r="C479" s="9"/>
      <x:c r="D479" s="9"/>
      <x:c r="E479" s="9"/>
      <x:c r="F479" s="9"/>
      <x:c r="G479" s="11"/>
      <x:c r="H479" s="11"/>
      <x:c r="I479" s="9"/>
      <x:c r="J479" s="9"/>
      <x:c r="K479" s="12" t="str">
        <x:f>IF(A479="","",IF(ISNUMBER(H479),H479-'Tableau de bord'!$F$5,""))</x:f>
      </x:c>
      <x:c r="L479" s="12" t="str">
        <x:f>IF(A479="","",IF(ISNUMBER(H479),IF(K479&lt;0,"Expiré",IF(K479&lt;='Paramètres'!$E$6,"À renouveler","À jour")),"À compléter"))</x:f>
      </x:c>
      <x:c r="M479" s="9"/>
    </x:row>
    <x:row r="480" ht="23" customHeight="1">
      <x:c r="A480" s="9"/>
      <x:c r="B480" s="9"/>
      <x:c r="C480" s="9"/>
      <x:c r="D480" s="9"/>
      <x:c r="E480" s="9"/>
      <x:c r="F480" s="9"/>
      <x:c r="G480" s="11"/>
      <x:c r="H480" s="11"/>
      <x:c r="I480" s="9"/>
      <x:c r="J480" s="9"/>
      <x:c r="K480" s="12" t="str">
        <x:f>IF(A480="","",IF(ISNUMBER(H480),H480-'Tableau de bord'!$F$5,""))</x:f>
      </x:c>
      <x:c r="L480" s="12" t="str">
        <x:f>IF(A480="","",IF(ISNUMBER(H480),IF(K480&lt;0,"Expiré",IF(K480&lt;='Paramètres'!$E$6,"À renouveler","À jour")),"À compléter"))</x:f>
      </x:c>
      <x:c r="M480" s="9"/>
    </x:row>
    <x:row r="481" ht="23" customHeight="1">
      <x:c r="A481" s="9"/>
      <x:c r="B481" s="9"/>
      <x:c r="C481" s="9"/>
      <x:c r="D481" s="9"/>
      <x:c r="E481" s="9"/>
      <x:c r="F481" s="9"/>
      <x:c r="G481" s="11"/>
      <x:c r="H481" s="11"/>
      <x:c r="I481" s="9"/>
      <x:c r="J481" s="9"/>
      <x:c r="K481" s="12" t="str">
        <x:f>IF(A481="","",IF(ISNUMBER(H481),H481-'Tableau de bord'!$F$5,""))</x:f>
      </x:c>
      <x:c r="L481" s="12" t="str">
        <x:f>IF(A481="","",IF(ISNUMBER(H481),IF(K481&lt;0,"Expiré",IF(K481&lt;='Paramètres'!$E$6,"À renouveler","À jour")),"À compléter"))</x:f>
      </x:c>
      <x:c r="M481" s="9"/>
    </x:row>
    <x:row r="482" ht="23" customHeight="1">
      <x:c r="A482" s="9"/>
      <x:c r="B482" s="9"/>
      <x:c r="C482" s="9"/>
      <x:c r="D482" s="9"/>
      <x:c r="E482" s="9"/>
      <x:c r="F482" s="9"/>
      <x:c r="G482" s="11"/>
      <x:c r="H482" s="11"/>
      <x:c r="I482" s="9"/>
      <x:c r="J482" s="9"/>
      <x:c r="K482" s="12" t="str">
        <x:f>IF(A482="","",IF(ISNUMBER(H482),H482-'Tableau de bord'!$F$5,""))</x:f>
      </x:c>
      <x:c r="L482" s="12" t="str">
        <x:f>IF(A482="","",IF(ISNUMBER(H482),IF(K482&lt;0,"Expiré",IF(K482&lt;='Paramètres'!$E$6,"À renouveler","À jour")),"À compléter"))</x:f>
      </x:c>
      <x:c r="M482" s="9"/>
    </x:row>
    <x:row r="483" ht="23" customHeight="1">
      <x:c r="A483" s="9"/>
      <x:c r="B483" s="9"/>
      <x:c r="C483" s="9"/>
      <x:c r="D483" s="9"/>
      <x:c r="E483" s="9"/>
      <x:c r="F483" s="9"/>
      <x:c r="G483" s="11"/>
      <x:c r="H483" s="11"/>
      <x:c r="I483" s="9"/>
      <x:c r="J483" s="9"/>
      <x:c r="K483" s="12" t="str">
        <x:f>IF(A483="","",IF(ISNUMBER(H483),H483-'Tableau de bord'!$F$5,""))</x:f>
      </x:c>
      <x:c r="L483" s="12" t="str">
        <x:f>IF(A483="","",IF(ISNUMBER(H483),IF(K483&lt;0,"Expiré",IF(K483&lt;='Paramètres'!$E$6,"À renouveler","À jour")),"À compléter"))</x:f>
      </x:c>
      <x:c r="M483" s="9"/>
    </x:row>
    <x:row r="484" ht="23" customHeight="1">
      <x:c r="A484" s="9"/>
      <x:c r="B484" s="9"/>
      <x:c r="C484" s="9"/>
      <x:c r="D484" s="9"/>
      <x:c r="E484" s="9"/>
      <x:c r="F484" s="9"/>
      <x:c r="G484" s="11"/>
      <x:c r="H484" s="11"/>
      <x:c r="I484" s="9"/>
      <x:c r="J484" s="9"/>
      <x:c r="K484" s="12" t="str">
        <x:f>IF(A484="","",IF(ISNUMBER(H484),H484-'Tableau de bord'!$F$5,""))</x:f>
      </x:c>
      <x:c r="L484" s="12" t="str">
        <x:f>IF(A484="","",IF(ISNUMBER(H484),IF(K484&lt;0,"Expiré",IF(K484&lt;='Paramètres'!$E$6,"À renouveler","À jour")),"À compléter"))</x:f>
      </x:c>
      <x:c r="M484" s="9"/>
    </x:row>
    <x:row r="485" ht="23" customHeight="1">
      <x:c r="A485" s="9"/>
      <x:c r="B485" s="9"/>
      <x:c r="C485" s="9"/>
      <x:c r="D485" s="9"/>
      <x:c r="E485" s="9"/>
      <x:c r="F485" s="9"/>
      <x:c r="G485" s="11"/>
      <x:c r="H485" s="11"/>
      <x:c r="I485" s="9"/>
      <x:c r="J485" s="9"/>
      <x:c r="K485" s="12" t="str">
        <x:f>IF(A485="","",IF(ISNUMBER(H485),H485-'Tableau de bord'!$F$5,""))</x:f>
      </x:c>
      <x:c r="L485" s="12" t="str">
        <x:f>IF(A485="","",IF(ISNUMBER(H485),IF(K485&lt;0,"Expiré",IF(K485&lt;='Paramètres'!$E$6,"À renouveler","À jour")),"À compléter"))</x:f>
      </x:c>
      <x:c r="M485" s="9"/>
    </x:row>
    <x:row r="486" ht="23" customHeight="1">
      <x:c r="A486" s="9"/>
      <x:c r="B486" s="9"/>
      <x:c r="C486" s="9"/>
      <x:c r="D486" s="9"/>
      <x:c r="E486" s="9"/>
      <x:c r="F486" s="9"/>
      <x:c r="G486" s="11"/>
      <x:c r="H486" s="11"/>
      <x:c r="I486" s="9"/>
      <x:c r="J486" s="9"/>
      <x:c r="K486" s="12" t="str">
        <x:f>IF(A486="","",IF(ISNUMBER(H486),H486-'Tableau de bord'!$F$5,""))</x:f>
      </x:c>
      <x:c r="L486" s="12" t="str">
        <x:f>IF(A486="","",IF(ISNUMBER(H486),IF(K486&lt;0,"Expiré",IF(K486&lt;='Paramètres'!$E$6,"À renouveler","À jour")),"À compléter"))</x:f>
      </x:c>
      <x:c r="M486" s="9"/>
    </x:row>
    <x:row r="487" ht="23" customHeight="1">
      <x:c r="A487" s="9"/>
      <x:c r="B487" s="9"/>
      <x:c r="C487" s="9"/>
      <x:c r="D487" s="9"/>
      <x:c r="E487" s="9"/>
      <x:c r="F487" s="9"/>
      <x:c r="G487" s="11"/>
      <x:c r="H487" s="11"/>
      <x:c r="I487" s="9"/>
      <x:c r="J487" s="9"/>
      <x:c r="K487" s="12" t="str">
        <x:f>IF(A487="","",IF(ISNUMBER(H487),H487-'Tableau de bord'!$F$5,""))</x:f>
      </x:c>
      <x:c r="L487" s="12" t="str">
        <x:f>IF(A487="","",IF(ISNUMBER(H487),IF(K487&lt;0,"Expiré",IF(K487&lt;='Paramètres'!$E$6,"À renouveler","À jour")),"À compléter"))</x:f>
      </x:c>
      <x:c r="M487" s="9"/>
    </x:row>
    <x:row r="488" ht="23" customHeight="1">
      <x:c r="A488" s="9"/>
      <x:c r="B488" s="9"/>
      <x:c r="C488" s="9"/>
      <x:c r="D488" s="9"/>
      <x:c r="E488" s="9"/>
      <x:c r="F488" s="9"/>
      <x:c r="G488" s="11"/>
      <x:c r="H488" s="11"/>
      <x:c r="I488" s="9"/>
      <x:c r="J488" s="9"/>
      <x:c r="K488" s="12" t="str">
        <x:f>IF(A488="","",IF(ISNUMBER(H488),H488-'Tableau de bord'!$F$5,""))</x:f>
      </x:c>
      <x:c r="L488" s="12" t="str">
        <x:f>IF(A488="","",IF(ISNUMBER(H488),IF(K488&lt;0,"Expiré",IF(K488&lt;='Paramètres'!$E$6,"À renouveler","À jour")),"À compléter"))</x:f>
      </x:c>
      <x:c r="M488" s="9"/>
    </x:row>
    <x:row r="489" ht="23" customHeight="1">
      <x:c r="A489" s="9"/>
      <x:c r="B489" s="9"/>
      <x:c r="C489" s="9"/>
      <x:c r="D489" s="9"/>
      <x:c r="E489" s="9"/>
      <x:c r="F489" s="9"/>
      <x:c r="G489" s="11"/>
      <x:c r="H489" s="11"/>
      <x:c r="I489" s="9"/>
      <x:c r="J489" s="9"/>
      <x:c r="K489" s="12" t="str">
        <x:f>IF(A489="","",IF(ISNUMBER(H489),H489-'Tableau de bord'!$F$5,""))</x:f>
      </x:c>
      <x:c r="L489" s="12" t="str">
        <x:f>IF(A489="","",IF(ISNUMBER(H489),IF(K489&lt;0,"Expiré",IF(K489&lt;='Paramètres'!$E$6,"À renouveler","À jour")),"À compléter"))</x:f>
      </x:c>
      <x:c r="M489" s="9"/>
    </x:row>
    <x:row r="490" ht="23" customHeight="1">
      <x:c r="A490" s="9"/>
      <x:c r="B490" s="9"/>
      <x:c r="C490" s="9"/>
      <x:c r="D490" s="9"/>
      <x:c r="E490" s="9"/>
      <x:c r="F490" s="9"/>
      <x:c r="G490" s="11"/>
      <x:c r="H490" s="11"/>
      <x:c r="I490" s="9"/>
      <x:c r="J490" s="9"/>
      <x:c r="K490" s="12" t="str">
        <x:f>IF(A490="","",IF(ISNUMBER(H490),H490-'Tableau de bord'!$F$5,""))</x:f>
      </x:c>
      <x:c r="L490" s="12" t="str">
        <x:f>IF(A490="","",IF(ISNUMBER(H490),IF(K490&lt;0,"Expiré",IF(K490&lt;='Paramètres'!$E$6,"À renouveler","À jour")),"À compléter"))</x:f>
      </x:c>
      <x:c r="M490" s="9"/>
    </x:row>
    <x:row r="491" ht="23" customHeight="1">
      <x:c r="A491" s="9"/>
      <x:c r="B491" s="9"/>
      <x:c r="C491" s="9"/>
      <x:c r="D491" s="9"/>
      <x:c r="E491" s="9"/>
      <x:c r="F491" s="9"/>
      <x:c r="G491" s="11"/>
      <x:c r="H491" s="11"/>
      <x:c r="I491" s="9"/>
      <x:c r="J491" s="9"/>
      <x:c r="K491" s="12" t="str">
        <x:f>IF(A491="","",IF(ISNUMBER(H491),H491-'Tableau de bord'!$F$5,""))</x:f>
      </x:c>
      <x:c r="L491" s="12" t="str">
        <x:f>IF(A491="","",IF(ISNUMBER(H491),IF(K491&lt;0,"Expiré",IF(K491&lt;='Paramètres'!$E$6,"À renouveler","À jour")),"À compléter"))</x:f>
      </x:c>
      <x:c r="M491" s="9"/>
    </x:row>
    <x:row r="492" ht="23" customHeight="1">
      <x:c r="A492" s="9"/>
      <x:c r="B492" s="9"/>
      <x:c r="C492" s="9"/>
      <x:c r="D492" s="9"/>
      <x:c r="E492" s="9"/>
      <x:c r="F492" s="9"/>
      <x:c r="G492" s="11"/>
      <x:c r="H492" s="11"/>
      <x:c r="I492" s="9"/>
      <x:c r="J492" s="9"/>
      <x:c r="K492" s="12" t="str">
        <x:f>IF(A492="","",IF(ISNUMBER(H492),H492-'Tableau de bord'!$F$5,""))</x:f>
      </x:c>
      <x:c r="L492" s="12" t="str">
        <x:f>IF(A492="","",IF(ISNUMBER(H492),IF(K492&lt;0,"Expiré",IF(K492&lt;='Paramètres'!$E$6,"À renouveler","À jour")),"À compléter"))</x:f>
      </x:c>
      <x:c r="M492" s="9"/>
    </x:row>
    <x:row r="493" ht="23" customHeight="1">
      <x:c r="A493" s="9"/>
      <x:c r="B493" s="9"/>
      <x:c r="C493" s="9"/>
      <x:c r="D493" s="9"/>
      <x:c r="E493" s="9"/>
      <x:c r="F493" s="9"/>
      <x:c r="G493" s="11"/>
      <x:c r="H493" s="11"/>
      <x:c r="I493" s="9"/>
      <x:c r="J493" s="9"/>
      <x:c r="K493" s="12" t="str">
        <x:f>IF(A493="","",IF(ISNUMBER(H493),H493-'Tableau de bord'!$F$5,""))</x:f>
      </x:c>
      <x:c r="L493" s="12" t="str">
        <x:f>IF(A493="","",IF(ISNUMBER(H493),IF(K493&lt;0,"Expiré",IF(K493&lt;='Paramètres'!$E$6,"À renouveler","À jour")),"À compléter"))</x:f>
      </x:c>
      <x:c r="M493" s="9"/>
    </x:row>
    <x:row r="494" ht="23" customHeight="1">
      <x:c r="A494" s="9"/>
      <x:c r="B494" s="9"/>
      <x:c r="C494" s="9"/>
      <x:c r="D494" s="9"/>
      <x:c r="E494" s="9"/>
      <x:c r="F494" s="9"/>
      <x:c r="G494" s="11"/>
      <x:c r="H494" s="11"/>
      <x:c r="I494" s="9"/>
      <x:c r="J494" s="9"/>
      <x:c r="K494" s="12" t="str">
        <x:f>IF(A494="","",IF(ISNUMBER(H494),H494-'Tableau de bord'!$F$5,""))</x:f>
      </x:c>
      <x:c r="L494" s="12" t="str">
        <x:f>IF(A494="","",IF(ISNUMBER(H494),IF(K494&lt;0,"Expiré",IF(K494&lt;='Paramètres'!$E$6,"À renouveler","À jour")),"À compléter"))</x:f>
      </x:c>
      <x:c r="M494" s="9"/>
    </x:row>
    <x:row r="495" ht="23" customHeight="1">
      <x:c r="A495" s="9"/>
      <x:c r="B495" s="9"/>
      <x:c r="C495" s="9"/>
      <x:c r="D495" s="9"/>
      <x:c r="E495" s="9"/>
      <x:c r="F495" s="9"/>
      <x:c r="G495" s="11"/>
      <x:c r="H495" s="11"/>
      <x:c r="I495" s="9"/>
      <x:c r="J495" s="9"/>
      <x:c r="K495" s="12" t="str">
        <x:f>IF(A495="","",IF(ISNUMBER(H495),H495-'Tableau de bord'!$F$5,""))</x:f>
      </x:c>
      <x:c r="L495" s="12" t="str">
        <x:f>IF(A495="","",IF(ISNUMBER(H495),IF(K495&lt;0,"Expiré",IF(K495&lt;='Paramètres'!$E$6,"À renouveler","À jour")),"À compléter"))</x:f>
      </x:c>
      <x:c r="M495" s="9"/>
    </x:row>
    <x:row r="496" ht="23" customHeight="1">
      <x:c r="A496" s="9"/>
      <x:c r="B496" s="9"/>
      <x:c r="C496" s="9"/>
      <x:c r="D496" s="9"/>
      <x:c r="E496" s="9"/>
      <x:c r="F496" s="9"/>
      <x:c r="G496" s="11"/>
      <x:c r="H496" s="11"/>
      <x:c r="I496" s="9"/>
      <x:c r="J496" s="9"/>
      <x:c r="K496" s="12" t="str">
        <x:f>IF(A496="","",IF(ISNUMBER(H496),H496-'Tableau de bord'!$F$5,""))</x:f>
      </x:c>
      <x:c r="L496" s="12" t="str">
        <x:f>IF(A496="","",IF(ISNUMBER(H496),IF(K496&lt;0,"Expiré",IF(K496&lt;='Paramètres'!$E$6,"À renouveler","À jour")),"À compléter"))</x:f>
      </x:c>
      <x:c r="M496" s="9"/>
    </x:row>
    <x:row r="497" ht="23" customHeight="1">
      <x:c r="A497" s="9"/>
      <x:c r="B497" s="9"/>
      <x:c r="C497" s="9"/>
      <x:c r="D497" s="9"/>
      <x:c r="E497" s="9"/>
      <x:c r="F497" s="9"/>
      <x:c r="G497" s="11"/>
      <x:c r="H497" s="11"/>
      <x:c r="I497" s="9"/>
      <x:c r="J497" s="9"/>
      <x:c r="K497" s="12" t="str">
        <x:f>IF(A497="","",IF(ISNUMBER(H497),H497-'Tableau de bord'!$F$5,""))</x:f>
      </x:c>
      <x:c r="L497" s="12" t="str">
        <x:f>IF(A497="","",IF(ISNUMBER(H497),IF(K497&lt;0,"Expiré",IF(K497&lt;='Paramètres'!$E$6,"À renouveler","À jour")),"À compléter"))</x:f>
      </x:c>
      <x:c r="M497" s="9"/>
    </x:row>
    <x:row r="498" ht="23" customHeight="1">
      <x:c r="A498" s="9"/>
      <x:c r="B498" s="9"/>
      <x:c r="C498" s="9"/>
      <x:c r="D498" s="9"/>
      <x:c r="E498" s="9"/>
      <x:c r="F498" s="9"/>
      <x:c r="G498" s="11"/>
      <x:c r="H498" s="11"/>
      <x:c r="I498" s="9"/>
      <x:c r="J498" s="9"/>
      <x:c r="K498" s="12" t="str">
        <x:f>IF(A498="","",IF(ISNUMBER(H498),H498-'Tableau de bord'!$F$5,""))</x:f>
      </x:c>
      <x:c r="L498" s="12" t="str">
        <x:f>IF(A498="","",IF(ISNUMBER(H498),IF(K498&lt;0,"Expiré",IF(K498&lt;='Paramètres'!$E$6,"À renouveler","À jour")),"À compléter"))</x:f>
      </x:c>
      <x:c r="M498" s="9"/>
    </x:row>
    <x:row r="499" ht="23" customHeight="1">
      <x:c r="A499" s="9"/>
      <x:c r="B499" s="9"/>
      <x:c r="C499" s="9"/>
      <x:c r="D499" s="9"/>
      <x:c r="E499" s="9"/>
      <x:c r="F499" s="9"/>
      <x:c r="G499" s="11"/>
      <x:c r="H499" s="11"/>
      <x:c r="I499" s="9"/>
      <x:c r="J499" s="9"/>
      <x:c r="K499" s="12" t="str">
        <x:f>IF(A499="","",IF(ISNUMBER(H499),H499-'Tableau de bord'!$F$5,""))</x:f>
      </x:c>
      <x:c r="L499" s="12" t="str">
        <x:f>IF(A499="","",IF(ISNUMBER(H499),IF(K499&lt;0,"Expiré",IF(K499&lt;='Paramètres'!$E$6,"À renouveler","À jour")),"À compléter"))</x:f>
      </x:c>
      <x:c r="M499" s="9"/>
    </x:row>
    <x:row r="500" ht="23" customHeight="1">
      <x:c r="A500" s="9"/>
      <x:c r="B500" s="9"/>
      <x:c r="C500" s="9"/>
      <x:c r="D500" s="9"/>
      <x:c r="E500" s="9"/>
      <x:c r="F500" s="9"/>
      <x:c r="G500" s="11"/>
      <x:c r="H500" s="11"/>
      <x:c r="I500" s="9"/>
      <x:c r="J500" s="9"/>
      <x:c r="K500" s="12" t="str">
        <x:f>IF(A500="","",IF(ISNUMBER(H500),H500-'Tableau de bord'!$F$5,""))</x:f>
      </x:c>
      <x:c r="L500" s="12" t="str">
        <x:f>IF(A500="","",IF(ISNUMBER(H500),IF(K500&lt;0,"Expiré",IF(K500&lt;='Paramètres'!$E$6,"À renouveler","À jour")),"À compléter"))</x:f>
      </x:c>
      <x:c r="M500" s="9"/>
    </x:row>
    <x:row r="501" ht="23" customHeight="1">
      <x:c r="A501" s="9"/>
      <x:c r="B501" s="9"/>
      <x:c r="C501" s="9"/>
      <x:c r="D501" s="9"/>
      <x:c r="E501" s="9"/>
      <x:c r="F501" s="9"/>
      <x:c r="G501" s="11"/>
      <x:c r="H501" s="11"/>
      <x:c r="I501" s="9"/>
      <x:c r="J501" s="9"/>
      <x:c r="K501" s="12" t="str">
        <x:f>IF(A501="","",IF(ISNUMBER(H501),H501-'Tableau de bord'!$F$5,""))</x:f>
      </x:c>
      <x:c r="L501" s="12" t="str">
        <x:f>IF(A501="","",IF(ISNUMBER(H501),IF(K501&lt;0,"Expiré",IF(K501&lt;='Paramètres'!$E$6,"À renouveler","À jour")),"À compléter"))</x:f>
      </x:c>
      <x:c r="M501" s="9"/>
    </x:row>
    <x:row r="502" ht="23" customHeight="1">
      <x:c r="A502" s="9"/>
      <x:c r="B502" s="9"/>
      <x:c r="C502" s="9"/>
      <x:c r="D502" s="9"/>
      <x:c r="E502" s="9"/>
      <x:c r="F502" s="9"/>
      <x:c r="G502" s="11"/>
      <x:c r="H502" s="11"/>
      <x:c r="I502" s="9"/>
      <x:c r="J502" s="9"/>
      <x:c r="K502" s="12" t="str">
        <x:f>IF(A502="","",IF(ISNUMBER(H502),H502-'Tableau de bord'!$F$5,""))</x:f>
      </x:c>
      <x:c r="L502" s="12" t="str">
        <x:f>IF(A502="","",IF(ISNUMBER(H502),IF(K502&lt;0,"Expiré",IF(K502&lt;='Paramètres'!$E$6,"À renouveler","À jour")),"À compléter"))</x:f>
      </x:c>
      <x:c r="M502" s="9"/>
    </x:row>
    <x:row r="503" ht="23" customHeight="1">
      <x:c r="A503" s="9"/>
      <x:c r="B503" s="9"/>
      <x:c r="C503" s="9"/>
      <x:c r="D503" s="9"/>
      <x:c r="E503" s="9"/>
      <x:c r="F503" s="9"/>
      <x:c r="G503" s="11"/>
      <x:c r="H503" s="11"/>
      <x:c r="I503" s="9"/>
      <x:c r="J503" s="9"/>
      <x:c r="K503" s="12" t="str">
        <x:f>IF(A503="","",IF(ISNUMBER(H503),H503-'Tableau de bord'!$F$5,""))</x:f>
      </x:c>
      <x:c r="L503" s="12" t="str">
        <x:f>IF(A503="","",IF(ISNUMBER(H503),IF(K503&lt;0,"Expiré",IF(K503&lt;='Paramètres'!$E$6,"À renouveler","À jour")),"À compléter"))</x:f>
      </x:c>
      <x:c r="M503" s="9"/>
    </x:row>
    <x:row r="504" ht="23" customHeight="1">
      <x:c r="A504" s="9"/>
      <x:c r="B504" s="9"/>
      <x:c r="C504" s="9"/>
      <x:c r="D504" s="9"/>
      <x:c r="E504" s="9"/>
      <x:c r="F504" s="9"/>
      <x:c r="G504" s="11"/>
      <x:c r="H504" s="11"/>
      <x:c r="I504" s="9"/>
      <x:c r="J504" s="9"/>
      <x:c r="K504" s="12" t="str">
        <x:f>IF(A504="","",IF(ISNUMBER(H504),H504-'Tableau de bord'!$F$5,""))</x:f>
      </x:c>
      <x:c r="L504" s="12" t="str">
        <x:f>IF(A504="","",IF(ISNUMBER(H504),IF(K504&lt;0,"Expiré",IF(K504&lt;='Paramètres'!$E$6,"À renouveler","À jour")),"À compléter"))</x:f>
      </x:c>
      <x:c r="M504" s="9"/>
    </x:row>
    <x:row r="505" ht="23" customHeight="1">
      <x:c r="A505" s="9"/>
      <x:c r="B505" s="9"/>
      <x:c r="C505" s="9"/>
      <x:c r="D505" s="9"/>
      <x:c r="E505" s="9"/>
      <x:c r="F505" s="9"/>
      <x:c r="G505" s="11"/>
      <x:c r="H505" s="11"/>
      <x:c r="I505" s="9"/>
      <x:c r="J505" s="9"/>
      <x:c r="K505" s="12" t="str">
        <x:f>IF(A505="","",IF(ISNUMBER(H505),H505-'Tableau de bord'!$F$5,""))</x:f>
      </x:c>
      <x:c r="L505" s="12" t="str">
        <x:f>IF(A505="","",IF(ISNUMBER(H505),IF(K505&lt;0,"Expiré",IF(K505&lt;='Paramètres'!$E$6,"À renouveler","À jour")),"À compléter"))</x:f>
      </x:c>
      <x:c r="M505" s="9"/>
    </x:row>
  </x:sheetData>
  <x:conditionalFormatting sqref="L6:L505">
    <x:cfRule type="containsText" dxfId="36" priority="1" operator="containsText" text="Retard"/>
    <x:cfRule type="containsText" dxfId="37" priority="2" operator="containsText" text="Expiré"/>
    <x:cfRule type="containsText" dxfId="38" priority="3" operator="containsText" text="À compléter"/>
    <x:cfRule type="containsText" dxfId="39" priority="4" operator="containsText" text="Incohérent"/>
    <x:cfRule type="containsText" dxfId="40" priority="5" operator="containsText" text="Doublon"/>
    <x:cfRule type="containsText" dxfId="41" priority="6" operator="containsText" text="À renouveler"/>
  </x:conditionalFormatting>
  <x:dataValidations count="1">
    <x:dataValidation type="list" sqref="A6:A505">
      <x:formula1>'Paramètres'!$A$6:$A$25</x:formula1>
    </x:dataValidation>
  </x:dataValidations>
  <x:pageMargins left="0.7" right="0.7" top="0.75" bottom="0.75" header="0.3" footer="0.3"/>
  <x:tableParts count="1">
    <x:tablePart xmlns:r="http://schemas.openxmlformats.org/officeDocument/2006/relationships" r:id="R66c70e40ba874c0a"/>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16" hidden="0" customWidth="1"/>
    <x:col min="3" max="3" width="35" hidden="0" customWidth="1"/>
    <x:col min="4" max="4" width="20" hidden="0" customWidth="1"/>
    <x:col min="5" max="5" width="22" hidden="0" customWidth="1"/>
    <x:col min="6" max="6" width="16" hidden="0" customWidth="1"/>
    <x:col min="7" max="7" width="16" hidden="0" customWidth="1"/>
    <x:col min="8" max="8" width="16" hidden="0" customWidth="1"/>
    <x:col min="9" max="9" width="29" hidden="0" customWidth="1"/>
    <x:col min="10" max="10" width="66" hidden="0" customWidth="1"/>
    <x:col min="11" max="11" width="44" hidden="0" customWidth="1"/>
    <x:col min="12" max="12" width="24" hidden="0" customWidth="1"/>
    <x:col min="13" max="13" width="18" hidden="0" customWidth="1"/>
    <x:col min="14" max="14" width="26" hidden="0" customWidth="1"/>
    <x:col min="15" max="15" width="42" hidden="0" customWidth="1"/>
  </x:cols>
  <x:sheetData>
    <x:row r="1" ht="23" customHeight="1">
      <x:c r="A1" s="2"/>
      <x:c r="B1" s="2"/>
      <x:c r="C1" s="2"/>
      <x:c r="D1" s="2"/>
      <x:c r="E1" s="2"/>
      <x:c r="F1" s="2"/>
      <x:c r="G1" s="2"/>
      <x:c r="H1" s="2"/>
      <x:c r="I1" s="2"/>
      <x:c r="J1" s="2"/>
      <x:c r="K1" s="2"/>
      <x:c r="L1" s="2"/>
      <x:c r="M1" s="2"/>
      <x:c r="N1" s="2"/>
      <x:c r="O1" s="2"/>
    </x:row>
    <x:row r="2" ht="23" customHeight="1">
      <x:c r="A2" s="3" t="str">
        <x:v>Réclamations</x:v>
      </x:c>
      <x:c r="B2" s="2"/>
      <x:c r="C2" s="2"/>
      <x:c r="D2" s="2"/>
      <x:c r="E2" s="2"/>
      <x:c r="F2" s="2"/>
      <x:c r="G2" s="2"/>
      <x:c r="H2" s="2"/>
      <x:c r="I2" s="2"/>
      <x:c r="J2" s="2"/>
      <x:c r="K2" s="2"/>
      <x:c r="L2" s="2"/>
      <x:c r="M2" s="2"/>
      <x:c r="N2" s="2"/>
      <x:c r="O2" s="2"/>
    </x:row>
    <x:row r="3" ht="23" customHeight="1">
      <x:c r="A3" s="4"/>
      <x:c r="B3" s="4"/>
      <x:c r="C3" s="4"/>
      <x:c r="D3" s="4"/>
      <x:c r="E3" s="4"/>
      <x:c r="F3" s="4"/>
      <x:c r="G3" s="4"/>
      <x:c r="H3" s="4"/>
      <x:c r="I3" s="4"/>
      <x:c r="J3" s="4"/>
      <x:c r="K3" s="4"/>
      <x:c r="L3" s="4"/>
      <x:c r="M3" s="4"/>
      <x:c r="N3" s="4"/>
      <x:c r="O3" s="4"/>
    </x:row>
    <x:row r="4" ht="23" customHeight="1">
      <x:c r="A4" s="2" t="str">
        <x:v>Source : Lille_TDB QSE.xlsm. Saisie jaune, calculs gris. 500 lignes extensibles. Filtrer Ville.</x:v>
      </x:c>
      <x:c r="B4" s="2"/>
      <x:c r="C4" s="2"/>
      <x:c r="D4" s="2"/>
      <x:c r="E4" s="2"/>
      <x:c r="F4" s="2"/>
      <x:c r="G4" s="2"/>
      <x:c r="H4" s="2"/>
      <x:c r="I4" s="2"/>
      <x:c r="J4" s="2"/>
      <x:c r="K4" s="2"/>
      <x:c r="L4" s="2"/>
      <x:c r="M4" s="2"/>
      <x:c r="N4" s="2"/>
      <x:c r="O4" s="2"/>
    </x:row>
    <x:row r="5" ht="38" customHeight="1">
      <x:c r="A5" s="8" t="str">
        <x:v>Ville</x:v>
      </x:c>
      <x:c r="B5" s="8" t="str">
        <x:v>ID dossier</x:v>
      </x:c>
      <x:c r="C5" s="8" t="str">
        <x:v>Client</x:v>
      </x:c>
      <x:c r="D5" s="8" t="str">
        <x:v>Catégorie</x:v>
      </x:c>
      <x:c r="E5" s="8" t="str">
        <x:v>Canal</x:v>
      </x:c>
      <x:c r="F5" s="8" t="str">
        <x:v>Émission</x:v>
      </x:c>
      <x:c r="G5" s="8" t="str">
        <x:v>Réception</x:v>
      </x:c>
      <x:c r="H5" s="8" t="str">
        <x:v>Réponse</x:v>
      </x:c>
      <x:c r="I5" s="8" t="str">
        <x:v>Responsable</x:v>
      </x:c>
      <x:c r="J5" s="8" t="str">
        <x:v>Motif / détail</x:v>
      </x:c>
      <x:c r="K5" s="8" t="str">
        <x:v>Action menée</x:v>
      </x:c>
      <x:c r="L5" s="8" t="str">
        <x:v>État action source</x:v>
      </x:c>
      <x:c r="M5" s="8" t="str">
        <x:v>Délai (jours)</x:v>
      </x:c>
      <x:c r="N5" s="8" t="str">
        <x:v>État réponse</x:v>
      </x:c>
      <x:c r="O5" s="8" t="str">
        <x:v>Source</x:v>
      </x:c>
    </x:row>
    <x:row r="6" ht="40" customHeight="1">
      <x:c r="A6" s="9" t="str">
        <x:v>Lille</x:v>
      </x:c>
      <x:c r="B6" s="9" t="str">
        <x:v>RC-1</x:v>
      </x:c>
      <x:c r="C6" s="9" t="str">
        <x:v>MEGARAMA ROUABAIX</x:v>
      </x:c>
      <x:c r="D6" s="9" t="str">
        <x:v>Réclamation</x:v>
      </x:c>
      <x:c r="E6" s="9" t="str">
        <x:v>Courrier RAR</x:v>
      </x:c>
      <x:c r="F6" s="11" t="n">
        <x:v>45779</x:v>
      </x:c>
      <x:c r="G6" s="11" t="n">
        <x:v>45784</x:v>
      </x:c>
      <x:c r="H6" s="11" t="n">
        <x:v>45792</x:v>
      </x:c>
      <x:c r="I6" s="9" t="str">
        <x:v>Arnaud BAILLIEUL</x:v>
      </x:c>
      <x:c r="J6" s="13" t="str">
        <x:v>Fuite d'eau dans l'établissement</x:v>
      </x:c>
      <x:c r="K6" s="13" t="str">
        <x:v>OUI</x:v>
      </x:c>
      <x:c r="L6" s="9"/>
      <x:c r="M6" s="12" t="n">
        <x:f>IF(A6="","",IF(AND(ISNUMBER(G6),ISNUMBER(H6)),H6-G6,""))</x:f>
        <x:v>8</x:v>
      </x:c>
      <x:c r="N6" s="12" t="str">
        <x:f>IF(A6="","",IF(NOT(ISNUMBER(G6)),"Réception manquante",IF(AND(ISNUMBER(H6),H6&lt;G6),"Incohérent",IF('Paramètres'!$E$9="",IF(ISNUMBER(H6),"Répondue / cible absente","Sans réponse / cible absente"),IF(ISNUMBER(H6),IF(M6&lt;='Paramètres'!$E$9,"Dans le délai","Hors délai"),IF('Tableau de bord'!$F$5-G6&gt;'Paramètres'!$E$9,"Retard","En attente"))))))</x:f>
        <x:v>Répondue / cible absente</x:v>
      </x:c>
      <x:c r="O6" s="9" t="str">
        <x:v>Tableau suivi RC !A3:V3</x:v>
      </x:c>
    </x:row>
    <x:row r="7" ht="40" customHeight="1">
      <x:c r="A7" s="9" t="str">
        <x:v>Lille</x:v>
      </x:c>
      <x:c r="B7" s="9" t="str">
        <x:v>RC-2</x:v>
      </x:c>
      <x:c r="C7" s="9" t="str">
        <x:v>MEGARAMA ROUABAIX</x:v>
      </x:c>
      <x:c r="D7" s="9" t="str">
        <x:v>Réclamation</x:v>
      </x:c>
      <x:c r="E7" s="9" t="str">
        <x:v>Courrier RAR</x:v>
      </x:c>
      <x:c r="F7" s="11" t="n">
        <x:v>45805</x:v>
      </x:c>
      <x:c r="G7" s="11" t="n">
        <x:v>45810</x:v>
      </x:c>
      <x:c r="H7" s="11"/>
      <x:c r="I7" s="9" t="str">
        <x:v>Arnaud BAILLIEUL</x:v>
      </x:c>
      <x:c r="J7" s="13" t="str">
        <x:v>Insatisfaction de la qualité des prestations salle de cinéma / Absences récurrentes d'agent</x:v>
      </x:c>
      <x:c r="K7" s="13"/>
      <x:c r="L7" s="9"/>
      <x:c r="M7" s="12" t="str">
        <x:f>IF(A7="","",IF(AND(ISNUMBER(G7),ISNUMBER(H7)),H7-G7,""))</x:f>
      </x:c>
      <x:c r="N7" s="12" t="str">
        <x:f>IF(A7="","",IF(NOT(ISNUMBER(G7)),"Réception manquante",IF(AND(ISNUMBER(H7),H7&lt;G7),"Incohérent",IF('Paramètres'!$E$9="",IF(ISNUMBER(H7),"Répondue / cible absente","Sans réponse / cible absente"),IF(ISNUMBER(H7),IF(M7&lt;='Paramètres'!$E$9,"Dans le délai","Hors délai"),IF('Tableau de bord'!$F$5-G7&gt;'Paramètres'!$E$9,"Retard","En attente"))))))</x:f>
        <x:v>Sans réponse / cible absente</x:v>
      </x:c>
      <x:c r="O7" s="9" t="str">
        <x:v>Tableau suivi RC !A4:V4</x:v>
      </x:c>
    </x:row>
    <x:row r="8" ht="40" customHeight="1">
      <x:c r="A8" s="9" t="str">
        <x:v>Lille</x:v>
      </x:c>
      <x:c r="B8" s="9" t="str">
        <x:v>RC-3</x:v>
      </x:c>
      <x:c r="C8" s="9" t="str">
        <x:v>SMENO</x:v>
      </x:c>
      <x:c r="D8" s="9" t="str">
        <x:v>Résiliation</x:v>
      </x:c>
      <x:c r="E8" s="9" t="str">
        <x:v>Courrier RAR</x:v>
      </x:c>
      <x:c r="F8" s="11" t="n">
        <x:v>45821</x:v>
      </x:c>
      <x:c r="G8" s="11"/>
      <x:c r="H8" s="11" t="n">
        <x:v>45926</x:v>
      </x:c>
      <x:c r="I8" s="9" t="str">
        <x:v>Eugénie KLINCKEMAILLIE</x:v>
      </x:c>
      <x:c r="J8" s="13"/>
      <x:c r="K8" s="13"/>
      <x:c r="L8" s="9"/>
      <x:c r="M8" s="12" t="str">
        <x:f>IF(A8="","",IF(AND(ISNUMBER(G8),ISNUMBER(H8)),H8-G8,""))</x:f>
      </x:c>
      <x:c r="N8" s="12" t="str">
        <x:f>IF(A8="","",IF(NOT(ISNUMBER(G8)),"Réception manquante",IF(AND(ISNUMBER(H8),H8&lt;G8),"Incohérent",IF('Paramètres'!$E$9="",IF(ISNUMBER(H8),"Répondue / cible absente","Sans réponse / cible absente"),IF(ISNUMBER(H8),IF(M8&lt;='Paramètres'!$E$9,"Dans le délai","Hors délai"),IF('Tableau de bord'!$F$5-G8&gt;'Paramètres'!$E$9,"Retard","En attente"))))))</x:f>
        <x:v>Réception manquante</x:v>
      </x:c>
      <x:c r="O8" s="9" t="str">
        <x:v>Tableau suivi RC !A5:V5</x:v>
      </x:c>
    </x:row>
    <x:row r="9" ht="40" customHeight="1">
      <x:c r="A9" s="9" t="str">
        <x:v>Lille</x:v>
      </x:c>
      <x:c r="B9" s="9" t="str">
        <x:v>RC-4</x:v>
      </x:c>
      <x:c r="C9" s="9" t="str">
        <x:v>DALKIA SAINT QUENTIN</x:v>
      </x:c>
      <x:c r="D9" s="9" t="str">
        <x:v>Réclamation</x:v>
      </x:c>
      <x:c r="E9" s="9" t="str">
        <x:v>Courrier RAR</x:v>
      </x:c>
      <x:c r="F9" s="11" t="n">
        <x:v>45838</x:v>
      </x:c>
      <x:c r="G9" s="11" t="n">
        <x:v>45841</x:v>
      </x:c>
      <x:c r="H9" s="11"/>
      <x:c r="I9" s="9" t="str">
        <x:v>Eugénie KLINCKEMAILLIE</x:v>
      </x:c>
      <x:c r="J9" s="13" t="str">
        <x:v>Mise en demeure dégradation du carrelage de l'agence saint quentin</x:v>
      </x:c>
      <x:c r="K9" s="13"/>
      <x:c r="L9" s="9"/>
      <x:c r="M9" s="12" t="str">
        <x:f>IF(A9="","",IF(AND(ISNUMBER(G9),ISNUMBER(H9)),H9-G9,""))</x:f>
      </x:c>
      <x:c r="N9" s="12" t="str">
        <x:f>IF(A9="","",IF(NOT(ISNUMBER(G9)),"Réception manquante",IF(AND(ISNUMBER(H9),H9&lt;G9),"Incohérent",IF('Paramètres'!$E$9="",IF(ISNUMBER(H9),"Répondue / cible absente","Sans réponse / cible absente"),IF(ISNUMBER(H9),IF(M9&lt;='Paramètres'!$E$9,"Dans le délai","Hors délai"),IF('Tableau de bord'!$F$5-G9&gt;'Paramètres'!$E$9,"Retard","En attente"))))))</x:f>
        <x:v>Sans réponse / cible absente</x:v>
      </x:c>
      <x:c r="O9" s="9" t="str">
        <x:v>Tableau suivi RC !A6:V6</x:v>
      </x:c>
    </x:row>
    <x:row r="10" ht="40" customHeight="1">
      <x:c r="A10" s="9" t="str">
        <x:v>Lille</x:v>
      </x:c>
      <x:c r="B10" s="9" t="str">
        <x:v>RC-5</x:v>
      </x:c>
      <x:c r="C10" s="9" t="str">
        <x:v>DALKIA PISCINE CHAUNY</x:v>
      </x:c>
      <x:c r="D10" s="9" t="str">
        <x:v>Réclamation</x:v>
      </x:c>
      <x:c r="E10" s="9" t="str">
        <x:v>Courrier RAR</x:v>
      </x:c>
      <x:c r="F10" s="11" t="n">
        <x:v>45838</x:v>
      </x:c>
      <x:c r="G10" s="11" t="n">
        <x:v>45841</x:v>
      </x:c>
      <x:c r="H10" s="11"/>
      <x:c r="I10" s="9" t="str">
        <x:v>Eugénie KLINCKEMAILLIE</x:v>
      </x:c>
      <x:c r="J10" s="13" t="str">
        <x:v>Mise en demeure manquements absence, matériel etc</x:v>
      </x:c>
      <x:c r="K10" s="13"/>
      <x:c r="L10" s="9"/>
      <x:c r="M10" s="12" t="str">
        <x:f>IF(A10="","",IF(AND(ISNUMBER(G10),ISNUMBER(H10)),H10-G10,""))</x:f>
      </x:c>
      <x:c r="N10" s="12" t="str">
        <x:f>IF(A10="","",IF(NOT(ISNUMBER(G10)),"Réception manquante",IF(AND(ISNUMBER(H10),H10&lt;G10),"Incohérent",IF('Paramètres'!$E$9="",IF(ISNUMBER(H10),"Répondue / cible absente","Sans réponse / cible absente"),IF(ISNUMBER(H10),IF(M10&lt;='Paramètres'!$E$9,"Dans le délai","Hors délai"),IF('Tableau de bord'!$F$5-G10&gt;'Paramètres'!$E$9,"Retard","En attente"))))))</x:f>
        <x:v>Sans réponse / cible absente</x:v>
      </x:c>
      <x:c r="O10" s="9" t="str">
        <x:v>Tableau suivi RC !A7:V7</x:v>
      </x:c>
    </x:row>
    <x:row r="11" ht="40" customHeight="1">
      <x:c r="A11" s="9" t="str">
        <x:v>Lille</x:v>
      </x:c>
      <x:c r="B11" s="9" t="str">
        <x:v>RC-6</x:v>
      </x:c>
      <x:c r="C11" s="9" t="str">
        <x:v>TERRE AZUR POMONA</x:v>
      </x:c>
      <x:c r="D11" s="9" t="str">
        <x:v>Réclamation</x:v>
      </x:c>
      <x:c r="E11" s="9" t="str">
        <x:v>Courrier RAR</x:v>
      </x:c>
      <x:c r="F11" s="11" t="n">
        <x:v>45838</x:v>
      </x:c>
      <x:c r="G11" s="11" t="n">
        <x:v>45838</x:v>
      </x:c>
      <x:c r="H11" s="11"/>
      <x:c r="I11" s="9" t="str">
        <x:v>Eugénie KLINCKEMAILLIE</x:v>
      </x:c>
      <x:c r="J11" s="13" t="str">
        <x:v>Non évacuation des déchets dans les sanitaires
réfectiore non vidée, bureaux non lavés</x:v>
      </x:c>
      <x:c r="K11" s="13"/>
      <x:c r="L11" s="9"/>
      <x:c r="M11" s="12" t="str">
        <x:f>IF(A11="","",IF(AND(ISNUMBER(G11),ISNUMBER(H11)),H11-G11,""))</x:f>
      </x:c>
      <x:c r="N11" s="12" t="str">
        <x:f>IF(A11="","",IF(NOT(ISNUMBER(G11)),"Réception manquante",IF(AND(ISNUMBER(H11),H11&lt;G11),"Incohérent",IF('Paramètres'!$E$9="",IF(ISNUMBER(H11),"Répondue / cible absente","Sans réponse / cible absente"),IF(ISNUMBER(H11),IF(M11&lt;='Paramètres'!$E$9,"Dans le délai","Hors délai"),IF('Tableau de bord'!$F$5-G11&gt;'Paramètres'!$E$9,"Retard","En attente"))))))</x:f>
        <x:v>Sans réponse / cible absente</x:v>
      </x:c>
      <x:c r="O11" s="9" t="str">
        <x:v>Tableau suivi RC !A8:V8</x:v>
      </x:c>
    </x:row>
    <x:row r="12" ht="40" customHeight="1">
      <x:c r="A12" s="9" t="str">
        <x:v>Lille</x:v>
      </x:c>
      <x:c r="B12" s="9" t="str">
        <x:v>RC-7</x:v>
      </x:c>
      <x:c r="C12" s="9" t="str">
        <x:v>ARMATIS</x:v>
      </x:c>
      <x:c r="D12" s="9" t="str">
        <x:v>Réclamation</x:v>
      </x:c>
      <x:c r="E12" s="9" t="str">
        <x:v>Mail</x:v>
      </x:c>
      <x:c r="F12" s="11" t="n">
        <x:v>45890</x:v>
      </x:c>
      <x:c r="G12" s="11" t="n">
        <x:v>45890</x:v>
      </x:c>
      <x:c r="H12" s="11" t="n">
        <x:v>45890</x:v>
      </x:c>
      <x:c r="I12" s="9" t="str">
        <x:v>Mickael ELISABETH</x:v>
      </x:c>
      <x:c r="J12" s="13"/>
      <x:c r="K12" s="13"/>
      <x:c r="L12" s="9"/>
      <x:c r="M12" s="12" t="n">
        <x:f>IF(A12="","",IF(AND(ISNUMBER(G12),ISNUMBER(H12)),H12-G12,""))</x:f>
        <x:v>0</x:v>
      </x:c>
      <x:c r="N12" s="12" t="str">
        <x:f>IF(A12="","",IF(NOT(ISNUMBER(G12)),"Réception manquante",IF(AND(ISNUMBER(H12),H12&lt;G12),"Incohérent",IF('Paramètres'!$E$9="",IF(ISNUMBER(H12),"Répondue / cible absente","Sans réponse / cible absente"),IF(ISNUMBER(H12),IF(M12&lt;='Paramètres'!$E$9,"Dans le délai","Hors délai"),IF('Tableau de bord'!$F$5-G12&gt;'Paramètres'!$E$9,"Retard","En attente"))))))</x:f>
        <x:v>Répondue / cible absente</x:v>
      </x:c>
      <x:c r="O12" s="9" t="str">
        <x:v>Tableau suivi RC !A9:V9</x:v>
      </x:c>
    </x:row>
    <x:row r="13" ht="40" customHeight="1">
      <x:c r="A13" s="9" t="str">
        <x:v>Lille</x:v>
      </x:c>
      <x:c r="B13" s="9" t="str">
        <x:v>RC-8</x:v>
      </x:c>
      <x:c r="C13" s="9" t="str">
        <x:v>ID LOGISTICS</x:v>
      </x:c>
      <x:c r="D13" s="9" t="str">
        <x:v>Réclamation</x:v>
      </x:c>
      <x:c r="E13" s="9" t="str">
        <x:v>Courrier RAR</x:v>
      </x:c>
      <x:c r="F13" s="11" t="n">
        <x:v>45904</x:v>
      </x:c>
      <x:c r="G13" s="11" t="n">
        <x:v>45910</x:v>
      </x:c>
      <x:c r="H13" s="11" t="n">
        <x:v>45926</x:v>
      </x:c>
      <x:c r="I13" s="9" t="str">
        <x:v>Arnaud BAILLIEUL</x:v>
      </x:c>
      <x:c r="J13" s="13" t="str">
        <x:v>Mise en demeure non respect du cahier des charges, absences d'action correctives, absences répetées, manque de communication, absences de traçabilités</x:v>
      </x:c>
      <x:c r="K13" s="13" t="str">
        <x:v>OUI</x:v>
      </x:c>
      <x:c r="L13" s="9"/>
      <x:c r="M13" s="12" t="n">
        <x:f>IF(A13="","",IF(AND(ISNUMBER(G13),ISNUMBER(H13)),H13-G13,""))</x:f>
        <x:v>16</x:v>
      </x:c>
      <x:c r="N13" s="12" t="str">
        <x:f>IF(A13="","",IF(NOT(ISNUMBER(G13)),"Réception manquante",IF(AND(ISNUMBER(H13),H13&lt;G13),"Incohérent",IF('Paramètres'!$E$9="",IF(ISNUMBER(H13),"Répondue / cible absente","Sans réponse / cible absente"),IF(ISNUMBER(H13),IF(M13&lt;='Paramètres'!$E$9,"Dans le délai","Hors délai"),IF('Tableau de bord'!$F$5-G13&gt;'Paramètres'!$E$9,"Retard","En attente"))))))</x:f>
        <x:v>Répondue / cible absente</x:v>
      </x:c>
      <x:c r="O13" s="9" t="str">
        <x:v>Tableau suivi RC !A10:V10</x:v>
      </x:c>
    </x:row>
    <x:row r="14" ht="40" customHeight="1">
      <x:c r="A14" s="9" t="str">
        <x:v>Lille</x:v>
      </x:c>
      <x:c r="B14" s="9" t="str">
        <x:v>RC-9</x:v>
      </x:c>
      <x:c r="C14" s="9" t="str">
        <x:v>MEGARAMA ROUBAIX</x:v>
      </x:c>
      <x:c r="D14" s="9" t="str">
        <x:v>Réclamation</x:v>
      </x:c>
      <x:c r="E14" s="9" t="str">
        <x:v>Courrier RAR</x:v>
      </x:c>
      <x:c r="F14" s="11" t="n">
        <x:v>45915</x:v>
      </x:c>
      <x:c r="G14" s="11" t="n">
        <x:v>45917</x:v>
      </x:c>
      <x:c r="H14" s="11" t="n">
        <x:v>45918</x:v>
      </x:c>
      <x:c r="I14" s="9" t="str">
        <x:v>Arnaud BAILLIEUL</x:v>
      </x:c>
      <x:c r="J14" s="13" t="str">
        <x:v>Mise en demeure manquements à la prestation de ménage, qualité du travail, retard et absence, absence installateur, insatisfaction de l'équipe en place</x:v>
      </x:c>
      <x:c r="K14" s="13"/>
      <x:c r="L14" s="9"/>
      <x:c r="M14" s="12" t="n">
        <x:f>IF(A14="","",IF(AND(ISNUMBER(G14),ISNUMBER(H14)),H14-G14,""))</x:f>
        <x:v>1</x:v>
      </x:c>
      <x:c r="N14" s="12" t="str">
        <x:f>IF(A14="","",IF(NOT(ISNUMBER(G14)),"Réception manquante",IF(AND(ISNUMBER(H14),H14&lt;G14),"Incohérent",IF('Paramètres'!$E$9="",IF(ISNUMBER(H14),"Répondue / cible absente","Sans réponse / cible absente"),IF(ISNUMBER(H14),IF(M14&lt;='Paramètres'!$E$9,"Dans le délai","Hors délai"),IF('Tableau de bord'!$F$5-G14&gt;'Paramètres'!$E$9,"Retard","En attente"))))))</x:f>
        <x:v>Répondue / cible absente</x:v>
      </x:c>
      <x:c r="O14" s="9" t="str">
        <x:v>Tableau suivi RC !A11:V11</x:v>
      </x:c>
    </x:row>
    <x:row r="15" ht="55" customHeight="1">
      <x:c r="A15" s="9" t="str">
        <x:v>Lille</x:v>
      </x:c>
      <x:c r="B15" s="9" t="str">
        <x:v>RC-10</x:v>
      </x:c>
      <x:c r="C15" s="9" t="str">
        <x:v>MEGARAMA ROUBAIX</x:v>
      </x:c>
      <x:c r="D15" s="9" t="str">
        <x:v>Réclamation</x:v>
      </x:c>
      <x:c r="E15" s="9" t="str">
        <x:v>Courrier RAR</x:v>
      </x:c>
      <x:c r="F15" s="11" t="n">
        <x:v>45918</x:v>
      </x:c>
      <x:c r="G15" s="11" t="n">
        <x:v>45923</x:v>
      </x:c>
      <x:c r="H15" s="11" t="n">
        <x:v>45929</x:v>
      </x:c>
      <x:c r="I15" s="9" t="str">
        <x:v>Arnaud BAILLIEUL</x:v>
      </x:c>
      <x:c r="J15" s="13" t="str">
        <x:v>Mise en demeure pour manquement à la prestation de ménage, indifférence et négligence d'un des salariés, un agent a un problème d'accès au cinema car pas de clefs donc defaut de prestation</x:v>
      </x:c>
      <x:c r="K15" s="13" t="str">
        <x:v>OUI</x:v>
      </x:c>
      <x:c r="L15" s="9"/>
      <x:c r="M15" s="12" t="n">
        <x:f>IF(A15="","",IF(AND(ISNUMBER(G15),ISNUMBER(H15)),H15-G15,""))</x:f>
        <x:v>6</x:v>
      </x:c>
      <x:c r="N15" s="12" t="str">
        <x:f>IF(A15="","",IF(NOT(ISNUMBER(G15)),"Réception manquante",IF(AND(ISNUMBER(H15),H15&lt;G15),"Incohérent",IF('Paramètres'!$E$9="",IF(ISNUMBER(H15),"Répondue / cible absente","Sans réponse / cible absente"),IF(ISNUMBER(H15),IF(M15&lt;='Paramètres'!$E$9,"Dans le délai","Hors délai"),IF('Tableau de bord'!$F$5-G15&gt;'Paramètres'!$E$9,"Retard","En attente"))))))</x:f>
        <x:v>Répondue / cible absente</x:v>
      </x:c>
      <x:c r="O15" s="9" t="str">
        <x:v>Tableau suivi RC !A12:V12</x:v>
      </x:c>
    </x:row>
    <x:row r="16" ht="40" customHeight="1">
      <x:c r="A16" s="9" t="str">
        <x:v>Lille</x:v>
      </x:c>
      <x:c r="B16" s="9" t="str">
        <x:v>RC-11</x:v>
      </x:c>
      <x:c r="C16" s="9" t="str">
        <x:v>ARIEFTT</x:v>
      </x:c>
      <x:c r="D16" s="9" t="str">
        <x:v>Résiliation</x:v>
      </x:c>
      <x:c r="E16" s="9" t="str">
        <x:v>Courrier RAR</x:v>
      </x:c>
      <x:c r="F16" s="11" t="n">
        <x:v>45919</x:v>
      </x:c>
      <x:c r="G16" s="11" t="n">
        <x:v>45925</x:v>
      </x:c>
      <x:c r="H16" s="11" t="n">
        <x:v>45926</x:v>
      </x:c>
      <x:c r="I16" s="9" t="str">
        <x:v>Mickael ELISABETH</x:v>
      </x:c>
      <x:c r="J16" s="13" t="str">
        <x:v>Fermeture définitive du restaurant au 31/10/2025</x:v>
      </x:c>
      <x:c r="K16" s="13"/>
      <x:c r="L16" s="9"/>
      <x:c r="M16" s="12" t="n">
        <x:f>IF(A16="","",IF(AND(ISNUMBER(G16),ISNUMBER(H16)),H16-G16,""))</x:f>
        <x:v>1</x:v>
      </x:c>
      <x:c r="N16" s="12" t="str">
        <x:f>IF(A16="","",IF(NOT(ISNUMBER(G16)),"Réception manquante",IF(AND(ISNUMBER(H16),H16&lt;G16),"Incohérent",IF('Paramètres'!$E$9="",IF(ISNUMBER(H16),"Répondue / cible absente","Sans réponse / cible absente"),IF(ISNUMBER(H16),IF(M16&lt;='Paramètres'!$E$9,"Dans le délai","Hors délai"),IF('Tableau de bord'!$F$5-G16&gt;'Paramètres'!$E$9,"Retard","En attente"))))))</x:f>
        <x:v>Répondue / cible absente</x:v>
      </x:c>
      <x:c r="O16" s="9" t="str">
        <x:v>Tableau suivi RC !A13:V13</x:v>
      </x:c>
    </x:row>
    <x:row r="17" ht="40" customHeight="1">
      <x:c r="A17" s="9" t="str">
        <x:v>Lille</x:v>
      </x:c>
      <x:c r="B17" s="9" t="str">
        <x:v>RC-12</x:v>
      </x:c>
      <x:c r="C17" s="9" t="str">
        <x:v>MEGARAMA ROUBAIX</x:v>
      </x:c>
      <x:c r="D17" s="9" t="str">
        <x:v>Facturation</x:v>
      </x:c>
      <x:c r="E17" s="9" t="str">
        <x:v>Courrier RAR</x:v>
      </x:c>
      <x:c r="F17" s="11" t="n">
        <x:v>45924</x:v>
      </x:c>
      <x:c r="G17" s="11" t="n">
        <x:v>45933</x:v>
      </x:c>
      <x:c r="H17" s="11" t="n">
        <x:v>45957</x:v>
      </x:c>
      <x:c r="I17" s="9" t="str">
        <x:v>Arnaud BAILLIEUL</x:v>
      </x:c>
      <x:c r="J17" s="13" t="str">
        <x:v>Demande d'avoir, insatifaction des prestations</x:v>
      </x:c>
      <x:c r="K17" s="13"/>
      <x:c r="L17" s="9"/>
      <x:c r="M17" s="12" t="n">
        <x:f>IF(A17="","",IF(AND(ISNUMBER(G17),ISNUMBER(H17)),H17-G17,""))</x:f>
        <x:v>24</x:v>
      </x:c>
      <x:c r="N17" s="12" t="str">
        <x:f>IF(A17="","",IF(NOT(ISNUMBER(G17)),"Réception manquante",IF(AND(ISNUMBER(H17),H17&lt;G17),"Incohérent",IF('Paramètres'!$E$9="",IF(ISNUMBER(H17),"Répondue / cible absente","Sans réponse / cible absente"),IF(ISNUMBER(H17),IF(M17&lt;='Paramètres'!$E$9,"Dans le délai","Hors délai"),IF('Tableau de bord'!$F$5-G17&gt;'Paramètres'!$E$9,"Retard","En attente"))))))</x:f>
        <x:v>Répondue / cible absente</x:v>
      </x:c>
      <x:c r="O17" s="9" t="str">
        <x:v>Tableau suivi RC !A14:V14</x:v>
      </x:c>
    </x:row>
    <x:row r="18" ht="40" customHeight="1">
      <x:c r="A18" s="9" t="str">
        <x:v>Lille</x:v>
      </x:c>
      <x:c r="B18" s="9" t="str">
        <x:v>RC-13</x:v>
      </x:c>
      <x:c r="C18" s="9" t="str">
        <x:v>DALKIA SAINT QUENTIN</x:v>
      </x:c>
      <x:c r="D18" s="9" t="str">
        <x:v>Autres</x:v>
      </x:c>
      <x:c r="E18" s="9" t="str">
        <x:v>Courrier RAR</x:v>
      </x:c>
      <x:c r="F18" s="11" t="n">
        <x:v>45940</x:v>
      </x:c>
      <x:c r="G18" s="11" t="n">
        <x:v>45944</x:v>
      </x:c>
      <x:c r="H18" s="11" t="n">
        <x:v>45957</x:v>
      </x:c>
      <x:c r="I18" s="9" t="str">
        <x:v>Mickael ELISABETH</x:v>
      </x:c>
      <x:c r="J18" s="13" t="str">
        <x:v>Résilitation pour cause de démenagement</x:v>
      </x:c>
      <x:c r="K18" s="13"/>
      <x:c r="L18" s="9"/>
      <x:c r="M18" s="12" t="n">
        <x:f>IF(A18="","",IF(AND(ISNUMBER(G18),ISNUMBER(H18)),H18-G18,""))</x:f>
        <x:v>13</x:v>
      </x:c>
      <x:c r="N18" s="12" t="str">
        <x:f>IF(A18="","",IF(NOT(ISNUMBER(G18)),"Réception manquante",IF(AND(ISNUMBER(H18),H18&lt;G18),"Incohérent",IF('Paramètres'!$E$9="",IF(ISNUMBER(H18),"Répondue / cible absente","Sans réponse / cible absente"),IF(ISNUMBER(H18),IF(M18&lt;='Paramètres'!$E$9,"Dans le délai","Hors délai"),IF('Tableau de bord'!$F$5-G18&gt;'Paramètres'!$E$9,"Retard","En attente"))))))</x:f>
        <x:v>Répondue / cible absente</x:v>
      </x:c>
      <x:c r="O18" s="9" t="str">
        <x:v>Tableau suivi RC !A15:V15</x:v>
      </x:c>
    </x:row>
    <x:row r="19" ht="40" customHeight="1">
      <x:c r="A19" s="9" t="str">
        <x:v>Lille</x:v>
      </x:c>
      <x:c r="B19" s="9" t="str">
        <x:v>RC-14</x:v>
      </x:c>
      <x:c r="C19" s="9" t="str">
        <x:v>ID LOGISTICS</x:v>
      </x:c>
      <x:c r="D19" s="9" t="str">
        <x:v>Réclamation</x:v>
      </x:c>
      <x:c r="E19" s="9" t="str">
        <x:v>Courrier RAR</x:v>
      </x:c>
      <x:c r="F19" s="11" t="n">
        <x:v>45947</x:v>
      </x:c>
      <x:c r="G19" s="11" t="n">
        <x:v>45951</x:v>
      </x:c>
      <x:c r="H19" s="11"/>
      <x:c r="I19" s="9" t="str">
        <x:v>Arnaud BAILLIEUL</x:v>
      </x:c>
      <x:c r="J19" s="13" t="str">
        <x:v>Mise en demeure non respect du cahier des charges, absences d'action correctives conformes, absences de traçabilités</x:v>
      </x:c>
      <x:c r="K19" s="13"/>
      <x:c r="L19" s="9"/>
      <x:c r="M19" s="12" t="str">
        <x:f>IF(A19="","",IF(AND(ISNUMBER(G19),ISNUMBER(H19)),H19-G19,""))</x:f>
      </x:c>
      <x:c r="N19" s="12" t="str">
        <x:f>IF(A19="","",IF(NOT(ISNUMBER(G19)),"Réception manquante",IF(AND(ISNUMBER(H19),H19&lt;G19),"Incohérent",IF('Paramètres'!$E$9="",IF(ISNUMBER(H19),"Répondue / cible absente","Sans réponse / cible absente"),IF(ISNUMBER(H19),IF(M19&lt;='Paramètres'!$E$9,"Dans le délai","Hors délai"),IF('Tableau de bord'!$F$5-G19&gt;'Paramètres'!$E$9,"Retard","En attente"))))))</x:f>
        <x:v>Sans réponse / cible absente</x:v>
      </x:c>
      <x:c r="O19" s="9" t="str">
        <x:v>Tableau suivi RC !A16:V16</x:v>
      </x:c>
    </x:row>
    <x:row r="20" ht="40" customHeight="1">
      <x:c r="A20" s="9" t="str">
        <x:v>Lille</x:v>
      </x:c>
      <x:c r="B20" s="9" t="str">
        <x:v>RC-15</x:v>
      </x:c>
      <x:c r="C20" s="9" t="str">
        <x:v>DALKIA PISCINE CHAUNY</x:v>
      </x:c>
      <x:c r="D20" s="9" t="str">
        <x:v>Réclamation</x:v>
      </x:c>
      <x:c r="E20" s="9" t="str">
        <x:v>Courrier RAR</x:v>
      </x:c>
      <x:c r="F20" s="11" t="n">
        <x:v>45950</x:v>
      </x:c>
      <x:c r="G20" s="11" t="n">
        <x:v>45951</x:v>
      </x:c>
      <x:c r="H20" s="11" t="n">
        <x:v>45985</x:v>
      </x:c>
      <x:c r="I20" s="9" t="str">
        <x:v>Mickael ELISABETH</x:v>
      </x:c>
      <x:c r="J20" s="13" t="str">
        <x:v>Demande d'avoir pour absences, déduction car auto laveuse en panne depuis plusieurs mois, manque de résultat, </x:v>
      </x:c>
      <x:c r="K20" s="13"/>
      <x:c r="L20" s="9"/>
      <x:c r="M20" s="12" t="n">
        <x:f>IF(A20="","",IF(AND(ISNUMBER(G20),ISNUMBER(H20)),H20-G20,""))</x:f>
        <x:v>34</x:v>
      </x:c>
      <x:c r="N20" s="12" t="str">
        <x:f>IF(A20="","",IF(NOT(ISNUMBER(G20)),"Réception manquante",IF(AND(ISNUMBER(H20),H20&lt;G20),"Incohérent",IF('Paramètres'!$E$9="",IF(ISNUMBER(H20),"Répondue / cible absente","Sans réponse / cible absente"),IF(ISNUMBER(H20),IF(M20&lt;='Paramètres'!$E$9,"Dans le délai","Hors délai"),IF('Tableau de bord'!$F$5-G20&gt;'Paramètres'!$E$9,"Retard","En attente"))))))</x:f>
        <x:v>Répondue / cible absente</x:v>
      </x:c>
      <x:c r="O20" s="9" t="str">
        <x:v>Tableau suivi RC !A17:V17</x:v>
      </x:c>
    </x:row>
    <x:row r="21" ht="40" customHeight="1">
      <x:c r="A21" s="9" t="str">
        <x:v>Lille</x:v>
      </x:c>
      <x:c r="B21" s="9" t="str">
        <x:v>RC-16</x:v>
      </x:c>
      <x:c r="C21" s="9" t="str">
        <x:v>DALKIA SAINT QUENTIN</x:v>
      </x:c>
      <x:c r="D21" s="9" t="str">
        <x:v>Autres</x:v>
      </x:c>
      <x:c r="E21" s="9" t="str">
        <x:v>Courrier RAR</x:v>
      </x:c>
      <x:c r="F21" s="11" t="n">
        <x:v>45950</x:v>
      </x:c>
      <x:c r="G21" s="11" t="n">
        <x:v>45951</x:v>
      </x:c>
      <x:c r="H21" s="11" t="n">
        <x:v>45957</x:v>
      </x:c>
      <x:c r="I21" s="9" t="str">
        <x:v>Mickael ELISABETH</x:v>
      </x:c>
      <x:c r="J21" s="13" t="str">
        <x:v>Demande de prise en charge par l'assurance pour changement de carrelage abimé suite à la dégradation de celui ci par l'agent</x:v>
      </x:c>
      <x:c r="K21" s="13"/>
      <x:c r="L21" s="9"/>
      <x:c r="M21" s="12" t="n">
        <x:f>IF(A21="","",IF(AND(ISNUMBER(G21),ISNUMBER(H21)),H21-G21,""))</x:f>
        <x:v>6</x:v>
      </x:c>
      <x:c r="N21" s="12" t="str">
        <x:f>IF(A21="","",IF(NOT(ISNUMBER(G21)),"Réception manquante",IF(AND(ISNUMBER(H21),H21&lt;G21),"Incohérent",IF('Paramètres'!$E$9="",IF(ISNUMBER(H21),"Répondue / cible absente","Sans réponse / cible absente"),IF(ISNUMBER(H21),IF(M21&lt;='Paramètres'!$E$9,"Dans le délai","Hors délai"),IF('Tableau de bord'!$F$5-G21&gt;'Paramètres'!$E$9,"Retard","En attente"))))))</x:f>
        <x:v>Répondue / cible absente</x:v>
      </x:c>
      <x:c r="O21" s="9" t="str">
        <x:v>Tableau suivi RC !A18:V18</x:v>
      </x:c>
    </x:row>
    <x:row r="22" ht="40" customHeight="1">
      <x:c r="A22" s="9" t="str">
        <x:v>Lille</x:v>
      </x:c>
      <x:c r="B22" s="9" t="str">
        <x:v>RC-17</x:v>
      </x:c>
      <x:c r="C22" s="9" t="str">
        <x:v>KSB</x:v>
      </x:c>
      <x:c r="D22" s="9" t="str">
        <x:v>Résiliation</x:v>
      </x:c>
      <x:c r="E22" s="9" t="str">
        <x:v>Courrier RAR</x:v>
      </x:c>
      <x:c r="F22" s="11" t="n">
        <x:v>45958</x:v>
      </x:c>
      <x:c r="G22" s="11" t="n">
        <x:v>45964</x:v>
      </x:c>
      <x:c r="H22" s="11" t="n">
        <x:v>45965</x:v>
      </x:c>
      <x:c r="I22" s="9" t="str">
        <x:v>Arnaud BAILLIEUL</x:v>
      </x:c>
      <x:c r="J22" s="13" t="str">
        <x:v>Résiliation au 31/01/2026</x:v>
      </x:c>
      <x:c r="K22" s="13"/>
      <x:c r="L22" s="9" t="str">
        <x:v>Cloturée</x:v>
      </x:c>
      <x:c r="M22" s="12" t="n">
        <x:f>IF(A22="","",IF(AND(ISNUMBER(G22),ISNUMBER(H22)),H22-G22,""))</x:f>
        <x:v>1</x:v>
      </x:c>
      <x:c r="N22" s="12" t="str">
        <x:f>IF(A22="","",IF(NOT(ISNUMBER(G22)),"Réception manquante",IF(AND(ISNUMBER(H22),H22&lt;G22),"Incohérent",IF('Paramètres'!$E$9="",IF(ISNUMBER(H22),"Répondue / cible absente","Sans réponse / cible absente"),IF(ISNUMBER(H22),IF(M22&lt;='Paramètres'!$E$9,"Dans le délai","Hors délai"),IF('Tableau de bord'!$F$5-G22&gt;'Paramètres'!$E$9,"Retard","En attente"))))))</x:f>
        <x:v>Répondue / cible absente</x:v>
      </x:c>
      <x:c r="O22" s="9" t="str">
        <x:v>Tableau suivi RC !A19:V19</x:v>
      </x:c>
    </x:row>
    <x:row r="23" ht="40" customHeight="1">
      <x:c r="A23" s="9" t="str">
        <x:v>Lille</x:v>
      </x:c>
      <x:c r="B23" s="9" t="str">
        <x:v>RC-18</x:v>
      </x:c>
      <x:c r="C23" s="9" t="str">
        <x:v>MEGARAMA ROUBAIX</x:v>
      </x:c>
      <x:c r="D23" s="9" t="str">
        <x:v>Réclamation</x:v>
      </x:c>
      <x:c r="E23" s="9" t="str">
        <x:v>Courrier RAR</x:v>
      </x:c>
      <x:c r="F23" s="11" t="n">
        <x:v>46141</x:v>
      </x:c>
      <x:c r="G23" s="11" t="n">
        <x:v>46146</x:v>
      </x:c>
      <x:c r="H23" s="11" t="n">
        <x:v>46146</x:v>
      </x:c>
      <x:c r="I23" s="9" t="str">
        <x:v>Mickael ELISABETH</x:v>
      </x:c>
      <x:c r="J23" s="13" t="str">
        <x:v>Insatisfaction de la qualité des prestations, salle de cinema non aspirer, l'agent met les déchets derrière l'écran du cinéma</x:v>
      </x:c>
      <x:c r="K23" s="13" t="str">
        <x:v>OUI</x:v>
      </x:c>
      <x:c r="L23" s="9" t="str">
        <x:v>Cloturée</x:v>
      </x:c>
      <x:c r="M23" s="12" t="n">
        <x:f>IF(A23="","",IF(AND(ISNUMBER(G23),ISNUMBER(H23)),H23-G23,""))</x:f>
        <x:v>0</x:v>
      </x:c>
      <x:c r="N23" s="12" t="str">
        <x:f>IF(A23="","",IF(NOT(ISNUMBER(G23)),"Réception manquante",IF(AND(ISNUMBER(H23),H23&lt;G23),"Incohérent",IF('Paramètres'!$E$9="",IF(ISNUMBER(H23),"Répondue / cible absente","Sans réponse / cible absente"),IF(ISNUMBER(H23),IF(M23&lt;='Paramètres'!$E$9,"Dans le délai","Hors délai"),IF('Tableau de bord'!$F$5-G23&gt;'Paramètres'!$E$9,"Retard","En attente"))))))</x:f>
        <x:v>Répondue / cible absente</x:v>
      </x:c>
      <x:c r="O23" s="9" t="str">
        <x:v>Tableau suivi RC !A20:V20</x:v>
      </x:c>
    </x:row>
    <x:row r="24" ht="40" customHeight="1">
      <x:c r="A24" s="9" t="str">
        <x:v>Lille</x:v>
      </x:c>
      <x:c r="B24" s="9" t="str">
        <x:v>RC-19</x:v>
      </x:c>
      <x:c r="C24" s="9" t="str">
        <x:v>FAVI</x:v>
      </x:c>
      <x:c r="D24" s="9" t="str">
        <x:v>Résiliation</x:v>
      </x:c>
      <x:c r="E24" s="9" t="str">
        <x:v>Courrier RAR</x:v>
      </x:c>
      <x:c r="F24" s="11" t="n">
        <x:v>46141</x:v>
      </x:c>
      <x:c r="G24" s="11" t="n">
        <x:v>46148</x:v>
      </x:c>
      <x:c r="H24" s="11" t="n">
        <x:v>46148</x:v>
      </x:c>
      <x:c r="I24" s="9" t="str">
        <x:v>Mickael ELISABETH</x:v>
      </x:c>
      <x:c r="J24" s="13" t="str">
        <x:v>Résiliation au 31/10/2026 </x:v>
      </x:c>
      <x:c r="K24" s="13"/>
      <x:c r="L24" s="9" t="str">
        <x:v>Cloturée</x:v>
      </x:c>
      <x:c r="M24" s="12" t="n">
        <x:f>IF(A24="","",IF(AND(ISNUMBER(G24),ISNUMBER(H24)),H24-G24,""))</x:f>
        <x:v>0</x:v>
      </x:c>
      <x:c r="N24" s="12" t="str">
        <x:f>IF(A24="","",IF(NOT(ISNUMBER(G24)),"Réception manquante",IF(AND(ISNUMBER(H24),H24&lt;G24),"Incohérent",IF('Paramètres'!$E$9="",IF(ISNUMBER(H24),"Répondue / cible absente","Sans réponse / cible absente"),IF(ISNUMBER(H24),IF(M24&lt;='Paramètres'!$E$9,"Dans le délai","Hors délai"),IF('Tableau de bord'!$F$5-G24&gt;'Paramètres'!$E$9,"Retard","En attente"))))))</x:f>
        <x:v>Répondue / cible absente</x:v>
      </x:c>
      <x:c r="O24" s="9" t="str">
        <x:v>Tableau suivi RC !A21:V21</x:v>
      </x:c>
    </x:row>
    <x:row r="25" ht="40" customHeight="1">
      <x:c r="A25" s="9" t="str">
        <x:v>Lille</x:v>
      </x:c>
      <x:c r="B25" s="9" t="str">
        <x:v>RC-20</x:v>
      </x:c>
      <x:c r="C25" s="9" t="str">
        <x:v>LFB ARRAS PROD</x:v>
      </x:c>
      <x:c r="D25" s="9" t="str">
        <x:v>Réclamation</x:v>
      </x:c>
      <x:c r="E25" s="9" t="str">
        <x:v>Mail</x:v>
      </x:c>
      <x:c r="F25" s="11" t="n">
        <x:v>46132</x:v>
      </x:c>
      <x:c r="G25" s="11" t="n">
        <x:v>46132</x:v>
      </x:c>
      <x:c r="H25" s="11" t="n">
        <x:v>46141</x:v>
      </x:c>
      <x:c r="I25" s="9" t="str">
        <x:v>Alice RACKELBOOM</x:v>
      </x:c>
      <x:c r="J25" s="13" t="str">
        <x:v>Formalisation des non conformités liées aux prestations de nettoyage </x:v>
      </x:c>
      <x:c r="K25" s="13" t="str">
        <x:v>OUI</x:v>
      </x:c>
      <x:c r="L25" s="9" t="str">
        <x:v>Cloturée</x:v>
      </x:c>
      <x:c r="M25" s="12" t="n">
        <x:f>IF(A25="","",IF(AND(ISNUMBER(G25),ISNUMBER(H25)),H25-G25,""))</x:f>
        <x:v>9</x:v>
      </x:c>
      <x:c r="N25" s="12" t="str">
        <x:f>IF(A25="","",IF(NOT(ISNUMBER(G25)),"Réception manquante",IF(AND(ISNUMBER(H25),H25&lt;G25),"Incohérent",IF('Paramètres'!$E$9="",IF(ISNUMBER(H25),"Répondue / cible absente","Sans réponse / cible absente"),IF(ISNUMBER(H25),IF(M25&lt;='Paramètres'!$E$9,"Dans le délai","Hors délai"),IF('Tableau de bord'!$F$5-G25&gt;'Paramètres'!$E$9,"Retard","En attente"))))))</x:f>
        <x:v>Répondue / cible absente</x:v>
      </x:c>
      <x:c r="O25" s="9" t="str">
        <x:v>Tableau suivi RC !A22:V22</x:v>
      </x:c>
    </x:row>
    <x:row r="26" ht="40" customHeight="1">
      <x:c r="A26" s="9" t="str">
        <x:v>Lille</x:v>
      </x:c>
      <x:c r="B26" s="9" t="str">
        <x:v>RC-21</x:v>
      </x:c>
      <x:c r="C26" s="9" t="str">
        <x:v>ID LOGISTICS</x:v>
      </x:c>
      <x:c r="D26" s="9" t="str">
        <x:v>Réclamation</x:v>
      </x:c>
      <x:c r="E26" s="9" t="str">
        <x:v>Courrier RAR</x:v>
      </x:c>
      <x:c r="F26" s="11" t="n">
        <x:v>46195</x:v>
      </x:c>
      <x:c r="G26" s="11" t="n">
        <x:v>46199</x:v>
      </x:c>
      <x:c r="H26" s="11" t="n">
        <x:v>46205</x:v>
      </x:c>
      <x:c r="I26" s="9" t="str">
        <x:v>Alice RACKELBOOM</x:v>
      </x:c>
      <x:c r="J26" s="13" t="str">
        <x:v>Mise en demeure, 5 jours ouvrés pour mesures correctives et actions, planning à établir pour les actions prévues</x:v>
      </x:c>
      <x:c r="K26" s="13"/>
      <x:c r="L26" s="9"/>
      <x:c r="M26" s="12" t="n">
        <x:f>IF(A26="","",IF(AND(ISNUMBER(G26),ISNUMBER(H26)),H26-G26,""))</x:f>
        <x:v>6</x:v>
      </x:c>
      <x:c r="N26" s="12" t="str">
        <x:f>IF(A26="","",IF(NOT(ISNUMBER(G26)),"Réception manquante",IF(AND(ISNUMBER(H26),H26&lt;G26),"Incohérent",IF('Paramètres'!$E$9="",IF(ISNUMBER(H26),"Répondue / cible absente","Sans réponse / cible absente"),IF(ISNUMBER(H26),IF(M26&lt;='Paramètres'!$E$9,"Dans le délai","Hors délai"),IF('Tableau de bord'!$F$5-G26&gt;'Paramètres'!$E$9,"Retard","En attente"))))))</x:f>
        <x:v>Répondue / cible absente</x:v>
      </x:c>
      <x:c r="O26" s="9" t="str">
        <x:v>Tableau suivi RC !A23:V23</x:v>
      </x:c>
    </x:row>
    <x:row r="27" ht="40" customHeight="1">
      <x:c r="A27" s="9" t="str">
        <x:v>Lille</x:v>
      </x:c>
      <x:c r="B27" s="9" t="str">
        <x:v>RC-22</x:v>
      </x:c>
      <x:c r="C27" s="9" t="str">
        <x:v>FURET DU NORD</x:v>
      </x:c>
      <x:c r="D27" s="9" t="str">
        <x:v>Autres</x:v>
      </x:c>
      <x:c r="E27" s="9" t="str">
        <x:v>Courrier Simple</x:v>
      </x:c>
      <x:c r="F27" s="11" t="n">
        <x:v>46196</x:v>
      </x:c>
      <x:c r="G27" s="11" t="n">
        <x:v>46202</x:v>
      </x:c>
      <x:c r="H27" s="11"/>
      <x:c r="I27" s="9"/>
      <x:c r="J27" s="13" t="str">
        <x:v>Redessement judiciaire</x:v>
      </x:c>
      <x:c r="K27" s="13"/>
      <x:c r="L27" s="9"/>
      <x:c r="M27" s="12" t="str">
        <x:f>IF(A27="","",IF(AND(ISNUMBER(G27),ISNUMBER(H27)),H27-G27,""))</x:f>
      </x:c>
      <x:c r="N27" s="12" t="str">
        <x:f>IF(A27="","",IF(NOT(ISNUMBER(G27)),"Réception manquante",IF(AND(ISNUMBER(H27),H27&lt;G27),"Incohérent",IF('Paramètres'!$E$9="",IF(ISNUMBER(H27),"Répondue / cible absente","Sans réponse / cible absente"),IF(ISNUMBER(H27),IF(M27&lt;='Paramètres'!$E$9,"Dans le délai","Hors délai"),IF('Tableau de bord'!$F$5-G27&gt;'Paramètres'!$E$9,"Retard","En attente"))))))</x:f>
        <x:v>Sans réponse / cible absente</x:v>
      </x:c>
      <x:c r="O27" s="9" t="str">
        <x:v>Tableau suivi RC !A24:V24</x:v>
      </x:c>
    </x:row>
    <x:row r="28" ht="40" customHeight="1">
      <x:c r="A28" s="9" t="str">
        <x:v>Lille</x:v>
      </x:c>
      <x:c r="B28" s="9" t="str">
        <x:v>RC-23</x:v>
      </x:c>
      <x:c r="C28" s="9" t="str">
        <x:v>VINCI JEAN LEFEBVRE</x:v>
      </x:c>
      <x:c r="D28" s="9" t="str">
        <x:v>Résiliation</x:v>
      </x:c>
      <x:c r="E28" s="9" t="str">
        <x:v>Courrier RAR</x:v>
      </x:c>
      <x:c r="F28" s="11" t="n">
        <x:v>46213</x:v>
      </x:c>
      <x:c r="G28" s="11" t="n">
        <x:v>46216</x:v>
      </x:c>
      <x:c r="H28" s="11" t="n">
        <x:v>46230</x:v>
      </x:c>
      <x:c r="I28" s="9" t="str">
        <x:v>Mickael ELISABETH</x:v>
      </x:c>
      <x:c r="J28" s="13" t="str">
        <x:v>Résiliation au 31/10/2026 </x:v>
      </x:c>
      <x:c r="K28" s="13"/>
      <x:c r="L28" s="9"/>
      <x:c r="M28" s="12" t="n">
        <x:f>IF(A28="","",IF(AND(ISNUMBER(G28),ISNUMBER(H28)),H28-G28,""))</x:f>
        <x:v>14</x:v>
      </x:c>
      <x:c r="N28" s="12" t="str">
        <x:f>IF(A28="","",IF(NOT(ISNUMBER(G28)),"Réception manquante",IF(AND(ISNUMBER(H28),H28&lt;G28),"Incohérent",IF('Paramètres'!$E$9="",IF(ISNUMBER(H28),"Répondue / cible absente","Sans réponse / cible absente"),IF(ISNUMBER(H28),IF(M28&lt;='Paramètres'!$E$9,"Dans le délai","Hors délai"),IF('Tableau de bord'!$F$5-G28&gt;'Paramètres'!$E$9,"Retard","En attente"))))))</x:f>
        <x:v>Répondue / cible absente</x:v>
      </x:c>
      <x:c r="O28" s="9" t="str">
        <x:v>Tableau suivi RC !A25:V25</x:v>
      </x:c>
    </x:row>
    <x:row r="29" ht="23" customHeight="1">
      <x:c r="A29" s="9"/>
      <x:c r="B29" s="9"/>
      <x:c r="C29" s="9"/>
      <x:c r="D29" s="9"/>
      <x:c r="E29" s="9"/>
      <x:c r="F29" s="11"/>
      <x:c r="G29" s="11"/>
      <x:c r="H29" s="11"/>
      <x:c r="I29" s="9"/>
      <x:c r="J29" s="9"/>
      <x:c r="K29" s="9"/>
      <x:c r="L29" s="9"/>
      <x:c r="M29" s="12" t="str">
        <x:f>IF(A29="","",IF(AND(ISNUMBER(G29),ISNUMBER(H29)),H29-G29,""))</x:f>
      </x:c>
      <x:c r="N29" s="12" t="str">
        <x:f>IF(A29="","",IF(NOT(ISNUMBER(G29)),"Réception manquante",IF(AND(ISNUMBER(H29),H29&lt;G29),"Incohérent",IF('Paramètres'!$E$9="",IF(ISNUMBER(H29),"Répondue / cible absente","Sans réponse / cible absente"),IF(ISNUMBER(H29),IF(M29&lt;='Paramètres'!$E$9,"Dans le délai","Hors délai"),IF('Tableau de bord'!$F$5-G29&gt;'Paramètres'!$E$9,"Retard","En attente"))))))</x:f>
      </x:c>
      <x:c r="O29" s="9"/>
    </x:row>
    <x:row r="30" ht="23" customHeight="1">
      <x:c r="A30" s="9"/>
      <x:c r="B30" s="9"/>
      <x:c r="C30" s="9"/>
      <x:c r="D30" s="9"/>
      <x:c r="E30" s="9"/>
      <x:c r="F30" s="11"/>
      <x:c r="G30" s="11"/>
      <x:c r="H30" s="11"/>
      <x:c r="I30" s="9"/>
      <x:c r="J30" s="9"/>
      <x:c r="K30" s="9"/>
      <x:c r="L30" s="9"/>
      <x:c r="M30" s="12" t="str">
        <x:f>IF(A30="","",IF(AND(ISNUMBER(G30),ISNUMBER(H30)),H30-G30,""))</x:f>
      </x:c>
      <x:c r="N30" s="12" t="str">
        <x:f>IF(A30="","",IF(NOT(ISNUMBER(G30)),"Réception manquante",IF(AND(ISNUMBER(H30),H30&lt;G30),"Incohérent",IF('Paramètres'!$E$9="",IF(ISNUMBER(H30),"Répondue / cible absente","Sans réponse / cible absente"),IF(ISNUMBER(H30),IF(M30&lt;='Paramètres'!$E$9,"Dans le délai","Hors délai"),IF('Tableau de bord'!$F$5-G30&gt;'Paramètres'!$E$9,"Retard","En attente"))))))</x:f>
      </x:c>
      <x:c r="O30" s="9"/>
    </x:row>
    <x:row r="31" ht="23" customHeight="1">
      <x:c r="A31" s="9"/>
      <x:c r="B31" s="9"/>
      <x:c r="C31" s="9"/>
      <x:c r="D31" s="9"/>
      <x:c r="E31" s="9"/>
      <x:c r="F31" s="11"/>
      <x:c r="G31" s="11"/>
      <x:c r="H31" s="11"/>
      <x:c r="I31" s="9"/>
      <x:c r="J31" s="9"/>
      <x:c r="K31" s="9"/>
      <x:c r="L31" s="9"/>
      <x:c r="M31" s="12" t="str">
        <x:f>IF(A31="","",IF(AND(ISNUMBER(G31),ISNUMBER(H31)),H31-G31,""))</x:f>
      </x:c>
      <x:c r="N31" s="12" t="str">
        <x:f>IF(A31="","",IF(NOT(ISNUMBER(G31)),"Réception manquante",IF(AND(ISNUMBER(H31),H31&lt;G31),"Incohérent",IF('Paramètres'!$E$9="",IF(ISNUMBER(H31),"Répondue / cible absente","Sans réponse / cible absente"),IF(ISNUMBER(H31),IF(M31&lt;='Paramètres'!$E$9,"Dans le délai","Hors délai"),IF('Tableau de bord'!$F$5-G31&gt;'Paramètres'!$E$9,"Retard","En attente"))))))</x:f>
      </x:c>
      <x:c r="O31" s="9"/>
    </x:row>
    <x:row r="32" ht="23" customHeight="1">
      <x:c r="A32" s="9"/>
      <x:c r="B32" s="9"/>
      <x:c r="C32" s="9"/>
      <x:c r="D32" s="9"/>
      <x:c r="E32" s="9"/>
      <x:c r="F32" s="11"/>
      <x:c r="G32" s="11"/>
      <x:c r="H32" s="11"/>
      <x:c r="I32" s="9"/>
      <x:c r="J32" s="9"/>
      <x:c r="K32" s="9"/>
      <x:c r="L32" s="9"/>
      <x:c r="M32" s="12" t="str">
        <x:f>IF(A32="","",IF(AND(ISNUMBER(G32),ISNUMBER(H32)),H32-G32,""))</x:f>
      </x:c>
      <x:c r="N32" s="12" t="str">
        <x:f>IF(A32="","",IF(NOT(ISNUMBER(G32)),"Réception manquante",IF(AND(ISNUMBER(H32),H32&lt;G32),"Incohérent",IF('Paramètres'!$E$9="",IF(ISNUMBER(H32),"Répondue / cible absente","Sans réponse / cible absente"),IF(ISNUMBER(H32),IF(M32&lt;='Paramètres'!$E$9,"Dans le délai","Hors délai"),IF('Tableau de bord'!$F$5-G32&gt;'Paramètres'!$E$9,"Retard","En attente"))))))</x:f>
      </x:c>
      <x:c r="O32" s="9"/>
    </x:row>
    <x:row r="33" ht="23" customHeight="1">
      <x:c r="A33" s="9"/>
      <x:c r="B33" s="9"/>
      <x:c r="C33" s="9"/>
      <x:c r="D33" s="9"/>
      <x:c r="E33" s="9"/>
      <x:c r="F33" s="11"/>
      <x:c r="G33" s="11"/>
      <x:c r="H33" s="11"/>
      <x:c r="I33" s="9"/>
      <x:c r="J33" s="9"/>
      <x:c r="K33" s="9"/>
      <x:c r="L33" s="9"/>
      <x:c r="M33" s="12" t="str">
        <x:f>IF(A33="","",IF(AND(ISNUMBER(G33),ISNUMBER(H33)),H33-G33,""))</x:f>
      </x:c>
      <x:c r="N33" s="12" t="str">
        <x:f>IF(A33="","",IF(NOT(ISNUMBER(G33)),"Réception manquante",IF(AND(ISNUMBER(H33),H33&lt;G33),"Incohérent",IF('Paramètres'!$E$9="",IF(ISNUMBER(H33),"Répondue / cible absente","Sans réponse / cible absente"),IF(ISNUMBER(H33),IF(M33&lt;='Paramètres'!$E$9,"Dans le délai","Hors délai"),IF('Tableau de bord'!$F$5-G33&gt;'Paramètres'!$E$9,"Retard","En attente"))))))</x:f>
      </x:c>
      <x:c r="O33" s="9"/>
    </x:row>
    <x:row r="34" ht="23" customHeight="1">
      <x:c r="A34" s="9"/>
      <x:c r="B34" s="9"/>
      <x:c r="C34" s="9"/>
      <x:c r="D34" s="9"/>
      <x:c r="E34" s="9"/>
      <x:c r="F34" s="11"/>
      <x:c r="G34" s="11"/>
      <x:c r="H34" s="11"/>
      <x:c r="I34" s="9"/>
      <x:c r="J34" s="9"/>
      <x:c r="K34" s="9"/>
      <x:c r="L34" s="9"/>
      <x:c r="M34" s="12" t="str">
        <x:f>IF(A34="","",IF(AND(ISNUMBER(G34),ISNUMBER(H34)),H34-G34,""))</x:f>
      </x:c>
      <x:c r="N34" s="12" t="str">
        <x:f>IF(A34="","",IF(NOT(ISNUMBER(G34)),"Réception manquante",IF(AND(ISNUMBER(H34),H34&lt;G34),"Incohérent",IF('Paramètres'!$E$9="",IF(ISNUMBER(H34),"Répondue / cible absente","Sans réponse / cible absente"),IF(ISNUMBER(H34),IF(M34&lt;='Paramètres'!$E$9,"Dans le délai","Hors délai"),IF('Tableau de bord'!$F$5-G34&gt;'Paramètres'!$E$9,"Retard","En attente"))))))</x:f>
      </x:c>
      <x:c r="O34" s="9"/>
    </x:row>
    <x:row r="35" ht="23" customHeight="1">
      <x:c r="A35" s="9"/>
      <x:c r="B35" s="9"/>
      <x:c r="C35" s="9"/>
      <x:c r="D35" s="9"/>
      <x:c r="E35" s="9"/>
      <x:c r="F35" s="11"/>
      <x:c r="G35" s="11"/>
      <x:c r="H35" s="11"/>
      <x:c r="I35" s="9"/>
      <x:c r="J35" s="9"/>
      <x:c r="K35" s="9"/>
      <x:c r="L35" s="9"/>
      <x:c r="M35" s="12" t="str">
        <x:f>IF(A35="","",IF(AND(ISNUMBER(G35),ISNUMBER(H35)),H35-G35,""))</x:f>
      </x:c>
      <x:c r="N35" s="12" t="str">
        <x:f>IF(A35="","",IF(NOT(ISNUMBER(G35)),"Réception manquante",IF(AND(ISNUMBER(H35),H35&lt;G35),"Incohérent",IF('Paramètres'!$E$9="",IF(ISNUMBER(H35),"Répondue / cible absente","Sans réponse / cible absente"),IF(ISNUMBER(H35),IF(M35&lt;='Paramètres'!$E$9,"Dans le délai","Hors délai"),IF('Tableau de bord'!$F$5-G35&gt;'Paramètres'!$E$9,"Retard","En attente"))))))</x:f>
      </x:c>
      <x:c r="O35" s="9"/>
    </x:row>
    <x:row r="36" ht="23" customHeight="1">
      <x:c r="A36" s="9"/>
      <x:c r="B36" s="9"/>
      <x:c r="C36" s="9"/>
      <x:c r="D36" s="9"/>
      <x:c r="E36" s="9"/>
      <x:c r="F36" s="11"/>
      <x:c r="G36" s="11"/>
      <x:c r="H36" s="11"/>
      <x:c r="I36" s="9"/>
      <x:c r="J36" s="9"/>
      <x:c r="K36" s="9"/>
      <x:c r="L36" s="9"/>
      <x:c r="M36" s="12" t="str">
        <x:f>IF(A36="","",IF(AND(ISNUMBER(G36),ISNUMBER(H36)),H36-G36,""))</x:f>
      </x:c>
      <x:c r="N36" s="12" t="str">
        <x:f>IF(A36="","",IF(NOT(ISNUMBER(G36)),"Réception manquante",IF(AND(ISNUMBER(H36),H36&lt;G36),"Incohérent",IF('Paramètres'!$E$9="",IF(ISNUMBER(H36),"Répondue / cible absente","Sans réponse / cible absente"),IF(ISNUMBER(H36),IF(M36&lt;='Paramètres'!$E$9,"Dans le délai","Hors délai"),IF('Tableau de bord'!$F$5-G36&gt;'Paramètres'!$E$9,"Retard","En attente"))))))</x:f>
      </x:c>
      <x:c r="O36" s="9"/>
    </x:row>
    <x:row r="37" ht="23" customHeight="1">
      <x:c r="A37" s="9"/>
      <x:c r="B37" s="9"/>
      <x:c r="C37" s="9"/>
      <x:c r="D37" s="9"/>
      <x:c r="E37" s="9"/>
      <x:c r="F37" s="11"/>
      <x:c r="G37" s="11"/>
      <x:c r="H37" s="11"/>
      <x:c r="I37" s="9"/>
      <x:c r="J37" s="9"/>
      <x:c r="K37" s="9"/>
      <x:c r="L37" s="9"/>
      <x:c r="M37" s="12" t="str">
        <x:f>IF(A37="","",IF(AND(ISNUMBER(G37),ISNUMBER(H37)),H37-G37,""))</x:f>
      </x:c>
      <x:c r="N37" s="12" t="str">
        <x:f>IF(A37="","",IF(NOT(ISNUMBER(G37)),"Réception manquante",IF(AND(ISNUMBER(H37),H37&lt;G37),"Incohérent",IF('Paramètres'!$E$9="",IF(ISNUMBER(H37),"Répondue / cible absente","Sans réponse / cible absente"),IF(ISNUMBER(H37),IF(M37&lt;='Paramètres'!$E$9,"Dans le délai","Hors délai"),IF('Tableau de bord'!$F$5-G37&gt;'Paramètres'!$E$9,"Retard","En attente"))))))</x:f>
      </x:c>
      <x:c r="O37" s="9"/>
    </x:row>
    <x:row r="38" ht="23" customHeight="1">
      <x:c r="A38" s="9"/>
      <x:c r="B38" s="9"/>
      <x:c r="C38" s="9"/>
      <x:c r="D38" s="9"/>
      <x:c r="E38" s="9"/>
      <x:c r="F38" s="11"/>
      <x:c r="G38" s="11"/>
      <x:c r="H38" s="11"/>
      <x:c r="I38" s="9"/>
      <x:c r="J38" s="9"/>
      <x:c r="K38" s="9"/>
      <x:c r="L38" s="9"/>
      <x:c r="M38" s="12" t="str">
        <x:f>IF(A38="","",IF(AND(ISNUMBER(G38),ISNUMBER(H38)),H38-G38,""))</x:f>
      </x:c>
      <x:c r="N38" s="12" t="str">
        <x:f>IF(A38="","",IF(NOT(ISNUMBER(G38)),"Réception manquante",IF(AND(ISNUMBER(H38),H38&lt;G38),"Incohérent",IF('Paramètres'!$E$9="",IF(ISNUMBER(H38),"Répondue / cible absente","Sans réponse / cible absente"),IF(ISNUMBER(H38),IF(M38&lt;='Paramètres'!$E$9,"Dans le délai","Hors délai"),IF('Tableau de bord'!$F$5-G38&gt;'Paramètres'!$E$9,"Retard","En attente"))))))</x:f>
      </x:c>
      <x:c r="O38" s="9"/>
    </x:row>
    <x:row r="39" ht="23" customHeight="1">
      <x:c r="A39" s="9"/>
      <x:c r="B39" s="9"/>
      <x:c r="C39" s="9"/>
      <x:c r="D39" s="9"/>
      <x:c r="E39" s="9"/>
      <x:c r="F39" s="11"/>
      <x:c r="G39" s="11"/>
      <x:c r="H39" s="11"/>
      <x:c r="I39" s="9"/>
      <x:c r="J39" s="9"/>
      <x:c r="K39" s="9"/>
      <x:c r="L39" s="9"/>
      <x:c r="M39" s="12" t="str">
        <x:f>IF(A39="","",IF(AND(ISNUMBER(G39),ISNUMBER(H39)),H39-G39,""))</x:f>
      </x:c>
      <x:c r="N39" s="12" t="str">
        <x:f>IF(A39="","",IF(NOT(ISNUMBER(G39)),"Réception manquante",IF(AND(ISNUMBER(H39),H39&lt;G39),"Incohérent",IF('Paramètres'!$E$9="",IF(ISNUMBER(H39),"Répondue / cible absente","Sans réponse / cible absente"),IF(ISNUMBER(H39),IF(M39&lt;='Paramètres'!$E$9,"Dans le délai","Hors délai"),IF('Tableau de bord'!$F$5-G39&gt;'Paramètres'!$E$9,"Retard","En attente"))))))</x:f>
      </x:c>
      <x:c r="O39" s="9"/>
    </x:row>
    <x:row r="40" ht="23" customHeight="1">
      <x:c r="A40" s="9"/>
      <x:c r="B40" s="9"/>
      <x:c r="C40" s="9"/>
      <x:c r="D40" s="9"/>
      <x:c r="E40" s="9"/>
      <x:c r="F40" s="11"/>
      <x:c r="G40" s="11"/>
      <x:c r="H40" s="11"/>
      <x:c r="I40" s="9"/>
      <x:c r="J40" s="9"/>
      <x:c r="K40" s="9"/>
      <x:c r="L40" s="9"/>
      <x:c r="M40" s="12" t="str">
        <x:f>IF(A40="","",IF(AND(ISNUMBER(G40),ISNUMBER(H40)),H40-G40,""))</x:f>
      </x:c>
      <x:c r="N40" s="12" t="str">
        <x:f>IF(A40="","",IF(NOT(ISNUMBER(G40)),"Réception manquante",IF(AND(ISNUMBER(H40),H40&lt;G40),"Incohérent",IF('Paramètres'!$E$9="",IF(ISNUMBER(H40),"Répondue / cible absente","Sans réponse / cible absente"),IF(ISNUMBER(H40),IF(M40&lt;='Paramètres'!$E$9,"Dans le délai","Hors délai"),IF('Tableau de bord'!$F$5-G40&gt;'Paramètres'!$E$9,"Retard","En attente"))))))</x:f>
      </x:c>
      <x:c r="O40" s="9"/>
    </x:row>
    <x:row r="41" ht="23" customHeight="1">
      <x:c r="A41" s="9"/>
      <x:c r="B41" s="9"/>
      <x:c r="C41" s="9"/>
      <x:c r="D41" s="9"/>
      <x:c r="E41" s="9"/>
      <x:c r="F41" s="11"/>
      <x:c r="G41" s="11"/>
      <x:c r="H41" s="11"/>
      <x:c r="I41" s="9"/>
      <x:c r="J41" s="9"/>
      <x:c r="K41" s="9"/>
      <x:c r="L41" s="9"/>
      <x:c r="M41" s="12" t="str">
        <x:f>IF(A41="","",IF(AND(ISNUMBER(G41),ISNUMBER(H41)),H41-G41,""))</x:f>
      </x:c>
      <x:c r="N41" s="12" t="str">
        <x:f>IF(A41="","",IF(NOT(ISNUMBER(G41)),"Réception manquante",IF(AND(ISNUMBER(H41),H41&lt;G41),"Incohérent",IF('Paramètres'!$E$9="",IF(ISNUMBER(H41),"Répondue / cible absente","Sans réponse / cible absente"),IF(ISNUMBER(H41),IF(M41&lt;='Paramètres'!$E$9,"Dans le délai","Hors délai"),IF('Tableau de bord'!$F$5-G41&gt;'Paramètres'!$E$9,"Retard","En attente"))))))</x:f>
      </x:c>
      <x:c r="O41" s="9"/>
    </x:row>
    <x:row r="42" ht="23" customHeight="1">
      <x:c r="A42" s="9"/>
      <x:c r="B42" s="9"/>
      <x:c r="C42" s="9"/>
      <x:c r="D42" s="9"/>
      <x:c r="E42" s="9"/>
      <x:c r="F42" s="11"/>
      <x:c r="G42" s="11"/>
      <x:c r="H42" s="11"/>
      <x:c r="I42" s="9"/>
      <x:c r="J42" s="9"/>
      <x:c r="K42" s="9"/>
      <x:c r="L42" s="9"/>
      <x:c r="M42" s="12" t="str">
        <x:f>IF(A42="","",IF(AND(ISNUMBER(G42),ISNUMBER(H42)),H42-G42,""))</x:f>
      </x:c>
      <x:c r="N42" s="12" t="str">
        <x:f>IF(A42="","",IF(NOT(ISNUMBER(G42)),"Réception manquante",IF(AND(ISNUMBER(H42),H42&lt;G42),"Incohérent",IF('Paramètres'!$E$9="",IF(ISNUMBER(H42),"Répondue / cible absente","Sans réponse / cible absente"),IF(ISNUMBER(H42),IF(M42&lt;='Paramètres'!$E$9,"Dans le délai","Hors délai"),IF('Tableau de bord'!$F$5-G42&gt;'Paramètres'!$E$9,"Retard","En attente"))))))</x:f>
      </x:c>
      <x:c r="O42" s="9"/>
    </x:row>
    <x:row r="43" ht="23" customHeight="1">
      <x:c r="A43" s="9"/>
      <x:c r="B43" s="9"/>
      <x:c r="C43" s="9"/>
      <x:c r="D43" s="9"/>
      <x:c r="E43" s="9"/>
      <x:c r="F43" s="11"/>
      <x:c r="G43" s="11"/>
      <x:c r="H43" s="11"/>
      <x:c r="I43" s="9"/>
      <x:c r="J43" s="9"/>
      <x:c r="K43" s="9"/>
      <x:c r="L43" s="9"/>
      <x:c r="M43" s="12" t="str">
        <x:f>IF(A43="","",IF(AND(ISNUMBER(G43),ISNUMBER(H43)),H43-G43,""))</x:f>
      </x:c>
      <x:c r="N43" s="12" t="str">
        <x:f>IF(A43="","",IF(NOT(ISNUMBER(G43)),"Réception manquante",IF(AND(ISNUMBER(H43),H43&lt;G43),"Incohérent",IF('Paramètres'!$E$9="",IF(ISNUMBER(H43),"Répondue / cible absente","Sans réponse / cible absente"),IF(ISNUMBER(H43),IF(M43&lt;='Paramètres'!$E$9,"Dans le délai","Hors délai"),IF('Tableau de bord'!$F$5-G43&gt;'Paramètres'!$E$9,"Retard","En attente"))))))</x:f>
      </x:c>
      <x:c r="O43" s="9"/>
    </x:row>
    <x:row r="44" ht="23" customHeight="1">
      <x:c r="A44" s="9"/>
      <x:c r="B44" s="9"/>
      <x:c r="C44" s="9"/>
      <x:c r="D44" s="9"/>
      <x:c r="E44" s="9"/>
      <x:c r="F44" s="11"/>
      <x:c r="G44" s="11"/>
      <x:c r="H44" s="11"/>
      <x:c r="I44" s="9"/>
      <x:c r="J44" s="9"/>
      <x:c r="K44" s="9"/>
      <x:c r="L44" s="9"/>
      <x:c r="M44" s="12" t="str">
        <x:f>IF(A44="","",IF(AND(ISNUMBER(G44),ISNUMBER(H44)),H44-G44,""))</x:f>
      </x:c>
      <x:c r="N44" s="12" t="str">
        <x:f>IF(A44="","",IF(NOT(ISNUMBER(G44)),"Réception manquante",IF(AND(ISNUMBER(H44),H44&lt;G44),"Incohérent",IF('Paramètres'!$E$9="",IF(ISNUMBER(H44),"Répondue / cible absente","Sans réponse / cible absente"),IF(ISNUMBER(H44),IF(M44&lt;='Paramètres'!$E$9,"Dans le délai","Hors délai"),IF('Tableau de bord'!$F$5-G44&gt;'Paramètres'!$E$9,"Retard","En attente"))))))</x:f>
      </x:c>
      <x:c r="O44" s="9"/>
    </x:row>
    <x:row r="45" ht="23" customHeight="1">
      <x:c r="A45" s="9"/>
      <x:c r="B45" s="9"/>
      <x:c r="C45" s="9"/>
      <x:c r="D45" s="9"/>
      <x:c r="E45" s="9"/>
      <x:c r="F45" s="11"/>
      <x:c r="G45" s="11"/>
      <x:c r="H45" s="11"/>
      <x:c r="I45" s="9"/>
      <x:c r="J45" s="9"/>
      <x:c r="K45" s="9"/>
      <x:c r="L45" s="9"/>
      <x:c r="M45" s="12" t="str">
        <x:f>IF(A45="","",IF(AND(ISNUMBER(G45),ISNUMBER(H45)),H45-G45,""))</x:f>
      </x:c>
      <x:c r="N45" s="12" t="str">
        <x:f>IF(A45="","",IF(NOT(ISNUMBER(G45)),"Réception manquante",IF(AND(ISNUMBER(H45),H45&lt;G45),"Incohérent",IF('Paramètres'!$E$9="",IF(ISNUMBER(H45),"Répondue / cible absente","Sans réponse / cible absente"),IF(ISNUMBER(H45),IF(M45&lt;='Paramètres'!$E$9,"Dans le délai","Hors délai"),IF('Tableau de bord'!$F$5-G45&gt;'Paramètres'!$E$9,"Retard","En attente"))))))</x:f>
      </x:c>
      <x:c r="O45" s="9"/>
    </x:row>
    <x:row r="46" ht="23" customHeight="1">
      <x:c r="A46" s="9"/>
      <x:c r="B46" s="9"/>
      <x:c r="C46" s="9"/>
      <x:c r="D46" s="9"/>
      <x:c r="E46" s="9"/>
      <x:c r="F46" s="11"/>
      <x:c r="G46" s="11"/>
      <x:c r="H46" s="11"/>
      <x:c r="I46" s="9"/>
      <x:c r="J46" s="9"/>
      <x:c r="K46" s="9"/>
      <x:c r="L46" s="9"/>
      <x:c r="M46" s="12" t="str">
        <x:f>IF(A46="","",IF(AND(ISNUMBER(G46),ISNUMBER(H46)),H46-G46,""))</x:f>
      </x:c>
      <x:c r="N46" s="12" t="str">
        <x:f>IF(A46="","",IF(NOT(ISNUMBER(G46)),"Réception manquante",IF(AND(ISNUMBER(H46),H46&lt;G46),"Incohérent",IF('Paramètres'!$E$9="",IF(ISNUMBER(H46),"Répondue / cible absente","Sans réponse / cible absente"),IF(ISNUMBER(H46),IF(M46&lt;='Paramètres'!$E$9,"Dans le délai","Hors délai"),IF('Tableau de bord'!$F$5-G46&gt;'Paramètres'!$E$9,"Retard","En attente"))))))</x:f>
      </x:c>
      <x:c r="O46" s="9"/>
    </x:row>
    <x:row r="47" ht="23" customHeight="1">
      <x:c r="A47" s="9"/>
      <x:c r="B47" s="9"/>
      <x:c r="C47" s="9"/>
      <x:c r="D47" s="9"/>
      <x:c r="E47" s="9"/>
      <x:c r="F47" s="11"/>
      <x:c r="G47" s="11"/>
      <x:c r="H47" s="11"/>
      <x:c r="I47" s="9"/>
      <x:c r="J47" s="9"/>
      <x:c r="K47" s="9"/>
      <x:c r="L47" s="9"/>
      <x:c r="M47" s="12" t="str">
        <x:f>IF(A47="","",IF(AND(ISNUMBER(G47),ISNUMBER(H47)),H47-G47,""))</x:f>
      </x:c>
      <x:c r="N47" s="12" t="str">
        <x:f>IF(A47="","",IF(NOT(ISNUMBER(G47)),"Réception manquante",IF(AND(ISNUMBER(H47),H47&lt;G47),"Incohérent",IF('Paramètres'!$E$9="",IF(ISNUMBER(H47),"Répondue / cible absente","Sans réponse / cible absente"),IF(ISNUMBER(H47),IF(M47&lt;='Paramètres'!$E$9,"Dans le délai","Hors délai"),IF('Tableau de bord'!$F$5-G47&gt;'Paramètres'!$E$9,"Retard","En attente"))))))</x:f>
      </x:c>
      <x:c r="O47" s="9"/>
    </x:row>
    <x:row r="48" ht="23" customHeight="1">
      <x:c r="A48" s="9"/>
      <x:c r="B48" s="9"/>
      <x:c r="C48" s="9"/>
      <x:c r="D48" s="9"/>
      <x:c r="E48" s="9"/>
      <x:c r="F48" s="11"/>
      <x:c r="G48" s="11"/>
      <x:c r="H48" s="11"/>
      <x:c r="I48" s="9"/>
      <x:c r="J48" s="9"/>
      <x:c r="K48" s="9"/>
      <x:c r="L48" s="9"/>
      <x:c r="M48" s="12" t="str">
        <x:f>IF(A48="","",IF(AND(ISNUMBER(G48),ISNUMBER(H48)),H48-G48,""))</x:f>
      </x:c>
      <x:c r="N48" s="12" t="str">
        <x:f>IF(A48="","",IF(NOT(ISNUMBER(G48)),"Réception manquante",IF(AND(ISNUMBER(H48),H48&lt;G48),"Incohérent",IF('Paramètres'!$E$9="",IF(ISNUMBER(H48),"Répondue / cible absente","Sans réponse / cible absente"),IF(ISNUMBER(H48),IF(M48&lt;='Paramètres'!$E$9,"Dans le délai","Hors délai"),IF('Tableau de bord'!$F$5-G48&gt;'Paramètres'!$E$9,"Retard","En attente"))))))</x:f>
      </x:c>
      <x:c r="O48" s="9"/>
    </x:row>
    <x:row r="49" ht="23" customHeight="1">
      <x:c r="A49" s="9"/>
      <x:c r="B49" s="9"/>
      <x:c r="C49" s="9"/>
      <x:c r="D49" s="9"/>
      <x:c r="E49" s="9"/>
      <x:c r="F49" s="11"/>
      <x:c r="G49" s="11"/>
      <x:c r="H49" s="11"/>
      <x:c r="I49" s="9"/>
      <x:c r="J49" s="9"/>
      <x:c r="K49" s="9"/>
      <x:c r="L49" s="9"/>
      <x:c r="M49" s="12" t="str">
        <x:f>IF(A49="","",IF(AND(ISNUMBER(G49),ISNUMBER(H49)),H49-G49,""))</x:f>
      </x:c>
      <x:c r="N49" s="12" t="str">
        <x:f>IF(A49="","",IF(NOT(ISNUMBER(G49)),"Réception manquante",IF(AND(ISNUMBER(H49),H49&lt;G49),"Incohérent",IF('Paramètres'!$E$9="",IF(ISNUMBER(H49),"Répondue / cible absente","Sans réponse / cible absente"),IF(ISNUMBER(H49),IF(M49&lt;='Paramètres'!$E$9,"Dans le délai","Hors délai"),IF('Tableau de bord'!$F$5-G49&gt;'Paramètres'!$E$9,"Retard","En attente"))))))</x:f>
      </x:c>
      <x:c r="O49" s="9"/>
    </x:row>
    <x:row r="50" ht="23" customHeight="1">
      <x:c r="A50" s="9"/>
      <x:c r="B50" s="9"/>
      <x:c r="C50" s="9"/>
      <x:c r="D50" s="9"/>
      <x:c r="E50" s="9"/>
      <x:c r="F50" s="11"/>
      <x:c r="G50" s="11"/>
      <x:c r="H50" s="11"/>
      <x:c r="I50" s="9"/>
      <x:c r="J50" s="9"/>
      <x:c r="K50" s="9"/>
      <x:c r="L50" s="9"/>
      <x:c r="M50" s="12" t="str">
        <x:f>IF(A50="","",IF(AND(ISNUMBER(G50),ISNUMBER(H50)),H50-G50,""))</x:f>
      </x:c>
      <x:c r="N50" s="12" t="str">
        <x:f>IF(A50="","",IF(NOT(ISNUMBER(G50)),"Réception manquante",IF(AND(ISNUMBER(H50),H50&lt;G50),"Incohérent",IF('Paramètres'!$E$9="",IF(ISNUMBER(H50),"Répondue / cible absente","Sans réponse / cible absente"),IF(ISNUMBER(H50),IF(M50&lt;='Paramètres'!$E$9,"Dans le délai","Hors délai"),IF('Tableau de bord'!$F$5-G50&gt;'Paramètres'!$E$9,"Retard","En attente"))))))</x:f>
      </x:c>
      <x:c r="O50" s="9"/>
    </x:row>
    <x:row r="51" ht="23" customHeight="1">
      <x:c r="A51" s="9"/>
      <x:c r="B51" s="9"/>
      <x:c r="C51" s="9"/>
      <x:c r="D51" s="9"/>
      <x:c r="E51" s="9"/>
      <x:c r="F51" s="11"/>
      <x:c r="G51" s="11"/>
      <x:c r="H51" s="11"/>
      <x:c r="I51" s="9"/>
      <x:c r="J51" s="9"/>
      <x:c r="K51" s="9"/>
      <x:c r="L51" s="9"/>
      <x:c r="M51" s="12" t="str">
        <x:f>IF(A51="","",IF(AND(ISNUMBER(G51),ISNUMBER(H51)),H51-G51,""))</x:f>
      </x:c>
      <x:c r="N51" s="12" t="str">
        <x:f>IF(A51="","",IF(NOT(ISNUMBER(G51)),"Réception manquante",IF(AND(ISNUMBER(H51),H51&lt;G51),"Incohérent",IF('Paramètres'!$E$9="",IF(ISNUMBER(H51),"Répondue / cible absente","Sans réponse / cible absente"),IF(ISNUMBER(H51),IF(M51&lt;='Paramètres'!$E$9,"Dans le délai","Hors délai"),IF('Tableau de bord'!$F$5-G51&gt;'Paramètres'!$E$9,"Retard","En attente"))))))</x:f>
      </x:c>
      <x:c r="O51" s="9"/>
    </x:row>
    <x:row r="52" ht="23" customHeight="1">
      <x:c r="A52" s="9"/>
      <x:c r="B52" s="9"/>
      <x:c r="C52" s="9"/>
      <x:c r="D52" s="9"/>
      <x:c r="E52" s="9"/>
      <x:c r="F52" s="11"/>
      <x:c r="G52" s="11"/>
      <x:c r="H52" s="11"/>
      <x:c r="I52" s="9"/>
      <x:c r="J52" s="9"/>
      <x:c r="K52" s="9"/>
      <x:c r="L52" s="9"/>
      <x:c r="M52" s="12" t="str">
        <x:f>IF(A52="","",IF(AND(ISNUMBER(G52),ISNUMBER(H52)),H52-G52,""))</x:f>
      </x:c>
      <x:c r="N52" s="12" t="str">
        <x:f>IF(A52="","",IF(NOT(ISNUMBER(G52)),"Réception manquante",IF(AND(ISNUMBER(H52),H52&lt;G52),"Incohérent",IF('Paramètres'!$E$9="",IF(ISNUMBER(H52),"Répondue / cible absente","Sans réponse / cible absente"),IF(ISNUMBER(H52),IF(M52&lt;='Paramètres'!$E$9,"Dans le délai","Hors délai"),IF('Tableau de bord'!$F$5-G52&gt;'Paramètres'!$E$9,"Retard","En attente"))))))</x:f>
      </x:c>
      <x:c r="O52" s="9"/>
    </x:row>
    <x:row r="53" ht="23" customHeight="1">
      <x:c r="A53" s="9"/>
      <x:c r="B53" s="9"/>
      <x:c r="C53" s="9"/>
      <x:c r="D53" s="9"/>
      <x:c r="E53" s="9"/>
      <x:c r="F53" s="11"/>
      <x:c r="G53" s="11"/>
      <x:c r="H53" s="11"/>
      <x:c r="I53" s="9"/>
      <x:c r="J53" s="9"/>
      <x:c r="K53" s="9"/>
      <x:c r="L53" s="9"/>
      <x:c r="M53" s="12" t="str">
        <x:f>IF(A53="","",IF(AND(ISNUMBER(G53),ISNUMBER(H53)),H53-G53,""))</x:f>
      </x:c>
      <x:c r="N53" s="12" t="str">
        <x:f>IF(A53="","",IF(NOT(ISNUMBER(G53)),"Réception manquante",IF(AND(ISNUMBER(H53),H53&lt;G53),"Incohérent",IF('Paramètres'!$E$9="",IF(ISNUMBER(H53),"Répondue / cible absente","Sans réponse / cible absente"),IF(ISNUMBER(H53),IF(M53&lt;='Paramètres'!$E$9,"Dans le délai","Hors délai"),IF('Tableau de bord'!$F$5-G53&gt;'Paramètres'!$E$9,"Retard","En attente"))))))</x:f>
      </x:c>
      <x:c r="O53" s="9"/>
    </x:row>
    <x:row r="54" ht="23" customHeight="1">
      <x:c r="A54" s="9"/>
      <x:c r="B54" s="9"/>
      <x:c r="C54" s="9"/>
      <x:c r="D54" s="9"/>
      <x:c r="E54" s="9"/>
      <x:c r="F54" s="11"/>
      <x:c r="G54" s="11"/>
      <x:c r="H54" s="11"/>
      <x:c r="I54" s="9"/>
      <x:c r="J54" s="9"/>
      <x:c r="K54" s="9"/>
      <x:c r="L54" s="9"/>
      <x:c r="M54" s="12" t="str">
        <x:f>IF(A54="","",IF(AND(ISNUMBER(G54),ISNUMBER(H54)),H54-G54,""))</x:f>
      </x:c>
      <x:c r="N54" s="12" t="str">
        <x:f>IF(A54="","",IF(NOT(ISNUMBER(G54)),"Réception manquante",IF(AND(ISNUMBER(H54),H54&lt;G54),"Incohérent",IF('Paramètres'!$E$9="",IF(ISNUMBER(H54),"Répondue / cible absente","Sans réponse / cible absente"),IF(ISNUMBER(H54),IF(M54&lt;='Paramètres'!$E$9,"Dans le délai","Hors délai"),IF('Tableau de bord'!$F$5-G54&gt;'Paramètres'!$E$9,"Retard","En attente"))))))</x:f>
      </x:c>
      <x:c r="O54" s="9"/>
    </x:row>
    <x:row r="55" ht="23" customHeight="1">
      <x:c r="A55" s="9"/>
      <x:c r="B55" s="9"/>
      <x:c r="C55" s="9"/>
      <x:c r="D55" s="9"/>
      <x:c r="E55" s="9"/>
      <x:c r="F55" s="11"/>
      <x:c r="G55" s="11"/>
      <x:c r="H55" s="11"/>
      <x:c r="I55" s="9"/>
      <x:c r="J55" s="9"/>
      <x:c r="K55" s="9"/>
      <x:c r="L55" s="9"/>
      <x:c r="M55" s="12" t="str">
        <x:f>IF(A55="","",IF(AND(ISNUMBER(G55),ISNUMBER(H55)),H55-G55,""))</x:f>
      </x:c>
      <x:c r="N55" s="12" t="str">
        <x:f>IF(A55="","",IF(NOT(ISNUMBER(G55)),"Réception manquante",IF(AND(ISNUMBER(H55),H55&lt;G55),"Incohérent",IF('Paramètres'!$E$9="",IF(ISNUMBER(H55),"Répondue / cible absente","Sans réponse / cible absente"),IF(ISNUMBER(H55),IF(M55&lt;='Paramètres'!$E$9,"Dans le délai","Hors délai"),IF('Tableau de bord'!$F$5-G55&gt;'Paramètres'!$E$9,"Retard","En attente"))))))</x:f>
      </x:c>
      <x:c r="O55" s="9"/>
    </x:row>
    <x:row r="56" ht="23" customHeight="1">
      <x:c r="A56" s="9"/>
      <x:c r="B56" s="9"/>
      <x:c r="C56" s="9"/>
      <x:c r="D56" s="9"/>
      <x:c r="E56" s="9"/>
      <x:c r="F56" s="11"/>
      <x:c r="G56" s="11"/>
      <x:c r="H56" s="11"/>
      <x:c r="I56" s="9"/>
      <x:c r="J56" s="9"/>
      <x:c r="K56" s="9"/>
      <x:c r="L56" s="9"/>
      <x:c r="M56" s="12" t="str">
        <x:f>IF(A56="","",IF(AND(ISNUMBER(G56),ISNUMBER(H56)),H56-G56,""))</x:f>
      </x:c>
      <x:c r="N56" s="12" t="str">
        <x:f>IF(A56="","",IF(NOT(ISNUMBER(G56)),"Réception manquante",IF(AND(ISNUMBER(H56),H56&lt;G56),"Incohérent",IF('Paramètres'!$E$9="",IF(ISNUMBER(H56),"Répondue / cible absente","Sans réponse / cible absente"),IF(ISNUMBER(H56),IF(M56&lt;='Paramètres'!$E$9,"Dans le délai","Hors délai"),IF('Tableau de bord'!$F$5-G56&gt;'Paramètres'!$E$9,"Retard","En attente"))))))</x:f>
      </x:c>
      <x:c r="O56" s="9"/>
    </x:row>
    <x:row r="57" ht="23" customHeight="1">
      <x:c r="A57" s="9"/>
      <x:c r="B57" s="9"/>
      <x:c r="C57" s="9"/>
      <x:c r="D57" s="9"/>
      <x:c r="E57" s="9"/>
      <x:c r="F57" s="11"/>
      <x:c r="G57" s="11"/>
      <x:c r="H57" s="11"/>
      <x:c r="I57" s="9"/>
      <x:c r="J57" s="9"/>
      <x:c r="K57" s="9"/>
      <x:c r="L57" s="9"/>
      <x:c r="M57" s="12" t="str">
        <x:f>IF(A57="","",IF(AND(ISNUMBER(G57),ISNUMBER(H57)),H57-G57,""))</x:f>
      </x:c>
      <x:c r="N57" s="12" t="str">
        <x:f>IF(A57="","",IF(NOT(ISNUMBER(G57)),"Réception manquante",IF(AND(ISNUMBER(H57),H57&lt;G57),"Incohérent",IF('Paramètres'!$E$9="",IF(ISNUMBER(H57),"Répondue / cible absente","Sans réponse / cible absente"),IF(ISNUMBER(H57),IF(M57&lt;='Paramètres'!$E$9,"Dans le délai","Hors délai"),IF('Tableau de bord'!$F$5-G57&gt;'Paramètres'!$E$9,"Retard","En attente"))))))</x:f>
      </x:c>
      <x:c r="O57" s="9"/>
    </x:row>
    <x:row r="58" ht="23" customHeight="1">
      <x:c r="A58" s="9"/>
      <x:c r="B58" s="9"/>
      <x:c r="C58" s="9"/>
      <x:c r="D58" s="9"/>
      <x:c r="E58" s="9"/>
      <x:c r="F58" s="11"/>
      <x:c r="G58" s="11"/>
      <x:c r="H58" s="11"/>
      <x:c r="I58" s="9"/>
      <x:c r="J58" s="9"/>
      <x:c r="K58" s="9"/>
      <x:c r="L58" s="9"/>
      <x:c r="M58" s="12" t="str">
        <x:f>IF(A58="","",IF(AND(ISNUMBER(G58),ISNUMBER(H58)),H58-G58,""))</x:f>
      </x:c>
      <x:c r="N58" s="12" t="str">
        <x:f>IF(A58="","",IF(NOT(ISNUMBER(G58)),"Réception manquante",IF(AND(ISNUMBER(H58),H58&lt;G58),"Incohérent",IF('Paramètres'!$E$9="",IF(ISNUMBER(H58),"Répondue / cible absente","Sans réponse / cible absente"),IF(ISNUMBER(H58),IF(M58&lt;='Paramètres'!$E$9,"Dans le délai","Hors délai"),IF('Tableau de bord'!$F$5-G58&gt;'Paramètres'!$E$9,"Retard","En attente"))))))</x:f>
      </x:c>
      <x:c r="O58" s="9"/>
    </x:row>
    <x:row r="59" ht="23" customHeight="1">
      <x:c r="A59" s="9"/>
      <x:c r="B59" s="9"/>
      <x:c r="C59" s="9"/>
      <x:c r="D59" s="9"/>
      <x:c r="E59" s="9"/>
      <x:c r="F59" s="11"/>
      <x:c r="G59" s="11"/>
      <x:c r="H59" s="11"/>
      <x:c r="I59" s="9"/>
      <x:c r="J59" s="9"/>
      <x:c r="K59" s="9"/>
      <x:c r="L59" s="9"/>
      <x:c r="M59" s="12" t="str">
        <x:f>IF(A59="","",IF(AND(ISNUMBER(G59),ISNUMBER(H59)),H59-G59,""))</x:f>
      </x:c>
      <x:c r="N59" s="12" t="str">
        <x:f>IF(A59="","",IF(NOT(ISNUMBER(G59)),"Réception manquante",IF(AND(ISNUMBER(H59),H59&lt;G59),"Incohérent",IF('Paramètres'!$E$9="",IF(ISNUMBER(H59),"Répondue / cible absente","Sans réponse / cible absente"),IF(ISNUMBER(H59),IF(M59&lt;='Paramètres'!$E$9,"Dans le délai","Hors délai"),IF('Tableau de bord'!$F$5-G59&gt;'Paramètres'!$E$9,"Retard","En attente"))))))</x:f>
      </x:c>
      <x:c r="O59" s="9"/>
    </x:row>
    <x:row r="60" ht="23" customHeight="1">
      <x:c r="A60" s="9"/>
      <x:c r="B60" s="9"/>
      <x:c r="C60" s="9"/>
      <x:c r="D60" s="9"/>
      <x:c r="E60" s="9"/>
      <x:c r="F60" s="11"/>
      <x:c r="G60" s="11"/>
      <x:c r="H60" s="11"/>
      <x:c r="I60" s="9"/>
      <x:c r="J60" s="9"/>
      <x:c r="K60" s="9"/>
      <x:c r="L60" s="9"/>
      <x:c r="M60" s="12" t="str">
        <x:f>IF(A60="","",IF(AND(ISNUMBER(G60),ISNUMBER(H60)),H60-G60,""))</x:f>
      </x:c>
      <x:c r="N60" s="12" t="str">
        <x:f>IF(A60="","",IF(NOT(ISNUMBER(G60)),"Réception manquante",IF(AND(ISNUMBER(H60),H60&lt;G60),"Incohérent",IF('Paramètres'!$E$9="",IF(ISNUMBER(H60),"Répondue / cible absente","Sans réponse / cible absente"),IF(ISNUMBER(H60),IF(M60&lt;='Paramètres'!$E$9,"Dans le délai","Hors délai"),IF('Tableau de bord'!$F$5-G60&gt;'Paramètres'!$E$9,"Retard","En attente"))))))</x:f>
      </x:c>
      <x:c r="O60" s="9"/>
    </x:row>
    <x:row r="61" ht="23" customHeight="1">
      <x:c r="A61" s="9"/>
      <x:c r="B61" s="9"/>
      <x:c r="C61" s="9"/>
      <x:c r="D61" s="9"/>
      <x:c r="E61" s="9"/>
      <x:c r="F61" s="11"/>
      <x:c r="G61" s="11"/>
      <x:c r="H61" s="11"/>
      <x:c r="I61" s="9"/>
      <x:c r="J61" s="9"/>
      <x:c r="K61" s="9"/>
      <x:c r="L61" s="9"/>
      <x:c r="M61" s="12" t="str">
        <x:f>IF(A61="","",IF(AND(ISNUMBER(G61),ISNUMBER(H61)),H61-G61,""))</x:f>
      </x:c>
      <x:c r="N61" s="12" t="str">
        <x:f>IF(A61="","",IF(NOT(ISNUMBER(G61)),"Réception manquante",IF(AND(ISNUMBER(H61),H61&lt;G61),"Incohérent",IF('Paramètres'!$E$9="",IF(ISNUMBER(H61),"Répondue / cible absente","Sans réponse / cible absente"),IF(ISNUMBER(H61),IF(M61&lt;='Paramètres'!$E$9,"Dans le délai","Hors délai"),IF('Tableau de bord'!$F$5-G61&gt;'Paramètres'!$E$9,"Retard","En attente"))))))</x:f>
      </x:c>
      <x:c r="O61" s="9"/>
    </x:row>
    <x:row r="62" ht="23" customHeight="1">
      <x:c r="A62" s="9"/>
      <x:c r="B62" s="9"/>
      <x:c r="C62" s="9"/>
      <x:c r="D62" s="9"/>
      <x:c r="E62" s="9"/>
      <x:c r="F62" s="11"/>
      <x:c r="G62" s="11"/>
      <x:c r="H62" s="11"/>
      <x:c r="I62" s="9"/>
      <x:c r="J62" s="9"/>
      <x:c r="K62" s="9"/>
      <x:c r="L62" s="9"/>
      <x:c r="M62" s="12" t="str">
        <x:f>IF(A62="","",IF(AND(ISNUMBER(G62),ISNUMBER(H62)),H62-G62,""))</x:f>
      </x:c>
      <x:c r="N62" s="12" t="str">
        <x:f>IF(A62="","",IF(NOT(ISNUMBER(G62)),"Réception manquante",IF(AND(ISNUMBER(H62),H62&lt;G62),"Incohérent",IF('Paramètres'!$E$9="",IF(ISNUMBER(H62),"Répondue / cible absente","Sans réponse / cible absente"),IF(ISNUMBER(H62),IF(M62&lt;='Paramètres'!$E$9,"Dans le délai","Hors délai"),IF('Tableau de bord'!$F$5-G62&gt;'Paramètres'!$E$9,"Retard","En attente"))))))</x:f>
      </x:c>
      <x:c r="O62" s="9"/>
    </x:row>
    <x:row r="63" ht="23" customHeight="1">
      <x:c r="A63" s="9"/>
      <x:c r="B63" s="9"/>
      <x:c r="C63" s="9"/>
      <x:c r="D63" s="9"/>
      <x:c r="E63" s="9"/>
      <x:c r="F63" s="11"/>
      <x:c r="G63" s="11"/>
      <x:c r="H63" s="11"/>
      <x:c r="I63" s="9"/>
      <x:c r="J63" s="9"/>
      <x:c r="K63" s="9"/>
      <x:c r="L63" s="9"/>
      <x:c r="M63" s="12" t="str">
        <x:f>IF(A63="","",IF(AND(ISNUMBER(G63),ISNUMBER(H63)),H63-G63,""))</x:f>
      </x:c>
      <x:c r="N63" s="12" t="str">
        <x:f>IF(A63="","",IF(NOT(ISNUMBER(G63)),"Réception manquante",IF(AND(ISNUMBER(H63),H63&lt;G63),"Incohérent",IF('Paramètres'!$E$9="",IF(ISNUMBER(H63),"Répondue / cible absente","Sans réponse / cible absente"),IF(ISNUMBER(H63),IF(M63&lt;='Paramètres'!$E$9,"Dans le délai","Hors délai"),IF('Tableau de bord'!$F$5-G63&gt;'Paramètres'!$E$9,"Retard","En attente"))))))</x:f>
      </x:c>
      <x:c r="O63" s="9"/>
    </x:row>
    <x:row r="64" ht="23" customHeight="1">
      <x:c r="A64" s="9"/>
      <x:c r="B64" s="9"/>
      <x:c r="C64" s="9"/>
      <x:c r="D64" s="9"/>
      <x:c r="E64" s="9"/>
      <x:c r="F64" s="11"/>
      <x:c r="G64" s="11"/>
      <x:c r="H64" s="11"/>
      <x:c r="I64" s="9"/>
      <x:c r="J64" s="9"/>
      <x:c r="K64" s="9"/>
      <x:c r="L64" s="9"/>
      <x:c r="M64" s="12" t="str">
        <x:f>IF(A64="","",IF(AND(ISNUMBER(G64),ISNUMBER(H64)),H64-G64,""))</x:f>
      </x:c>
      <x:c r="N64" s="12" t="str">
        <x:f>IF(A64="","",IF(NOT(ISNUMBER(G64)),"Réception manquante",IF(AND(ISNUMBER(H64),H64&lt;G64),"Incohérent",IF('Paramètres'!$E$9="",IF(ISNUMBER(H64),"Répondue / cible absente","Sans réponse / cible absente"),IF(ISNUMBER(H64),IF(M64&lt;='Paramètres'!$E$9,"Dans le délai","Hors délai"),IF('Tableau de bord'!$F$5-G64&gt;'Paramètres'!$E$9,"Retard","En attente"))))))</x:f>
      </x:c>
      <x:c r="O64" s="9"/>
    </x:row>
    <x:row r="65" ht="23" customHeight="1">
      <x:c r="A65" s="9"/>
      <x:c r="B65" s="9"/>
      <x:c r="C65" s="9"/>
      <x:c r="D65" s="9"/>
      <x:c r="E65" s="9"/>
      <x:c r="F65" s="11"/>
      <x:c r="G65" s="11"/>
      <x:c r="H65" s="11"/>
      <x:c r="I65" s="9"/>
      <x:c r="J65" s="9"/>
      <x:c r="K65" s="9"/>
      <x:c r="L65" s="9"/>
      <x:c r="M65" s="12" t="str">
        <x:f>IF(A65="","",IF(AND(ISNUMBER(G65),ISNUMBER(H65)),H65-G65,""))</x:f>
      </x:c>
      <x:c r="N65" s="12" t="str">
        <x:f>IF(A65="","",IF(NOT(ISNUMBER(G65)),"Réception manquante",IF(AND(ISNUMBER(H65),H65&lt;G65),"Incohérent",IF('Paramètres'!$E$9="",IF(ISNUMBER(H65),"Répondue / cible absente","Sans réponse / cible absente"),IF(ISNUMBER(H65),IF(M65&lt;='Paramètres'!$E$9,"Dans le délai","Hors délai"),IF('Tableau de bord'!$F$5-G65&gt;'Paramètres'!$E$9,"Retard","En attente"))))))</x:f>
      </x:c>
      <x:c r="O65" s="9"/>
    </x:row>
    <x:row r="66" ht="23" customHeight="1">
      <x:c r="A66" s="9"/>
      <x:c r="B66" s="9"/>
      <x:c r="C66" s="9"/>
      <x:c r="D66" s="9"/>
      <x:c r="E66" s="9"/>
      <x:c r="F66" s="11"/>
      <x:c r="G66" s="11"/>
      <x:c r="H66" s="11"/>
      <x:c r="I66" s="9"/>
      <x:c r="J66" s="9"/>
      <x:c r="K66" s="9"/>
      <x:c r="L66" s="9"/>
      <x:c r="M66" s="12" t="str">
        <x:f>IF(A66="","",IF(AND(ISNUMBER(G66),ISNUMBER(H66)),H66-G66,""))</x:f>
      </x:c>
      <x:c r="N66" s="12" t="str">
        <x:f>IF(A66="","",IF(NOT(ISNUMBER(G66)),"Réception manquante",IF(AND(ISNUMBER(H66),H66&lt;G66),"Incohérent",IF('Paramètres'!$E$9="",IF(ISNUMBER(H66),"Répondue / cible absente","Sans réponse / cible absente"),IF(ISNUMBER(H66),IF(M66&lt;='Paramètres'!$E$9,"Dans le délai","Hors délai"),IF('Tableau de bord'!$F$5-G66&gt;'Paramètres'!$E$9,"Retard","En attente"))))))</x:f>
      </x:c>
      <x:c r="O66" s="9"/>
    </x:row>
    <x:row r="67" ht="23" customHeight="1">
      <x:c r="A67" s="9"/>
      <x:c r="B67" s="9"/>
      <x:c r="C67" s="9"/>
      <x:c r="D67" s="9"/>
      <x:c r="E67" s="9"/>
      <x:c r="F67" s="11"/>
      <x:c r="G67" s="11"/>
      <x:c r="H67" s="11"/>
      <x:c r="I67" s="9"/>
      <x:c r="J67" s="9"/>
      <x:c r="K67" s="9"/>
      <x:c r="L67" s="9"/>
      <x:c r="M67" s="12" t="str">
        <x:f>IF(A67="","",IF(AND(ISNUMBER(G67),ISNUMBER(H67)),H67-G67,""))</x:f>
      </x:c>
      <x:c r="N67" s="12" t="str">
        <x:f>IF(A67="","",IF(NOT(ISNUMBER(G67)),"Réception manquante",IF(AND(ISNUMBER(H67),H67&lt;G67),"Incohérent",IF('Paramètres'!$E$9="",IF(ISNUMBER(H67),"Répondue / cible absente","Sans réponse / cible absente"),IF(ISNUMBER(H67),IF(M67&lt;='Paramètres'!$E$9,"Dans le délai","Hors délai"),IF('Tableau de bord'!$F$5-G67&gt;'Paramètres'!$E$9,"Retard","En attente"))))))</x:f>
      </x:c>
      <x:c r="O67" s="9"/>
    </x:row>
    <x:row r="68" ht="23" customHeight="1">
      <x:c r="A68" s="9"/>
      <x:c r="B68" s="9"/>
      <x:c r="C68" s="9"/>
      <x:c r="D68" s="9"/>
      <x:c r="E68" s="9"/>
      <x:c r="F68" s="11"/>
      <x:c r="G68" s="11"/>
      <x:c r="H68" s="11"/>
      <x:c r="I68" s="9"/>
      <x:c r="J68" s="9"/>
      <x:c r="K68" s="9"/>
      <x:c r="L68" s="9"/>
      <x:c r="M68" s="12" t="str">
        <x:f>IF(A68="","",IF(AND(ISNUMBER(G68),ISNUMBER(H68)),H68-G68,""))</x:f>
      </x:c>
      <x:c r="N68" s="12" t="str">
        <x:f>IF(A68="","",IF(NOT(ISNUMBER(G68)),"Réception manquante",IF(AND(ISNUMBER(H68),H68&lt;G68),"Incohérent",IF('Paramètres'!$E$9="",IF(ISNUMBER(H68),"Répondue / cible absente","Sans réponse / cible absente"),IF(ISNUMBER(H68),IF(M68&lt;='Paramètres'!$E$9,"Dans le délai","Hors délai"),IF('Tableau de bord'!$F$5-G68&gt;'Paramètres'!$E$9,"Retard","En attente"))))))</x:f>
      </x:c>
      <x:c r="O68" s="9"/>
    </x:row>
    <x:row r="69" ht="23" customHeight="1">
      <x:c r="A69" s="9"/>
      <x:c r="B69" s="9"/>
      <x:c r="C69" s="9"/>
      <x:c r="D69" s="9"/>
      <x:c r="E69" s="9"/>
      <x:c r="F69" s="11"/>
      <x:c r="G69" s="11"/>
      <x:c r="H69" s="11"/>
      <x:c r="I69" s="9"/>
      <x:c r="J69" s="9"/>
      <x:c r="K69" s="9"/>
      <x:c r="L69" s="9"/>
      <x:c r="M69" s="12" t="str">
        <x:f>IF(A69="","",IF(AND(ISNUMBER(G69),ISNUMBER(H69)),H69-G69,""))</x:f>
      </x:c>
      <x:c r="N69" s="12" t="str">
        <x:f>IF(A69="","",IF(NOT(ISNUMBER(G69)),"Réception manquante",IF(AND(ISNUMBER(H69),H69&lt;G69),"Incohérent",IF('Paramètres'!$E$9="",IF(ISNUMBER(H69),"Répondue / cible absente","Sans réponse / cible absente"),IF(ISNUMBER(H69),IF(M69&lt;='Paramètres'!$E$9,"Dans le délai","Hors délai"),IF('Tableau de bord'!$F$5-G69&gt;'Paramètres'!$E$9,"Retard","En attente"))))))</x:f>
      </x:c>
      <x:c r="O69" s="9"/>
    </x:row>
    <x:row r="70" ht="23" customHeight="1">
      <x:c r="A70" s="9"/>
      <x:c r="B70" s="9"/>
      <x:c r="C70" s="9"/>
      <x:c r="D70" s="9"/>
      <x:c r="E70" s="9"/>
      <x:c r="F70" s="11"/>
      <x:c r="G70" s="11"/>
      <x:c r="H70" s="11"/>
      <x:c r="I70" s="9"/>
      <x:c r="J70" s="9"/>
      <x:c r="K70" s="9"/>
      <x:c r="L70" s="9"/>
      <x:c r="M70" s="12" t="str">
        <x:f>IF(A70="","",IF(AND(ISNUMBER(G70),ISNUMBER(H70)),H70-G70,""))</x:f>
      </x:c>
      <x:c r="N70" s="12" t="str">
        <x:f>IF(A70="","",IF(NOT(ISNUMBER(G70)),"Réception manquante",IF(AND(ISNUMBER(H70),H70&lt;G70),"Incohérent",IF('Paramètres'!$E$9="",IF(ISNUMBER(H70),"Répondue / cible absente","Sans réponse / cible absente"),IF(ISNUMBER(H70),IF(M70&lt;='Paramètres'!$E$9,"Dans le délai","Hors délai"),IF('Tableau de bord'!$F$5-G70&gt;'Paramètres'!$E$9,"Retard","En attente"))))))</x:f>
      </x:c>
      <x:c r="O70" s="9"/>
    </x:row>
    <x:row r="71" ht="23" customHeight="1">
      <x:c r="A71" s="9"/>
      <x:c r="B71" s="9"/>
      <x:c r="C71" s="9"/>
      <x:c r="D71" s="9"/>
      <x:c r="E71" s="9"/>
      <x:c r="F71" s="11"/>
      <x:c r="G71" s="11"/>
      <x:c r="H71" s="11"/>
      <x:c r="I71" s="9"/>
      <x:c r="J71" s="9"/>
      <x:c r="K71" s="9"/>
      <x:c r="L71" s="9"/>
      <x:c r="M71" s="12" t="str">
        <x:f>IF(A71="","",IF(AND(ISNUMBER(G71),ISNUMBER(H71)),H71-G71,""))</x:f>
      </x:c>
      <x:c r="N71" s="12" t="str">
        <x:f>IF(A71="","",IF(NOT(ISNUMBER(G71)),"Réception manquante",IF(AND(ISNUMBER(H71),H71&lt;G71),"Incohérent",IF('Paramètres'!$E$9="",IF(ISNUMBER(H71),"Répondue / cible absente","Sans réponse / cible absente"),IF(ISNUMBER(H71),IF(M71&lt;='Paramètres'!$E$9,"Dans le délai","Hors délai"),IF('Tableau de bord'!$F$5-G71&gt;'Paramètres'!$E$9,"Retard","En attente"))))))</x:f>
      </x:c>
      <x:c r="O71" s="9"/>
    </x:row>
    <x:row r="72" ht="23" customHeight="1">
      <x:c r="A72" s="9"/>
      <x:c r="B72" s="9"/>
      <x:c r="C72" s="9"/>
      <x:c r="D72" s="9"/>
      <x:c r="E72" s="9"/>
      <x:c r="F72" s="11"/>
      <x:c r="G72" s="11"/>
      <x:c r="H72" s="11"/>
      <x:c r="I72" s="9"/>
      <x:c r="J72" s="9"/>
      <x:c r="K72" s="9"/>
      <x:c r="L72" s="9"/>
      <x:c r="M72" s="12" t="str">
        <x:f>IF(A72="","",IF(AND(ISNUMBER(G72),ISNUMBER(H72)),H72-G72,""))</x:f>
      </x:c>
      <x:c r="N72" s="12" t="str">
        <x:f>IF(A72="","",IF(NOT(ISNUMBER(G72)),"Réception manquante",IF(AND(ISNUMBER(H72),H72&lt;G72),"Incohérent",IF('Paramètres'!$E$9="",IF(ISNUMBER(H72),"Répondue / cible absente","Sans réponse / cible absente"),IF(ISNUMBER(H72),IF(M72&lt;='Paramètres'!$E$9,"Dans le délai","Hors délai"),IF('Tableau de bord'!$F$5-G72&gt;'Paramètres'!$E$9,"Retard","En attente"))))))</x:f>
      </x:c>
      <x:c r="O72" s="9"/>
    </x:row>
    <x:row r="73" ht="23" customHeight="1">
      <x:c r="A73" s="9"/>
      <x:c r="B73" s="9"/>
      <x:c r="C73" s="9"/>
      <x:c r="D73" s="9"/>
      <x:c r="E73" s="9"/>
      <x:c r="F73" s="11"/>
      <x:c r="G73" s="11"/>
      <x:c r="H73" s="11"/>
      <x:c r="I73" s="9"/>
      <x:c r="J73" s="9"/>
      <x:c r="K73" s="9"/>
      <x:c r="L73" s="9"/>
      <x:c r="M73" s="12" t="str">
        <x:f>IF(A73="","",IF(AND(ISNUMBER(G73),ISNUMBER(H73)),H73-G73,""))</x:f>
      </x:c>
      <x:c r="N73" s="12" t="str">
        <x:f>IF(A73="","",IF(NOT(ISNUMBER(G73)),"Réception manquante",IF(AND(ISNUMBER(H73),H73&lt;G73),"Incohérent",IF('Paramètres'!$E$9="",IF(ISNUMBER(H73),"Répondue / cible absente","Sans réponse / cible absente"),IF(ISNUMBER(H73),IF(M73&lt;='Paramètres'!$E$9,"Dans le délai","Hors délai"),IF('Tableau de bord'!$F$5-G73&gt;'Paramètres'!$E$9,"Retard","En attente"))))))</x:f>
      </x:c>
      <x:c r="O73" s="9"/>
    </x:row>
    <x:row r="74" ht="23" customHeight="1">
      <x:c r="A74" s="9"/>
      <x:c r="B74" s="9"/>
      <x:c r="C74" s="9"/>
      <x:c r="D74" s="9"/>
      <x:c r="E74" s="9"/>
      <x:c r="F74" s="11"/>
      <x:c r="G74" s="11"/>
      <x:c r="H74" s="11"/>
      <x:c r="I74" s="9"/>
      <x:c r="J74" s="9"/>
      <x:c r="K74" s="9"/>
      <x:c r="L74" s="9"/>
      <x:c r="M74" s="12" t="str">
        <x:f>IF(A74="","",IF(AND(ISNUMBER(G74),ISNUMBER(H74)),H74-G74,""))</x:f>
      </x:c>
      <x:c r="N74" s="12" t="str">
        <x:f>IF(A74="","",IF(NOT(ISNUMBER(G74)),"Réception manquante",IF(AND(ISNUMBER(H74),H74&lt;G74),"Incohérent",IF('Paramètres'!$E$9="",IF(ISNUMBER(H74),"Répondue / cible absente","Sans réponse / cible absente"),IF(ISNUMBER(H74),IF(M74&lt;='Paramètres'!$E$9,"Dans le délai","Hors délai"),IF('Tableau de bord'!$F$5-G74&gt;'Paramètres'!$E$9,"Retard","En attente"))))))</x:f>
      </x:c>
      <x:c r="O74" s="9"/>
    </x:row>
    <x:row r="75" ht="23" customHeight="1">
      <x:c r="A75" s="9"/>
      <x:c r="B75" s="9"/>
      <x:c r="C75" s="9"/>
      <x:c r="D75" s="9"/>
      <x:c r="E75" s="9"/>
      <x:c r="F75" s="11"/>
      <x:c r="G75" s="11"/>
      <x:c r="H75" s="11"/>
      <x:c r="I75" s="9"/>
      <x:c r="J75" s="9"/>
      <x:c r="K75" s="9"/>
      <x:c r="L75" s="9"/>
      <x:c r="M75" s="12" t="str">
        <x:f>IF(A75="","",IF(AND(ISNUMBER(G75),ISNUMBER(H75)),H75-G75,""))</x:f>
      </x:c>
      <x:c r="N75" s="12" t="str">
        <x:f>IF(A75="","",IF(NOT(ISNUMBER(G75)),"Réception manquante",IF(AND(ISNUMBER(H75),H75&lt;G75),"Incohérent",IF('Paramètres'!$E$9="",IF(ISNUMBER(H75),"Répondue / cible absente","Sans réponse / cible absente"),IF(ISNUMBER(H75),IF(M75&lt;='Paramètres'!$E$9,"Dans le délai","Hors délai"),IF('Tableau de bord'!$F$5-G75&gt;'Paramètres'!$E$9,"Retard","En attente"))))))</x:f>
      </x:c>
      <x:c r="O75" s="9"/>
    </x:row>
    <x:row r="76" ht="23" customHeight="1">
      <x:c r="A76" s="9"/>
      <x:c r="B76" s="9"/>
      <x:c r="C76" s="9"/>
      <x:c r="D76" s="9"/>
      <x:c r="E76" s="9"/>
      <x:c r="F76" s="11"/>
      <x:c r="G76" s="11"/>
      <x:c r="H76" s="11"/>
      <x:c r="I76" s="9"/>
      <x:c r="J76" s="9"/>
      <x:c r="K76" s="9"/>
      <x:c r="L76" s="9"/>
      <x:c r="M76" s="12" t="str">
        <x:f>IF(A76="","",IF(AND(ISNUMBER(G76),ISNUMBER(H76)),H76-G76,""))</x:f>
      </x:c>
      <x:c r="N76" s="12" t="str">
        <x:f>IF(A76="","",IF(NOT(ISNUMBER(G76)),"Réception manquante",IF(AND(ISNUMBER(H76),H76&lt;G76),"Incohérent",IF('Paramètres'!$E$9="",IF(ISNUMBER(H76),"Répondue / cible absente","Sans réponse / cible absente"),IF(ISNUMBER(H76),IF(M76&lt;='Paramètres'!$E$9,"Dans le délai","Hors délai"),IF('Tableau de bord'!$F$5-G76&gt;'Paramètres'!$E$9,"Retard","En attente"))))))</x:f>
      </x:c>
      <x:c r="O76" s="9"/>
    </x:row>
    <x:row r="77" ht="23" customHeight="1">
      <x:c r="A77" s="9"/>
      <x:c r="B77" s="9"/>
      <x:c r="C77" s="9"/>
      <x:c r="D77" s="9"/>
      <x:c r="E77" s="9"/>
      <x:c r="F77" s="11"/>
      <x:c r="G77" s="11"/>
      <x:c r="H77" s="11"/>
      <x:c r="I77" s="9"/>
      <x:c r="J77" s="9"/>
      <x:c r="K77" s="9"/>
      <x:c r="L77" s="9"/>
      <x:c r="M77" s="12" t="str">
        <x:f>IF(A77="","",IF(AND(ISNUMBER(G77),ISNUMBER(H77)),H77-G77,""))</x:f>
      </x:c>
      <x:c r="N77" s="12" t="str">
        <x:f>IF(A77="","",IF(NOT(ISNUMBER(G77)),"Réception manquante",IF(AND(ISNUMBER(H77),H77&lt;G77),"Incohérent",IF('Paramètres'!$E$9="",IF(ISNUMBER(H77),"Répondue / cible absente","Sans réponse / cible absente"),IF(ISNUMBER(H77),IF(M77&lt;='Paramètres'!$E$9,"Dans le délai","Hors délai"),IF('Tableau de bord'!$F$5-G77&gt;'Paramètres'!$E$9,"Retard","En attente"))))))</x:f>
      </x:c>
      <x:c r="O77" s="9"/>
    </x:row>
    <x:row r="78" ht="23" customHeight="1">
      <x:c r="A78" s="9"/>
      <x:c r="B78" s="9"/>
      <x:c r="C78" s="9"/>
      <x:c r="D78" s="9"/>
      <x:c r="E78" s="9"/>
      <x:c r="F78" s="11"/>
      <x:c r="G78" s="11"/>
      <x:c r="H78" s="11"/>
      <x:c r="I78" s="9"/>
      <x:c r="J78" s="9"/>
      <x:c r="K78" s="9"/>
      <x:c r="L78" s="9"/>
      <x:c r="M78" s="12" t="str">
        <x:f>IF(A78="","",IF(AND(ISNUMBER(G78),ISNUMBER(H78)),H78-G78,""))</x:f>
      </x:c>
      <x:c r="N78" s="12" t="str">
        <x:f>IF(A78="","",IF(NOT(ISNUMBER(G78)),"Réception manquante",IF(AND(ISNUMBER(H78),H78&lt;G78),"Incohérent",IF('Paramètres'!$E$9="",IF(ISNUMBER(H78),"Répondue / cible absente","Sans réponse / cible absente"),IF(ISNUMBER(H78),IF(M78&lt;='Paramètres'!$E$9,"Dans le délai","Hors délai"),IF('Tableau de bord'!$F$5-G78&gt;'Paramètres'!$E$9,"Retard","En attente"))))))</x:f>
      </x:c>
      <x:c r="O78" s="9"/>
    </x:row>
    <x:row r="79" ht="23" customHeight="1">
      <x:c r="A79" s="9"/>
      <x:c r="B79" s="9"/>
      <x:c r="C79" s="9"/>
      <x:c r="D79" s="9"/>
      <x:c r="E79" s="9"/>
      <x:c r="F79" s="11"/>
      <x:c r="G79" s="11"/>
      <x:c r="H79" s="11"/>
      <x:c r="I79" s="9"/>
      <x:c r="J79" s="9"/>
      <x:c r="K79" s="9"/>
      <x:c r="L79" s="9"/>
      <x:c r="M79" s="12" t="str">
        <x:f>IF(A79="","",IF(AND(ISNUMBER(G79),ISNUMBER(H79)),H79-G79,""))</x:f>
      </x:c>
      <x:c r="N79" s="12" t="str">
        <x:f>IF(A79="","",IF(NOT(ISNUMBER(G79)),"Réception manquante",IF(AND(ISNUMBER(H79),H79&lt;G79),"Incohérent",IF('Paramètres'!$E$9="",IF(ISNUMBER(H79),"Répondue / cible absente","Sans réponse / cible absente"),IF(ISNUMBER(H79),IF(M79&lt;='Paramètres'!$E$9,"Dans le délai","Hors délai"),IF('Tableau de bord'!$F$5-G79&gt;'Paramètres'!$E$9,"Retard","En attente"))))))</x:f>
      </x:c>
      <x:c r="O79" s="9"/>
    </x:row>
    <x:row r="80" ht="23" customHeight="1">
      <x:c r="A80" s="9"/>
      <x:c r="B80" s="9"/>
      <x:c r="C80" s="9"/>
      <x:c r="D80" s="9"/>
      <x:c r="E80" s="9"/>
      <x:c r="F80" s="11"/>
      <x:c r="G80" s="11"/>
      <x:c r="H80" s="11"/>
      <x:c r="I80" s="9"/>
      <x:c r="J80" s="9"/>
      <x:c r="K80" s="9"/>
      <x:c r="L80" s="9"/>
      <x:c r="M80" s="12" t="str">
        <x:f>IF(A80="","",IF(AND(ISNUMBER(G80),ISNUMBER(H80)),H80-G80,""))</x:f>
      </x:c>
      <x:c r="N80" s="12" t="str">
        <x:f>IF(A80="","",IF(NOT(ISNUMBER(G80)),"Réception manquante",IF(AND(ISNUMBER(H80),H80&lt;G80),"Incohérent",IF('Paramètres'!$E$9="",IF(ISNUMBER(H80),"Répondue / cible absente","Sans réponse / cible absente"),IF(ISNUMBER(H80),IF(M80&lt;='Paramètres'!$E$9,"Dans le délai","Hors délai"),IF('Tableau de bord'!$F$5-G80&gt;'Paramètres'!$E$9,"Retard","En attente"))))))</x:f>
      </x:c>
      <x:c r="O80" s="9"/>
    </x:row>
    <x:row r="81" ht="23" customHeight="1">
      <x:c r="A81" s="9"/>
      <x:c r="B81" s="9"/>
      <x:c r="C81" s="9"/>
      <x:c r="D81" s="9"/>
      <x:c r="E81" s="9"/>
      <x:c r="F81" s="11"/>
      <x:c r="G81" s="11"/>
      <x:c r="H81" s="11"/>
      <x:c r="I81" s="9"/>
      <x:c r="J81" s="9"/>
      <x:c r="K81" s="9"/>
      <x:c r="L81" s="9"/>
      <x:c r="M81" s="12" t="str">
        <x:f>IF(A81="","",IF(AND(ISNUMBER(G81),ISNUMBER(H81)),H81-G81,""))</x:f>
      </x:c>
      <x:c r="N81" s="12" t="str">
        <x:f>IF(A81="","",IF(NOT(ISNUMBER(G81)),"Réception manquante",IF(AND(ISNUMBER(H81),H81&lt;G81),"Incohérent",IF('Paramètres'!$E$9="",IF(ISNUMBER(H81),"Répondue / cible absente","Sans réponse / cible absente"),IF(ISNUMBER(H81),IF(M81&lt;='Paramètres'!$E$9,"Dans le délai","Hors délai"),IF('Tableau de bord'!$F$5-G81&gt;'Paramètres'!$E$9,"Retard","En attente"))))))</x:f>
      </x:c>
      <x:c r="O81" s="9"/>
    </x:row>
    <x:row r="82" ht="23" customHeight="1">
      <x:c r="A82" s="9"/>
      <x:c r="B82" s="9"/>
      <x:c r="C82" s="9"/>
      <x:c r="D82" s="9"/>
      <x:c r="E82" s="9"/>
      <x:c r="F82" s="11"/>
      <x:c r="G82" s="11"/>
      <x:c r="H82" s="11"/>
      <x:c r="I82" s="9"/>
      <x:c r="J82" s="9"/>
      <x:c r="K82" s="9"/>
      <x:c r="L82" s="9"/>
      <x:c r="M82" s="12" t="str">
        <x:f>IF(A82="","",IF(AND(ISNUMBER(G82),ISNUMBER(H82)),H82-G82,""))</x:f>
      </x:c>
      <x:c r="N82" s="12" t="str">
        <x:f>IF(A82="","",IF(NOT(ISNUMBER(G82)),"Réception manquante",IF(AND(ISNUMBER(H82),H82&lt;G82),"Incohérent",IF('Paramètres'!$E$9="",IF(ISNUMBER(H82),"Répondue / cible absente","Sans réponse / cible absente"),IF(ISNUMBER(H82),IF(M82&lt;='Paramètres'!$E$9,"Dans le délai","Hors délai"),IF('Tableau de bord'!$F$5-G82&gt;'Paramètres'!$E$9,"Retard","En attente"))))))</x:f>
      </x:c>
      <x:c r="O82" s="9"/>
    </x:row>
    <x:row r="83" ht="23" customHeight="1">
      <x:c r="A83" s="9"/>
      <x:c r="B83" s="9"/>
      <x:c r="C83" s="9"/>
      <x:c r="D83" s="9"/>
      <x:c r="E83" s="9"/>
      <x:c r="F83" s="11"/>
      <x:c r="G83" s="11"/>
      <x:c r="H83" s="11"/>
      <x:c r="I83" s="9"/>
      <x:c r="J83" s="9"/>
      <x:c r="K83" s="9"/>
      <x:c r="L83" s="9"/>
      <x:c r="M83" s="12" t="str">
        <x:f>IF(A83="","",IF(AND(ISNUMBER(G83),ISNUMBER(H83)),H83-G83,""))</x:f>
      </x:c>
      <x:c r="N83" s="12" t="str">
        <x:f>IF(A83="","",IF(NOT(ISNUMBER(G83)),"Réception manquante",IF(AND(ISNUMBER(H83),H83&lt;G83),"Incohérent",IF('Paramètres'!$E$9="",IF(ISNUMBER(H83),"Répondue / cible absente","Sans réponse / cible absente"),IF(ISNUMBER(H83),IF(M83&lt;='Paramètres'!$E$9,"Dans le délai","Hors délai"),IF('Tableau de bord'!$F$5-G83&gt;'Paramètres'!$E$9,"Retard","En attente"))))))</x:f>
      </x:c>
      <x:c r="O83" s="9"/>
    </x:row>
    <x:row r="84" ht="23" customHeight="1">
      <x:c r="A84" s="9"/>
      <x:c r="B84" s="9"/>
      <x:c r="C84" s="9"/>
      <x:c r="D84" s="9"/>
      <x:c r="E84" s="9"/>
      <x:c r="F84" s="11"/>
      <x:c r="G84" s="11"/>
      <x:c r="H84" s="11"/>
      <x:c r="I84" s="9"/>
      <x:c r="J84" s="9"/>
      <x:c r="K84" s="9"/>
      <x:c r="L84" s="9"/>
      <x:c r="M84" s="12" t="str">
        <x:f>IF(A84="","",IF(AND(ISNUMBER(G84),ISNUMBER(H84)),H84-G84,""))</x:f>
      </x:c>
      <x:c r="N84" s="12" t="str">
        <x:f>IF(A84="","",IF(NOT(ISNUMBER(G84)),"Réception manquante",IF(AND(ISNUMBER(H84),H84&lt;G84),"Incohérent",IF('Paramètres'!$E$9="",IF(ISNUMBER(H84),"Répondue / cible absente","Sans réponse / cible absente"),IF(ISNUMBER(H84),IF(M84&lt;='Paramètres'!$E$9,"Dans le délai","Hors délai"),IF('Tableau de bord'!$F$5-G84&gt;'Paramètres'!$E$9,"Retard","En attente"))))))</x:f>
      </x:c>
      <x:c r="O84" s="9"/>
    </x:row>
    <x:row r="85" ht="23" customHeight="1">
      <x:c r="A85" s="9"/>
      <x:c r="B85" s="9"/>
      <x:c r="C85" s="9"/>
      <x:c r="D85" s="9"/>
      <x:c r="E85" s="9"/>
      <x:c r="F85" s="11"/>
      <x:c r="G85" s="11"/>
      <x:c r="H85" s="11"/>
      <x:c r="I85" s="9"/>
      <x:c r="J85" s="9"/>
      <x:c r="K85" s="9"/>
      <x:c r="L85" s="9"/>
      <x:c r="M85" s="12" t="str">
        <x:f>IF(A85="","",IF(AND(ISNUMBER(G85),ISNUMBER(H85)),H85-G85,""))</x:f>
      </x:c>
      <x:c r="N85" s="12" t="str">
        <x:f>IF(A85="","",IF(NOT(ISNUMBER(G85)),"Réception manquante",IF(AND(ISNUMBER(H85),H85&lt;G85),"Incohérent",IF('Paramètres'!$E$9="",IF(ISNUMBER(H85),"Répondue / cible absente","Sans réponse / cible absente"),IF(ISNUMBER(H85),IF(M85&lt;='Paramètres'!$E$9,"Dans le délai","Hors délai"),IF('Tableau de bord'!$F$5-G85&gt;'Paramètres'!$E$9,"Retard","En attente"))))))</x:f>
      </x:c>
      <x:c r="O85" s="9"/>
    </x:row>
    <x:row r="86" ht="23" customHeight="1">
      <x:c r="A86" s="9"/>
      <x:c r="B86" s="9"/>
      <x:c r="C86" s="9"/>
      <x:c r="D86" s="9"/>
      <x:c r="E86" s="9"/>
      <x:c r="F86" s="11"/>
      <x:c r="G86" s="11"/>
      <x:c r="H86" s="11"/>
      <x:c r="I86" s="9"/>
      <x:c r="J86" s="9"/>
      <x:c r="K86" s="9"/>
      <x:c r="L86" s="9"/>
      <x:c r="M86" s="12" t="str">
        <x:f>IF(A86="","",IF(AND(ISNUMBER(G86),ISNUMBER(H86)),H86-G86,""))</x:f>
      </x:c>
      <x:c r="N86" s="12" t="str">
        <x:f>IF(A86="","",IF(NOT(ISNUMBER(G86)),"Réception manquante",IF(AND(ISNUMBER(H86),H86&lt;G86),"Incohérent",IF('Paramètres'!$E$9="",IF(ISNUMBER(H86),"Répondue / cible absente","Sans réponse / cible absente"),IF(ISNUMBER(H86),IF(M86&lt;='Paramètres'!$E$9,"Dans le délai","Hors délai"),IF('Tableau de bord'!$F$5-G86&gt;'Paramètres'!$E$9,"Retard","En attente"))))))</x:f>
      </x:c>
      <x:c r="O86" s="9"/>
    </x:row>
    <x:row r="87" ht="23" customHeight="1">
      <x:c r="A87" s="9"/>
      <x:c r="B87" s="9"/>
      <x:c r="C87" s="9"/>
      <x:c r="D87" s="9"/>
      <x:c r="E87" s="9"/>
      <x:c r="F87" s="11"/>
      <x:c r="G87" s="11"/>
      <x:c r="H87" s="11"/>
      <x:c r="I87" s="9"/>
      <x:c r="J87" s="9"/>
      <x:c r="K87" s="9"/>
      <x:c r="L87" s="9"/>
      <x:c r="M87" s="12" t="str">
        <x:f>IF(A87="","",IF(AND(ISNUMBER(G87),ISNUMBER(H87)),H87-G87,""))</x:f>
      </x:c>
      <x:c r="N87" s="12" t="str">
        <x:f>IF(A87="","",IF(NOT(ISNUMBER(G87)),"Réception manquante",IF(AND(ISNUMBER(H87),H87&lt;G87),"Incohérent",IF('Paramètres'!$E$9="",IF(ISNUMBER(H87),"Répondue / cible absente","Sans réponse / cible absente"),IF(ISNUMBER(H87),IF(M87&lt;='Paramètres'!$E$9,"Dans le délai","Hors délai"),IF('Tableau de bord'!$F$5-G87&gt;'Paramètres'!$E$9,"Retard","En attente"))))))</x:f>
      </x:c>
      <x:c r="O87" s="9"/>
    </x:row>
    <x:row r="88" ht="23" customHeight="1">
      <x:c r="A88" s="9"/>
      <x:c r="B88" s="9"/>
      <x:c r="C88" s="9"/>
      <x:c r="D88" s="9"/>
      <x:c r="E88" s="9"/>
      <x:c r="F88" s="11"/>
      <x:c r="G88" s="11"/>
      <x:c r="H88" s="11"/>
      <x:c r="I88" s="9"/>
      <x:c r="J88" s="9"/>
      <x:c r="K88" s="9"/>
      <x:c r="L88" s="9"/>
      <x:c r="M88" s="12" t="str">
        <x:f>IF(A88="","",IF(AND(ISNUMBER(G88),ISNUMBER(H88)),H88-G88,""))</x:f>
      </x:c>
      <x:c r="N88" s="12" t="str">
        <x:f>IF(A88="","",IF(NOT(ISNUMBER(G88)),"Réception manquante",IF(AND(ISNUMBER(H88),H88&lt;G88),"Incohérent",IF('Paramètres'!$E$9="",IF(ISNUMBER(H88),"Répondue / cible absente","Sans réponse / cible absente"),IF(ISNUMBER(H88),IF(M88&lt;='Paramètres'!$E$9,"Dans le délai","Hors délai"),IF('Tableau de bord'!$F$5-G88&gt;'Paramètres'!$E$9,"Retard","En attente"))))))</x:f>
      </x:c>
      <x:c r="O88" s="9"/>
    </x:row>
    <x:row r="89" ht="23" customHeight="1">
      <x:c r="A89" s="9"/>
      <x:c r="B89" s="9"/>
      <x:c r="C89" s="9"/>
      <x:c r="D89" s="9"/>
      <x:c r="E89" s="9"/>
      <x:c r="F89" s="11"/>
      <x:c r="G89" s="11"/>
      <x:c r="H89" s="11"/>
      <x:c r="I89" s="9"/>
      <x:c r="J89" s="9"/>
      <x:c r="K89" s="9"/>
      <x:c r="L89" s="9"/>
      <x:c r="M89" s="12" t="str">
        <x:f>IF(A89="","",IF(AND(ISNUMBER(G89),ISNUMBER(H89)),H89-G89,""))</x:f>
      </x:c>
      <x:c r="N89" s="12" t="str">
        <x:f>IF(A89="","",IF(NOT(ISNUMBER(G89)),"Réception manquante",IF(AND(ISNUMBER(H89),H89&lt;G89),"Incohérent",IF('Paramètres'!$E$9="",IF(ISNUMBER(H89),"Répondue / cible absente","Sans réponse / cible absente"),IF(ISNUMBER(H89),IF(M89&lt;='Paramètres'!$E$9,"Dans le délai","Hors délai"),IF('Tableau de bord'!$F$5-G89&gt;'Paramètres'!$E$9,"Retard","En attente"))))))</x:f>
      </x:c>
      <x:c r="O89" s="9"/>
    </x:row>
    <x:row r="90" ht="23" customHeight="1">
      <x:c r="A90" s="9"/>
      <x:c r="B90" s="9"/>
      <x:c r="C90" s="9"/>
      <x:c r="D90" s="9"/>
      <x:c r="E90" s="9"/>
      <x:c r="F90" s="11"/>
      <x:c r="G90" s="11"/>
      <x:c r="H90" s="11"/>
      <x:c r="I90" s="9"/>
      <x:c r="J90" s="9"/>
      <x:c r="K90" s="9"/>
      <x:c r="L90" s="9"/>
      <x:c r="M90" s="12" t="str">
        <x:f>IF(A90="","",IF(AND(ISNUMBER(G90),ISNUMBER(H90)),H90-G90,""))</x:f>
      </x:c>
      <x:c r="N90" s="12" t="str">
        <x:f>IF(A90="","",IF(NOT(ISNUMBER(G90)),"Réception manquante",IF(AND(ISNUMBER(H90),H90&lt;G90),"Incohérent",IF('Paramètres'!$E$9="",IF(ISNUMBER(H90),"Répondue / cible absente","Sans réponse / cible absente"),IF(ISNUMBER(H90),IF(M90&lt;='Paramètres'!$E$9,"Dans le délai","Hors délai"),IF('Tableau de bord'!$F$5-G90&gt;'Paramètres'!$E$9,"Retard","En attente"))))))</x:f>
      </x:c>
      <x:c r="O90" s="9"/>
    </x:row>
    <x:row r="91" ht="23" customHeight="1">
      <x:c r="A91" s="9"/>
      <x:c r="B91" s="9"/>
      <x:c r="C91" s="9"/>
      <x:c r="D91" s="9"/>
      <x:c r="E91" s="9"/>
      <x:c r="F91" s="11"/>
      <x:c r="G91" s="11"/>
      <x:c r="H91" s="11"/>
      <x:c r="I91" s="9"/>
      <x:c r="J91" s="9"/>
      <x:c r="K91" s="9"/>
      <x:c r="L91" s="9"/>
      <x:c r="M91" s="12" t="str">
        <x:f>IF(A91="","",IF(AND(ISNUMBER(G91),ISNUMBER(H91)),H91-G91,""))</x:f>
      </x:c>
      <x:c r="N91" s="12" t="str">
        <x:f>IF(A91="","",IF(NOT(ISNUMBER(G91)),"Réception manquante",IF(AND(ISNUMBER(H91),H91&lt;G91),"Incohérent",IF('Paramètres'!$E$9="",IF(ISNUMBER(H91),"Répondue / cible absente","Sans réponse / cible absente"),IF(ISNUMBER(H91),IF(M91&lt;='Paramètres'!$E$9,"Dans le délai","Hors délai"),IF('Tableau de bord'!$F$5-G91&gt;'Paramètres'!$E$9,"Retard","En attente"))))))</x:f>
      </x:c>
      <x:c r="O91" s="9"/>
    </x:row>
    <x:row r="92" ht="23" customHeight="1">
      <x:c r="A92" s="9"/>
      <x:c r="B92" s="9"/>
      <x:c r="C92" s="9"/>
      <x:c r="D92" s="9"/>
      <x:c r="E92" s="9"/>
      <x:c r="F92" s="11"/>
      <x:c r="G92" s="11"/>
      <x:c r="H92" s="11"/>
      <x:c r="I92" s="9"/>
      <x:c r="J92" s="9"/>
      <x:c r="K92" s="9"/>
      <x:c r="L92" s="9"/>
      <x:c r="M92" s="12" t="str">
        <x:f>IF(A92="","",IF(AND(ISNUMBER(G92),ISNUMBER(H92)),H92-G92,""))</x:f>
      </x:c>
      <x:c r="N92" s="12" t="str">
        <x:f>IF(A92="","",IF(NOT(ISNUMBER(G92)),"Réception manquante",IF(AND(ISNUMBER(H92),H92&lt;G92),"Incohérent",IF('Paramètres'!$E$9="",IF(ISNUMBER(H92),"Répondue / cible absente","Sans réponse / cible absente"),IF(ISNUMBER(H92),IF(M92&lt;='Paramètres'!$E$9,"Dans le délai","Hors délai"),IF('Tableau de bord'!$F$5-G92&gt;'Paramètres'!$E$9,"Retard","En attente"))))))</x:f>
      </x:c>
      <x:c r="O92" s="9"/>
    </x:row>
    <x:row r="93" ht="23" customHeight="1">
      <x:c r="A93" s="9"/>
      <x:c r="B93" s="9"/>
      <x:c r="C93" s="9"/>
      <x:c r="D93" s="9"/>
      <x:c r="E93" s="9"/>
      <x:c r="F93" s="11"/>
      <x:c r="G93" s="11"/>
      <x:c r="H93" s="11"/>
      <x:c r="I93" s="9"/>
      <x:c r="J93" s="9"/>
      <x:c r="K93" s="9"/>
      <x:c r="L93" s="9"/>
      <x:c r="M93" s="12" t="str">
        <x:f>IF(A93="","",IF(AND(ISNUMBER(G93),ISNUMBER(H93)),H93-G93,""))</x:f>
      </x:c>
      <x:c r="N93" s="12" t="str">
        <x:f>IF(A93="","",IF(NOT(ISNUMBER(G93)),"Réception manquante",IF(AND(ISNUMBER(H93),H93&lt;G93),"Incohérent",IF('Paramètres'!$E$9="",IF(ISNUMBER(H93),"Répondue / cible absente","Sans réponse / cible absente"),IF(ISNUMBER(H93),IF(M93&lt;='Paramètres'!$E$9,"Dans le délai","Hors délai"),IF('Tableau de bord'!$F$5-G93&gt;'Paramètres'!$E$9,"Retard","En attente"))))))</x:f>
      </x:c>
      <x:c r="O93" s="9"/>
    </x:row>
    <x:row r="94" ht="23" customHeight="1">
      <x:c r="A94" s="9"/>
      <x:c r="B94" s="9"/>
      <x:c r="C94" s="9"/>
      <x:c r="D94" s="9"/>
      <x:c r="E94" s="9"/>
      <x:c r="F94" s="11"/>
      <x:c r="G94" s="11"/>
      <x:c r="H94" s="11"/>
      <x:c r="I94" s="9"/>
      <x:c r="J94" s="9"/>
      <x:c r="K94" s="9"/>
      <x:c r="L94" s="9"/>
      <x:c r="M94" s="12" t="str">
        <x:f>IF(A94="","",IF(AND(ISNUMBER(G94),ISNUMBER(H94)),H94-G94,""))</x:f>
      </x:c>
      <x:c r="N94" s="12" t="str">
        <x:f>IF(A94="","",IF(NOT(ISNUMBER(G94)),"Réception manquante",IF(AND(ISNUMBER(H94),H94&lt;G94),"Incohérent",IF('Paramètres'!$E$9="",IF(ISNUMBER(H94),"Répondue / cible absente","Sans réponse / cible absente"),IF(ISNUMBER(H94),IF(M94&lt;='Paramètres'!$E$9,"Dans le délai","Hors délai"),IF('Tableau de bord'!$F$5-G94&gt;'Paramètres'!$E$9,"Retard","En attente"))))))</x:f>
      </x:c>
      <x:c r="O94" s="9"/>
    </x:row>
    <x:row r="95" ht="23" customHeight="1">
      <x:c r="A95" s="9"/>
      <x:c r="B95" s="9"/>
      <x:c r="C95" s="9"/>
      <x:c r="D95" s="9"/>
      <x:c r="E95" s="9"/>
      <x:c r="F95" s="11"/>
      <x:c r="G95" s="11"/>
      <x:c r="H95" s="11"/>
      <x:c r="I95" s="9"/>
      <x:c r="J95" s="9"/>
      <x:c r="K95" s="9"/>
      <x:c r="L95" s="9"/>
      <x:c r="M95" s="12" t="str">
        <x:f>IF(A95="","",IF(AND(ISNUMBER(G95),ISNUMBER(H95)),H95-G95,""))</x:f>
      </x:c>
      <x:c r="N95" s="12" t="str">
        <x:f>IF(A95="","",IF(NOT(ISNUMBER(G95)),"Réception manquante",IF(AND(ISNUMBER(H95),H95&lt;G95),"Incohérent",IF('Paramètres'!$E$9="",IF(ISNUMBER(H95),"Répondue / cible absente","Sans réponse / cible absente"),IF(ISNUMBER(H95),IF(M95&lt;='Paramètres'!$E$9,"Dans le délai","Hors délai"),IF('Tableau de bord'!$F$5-G95&gt;'Paramètres'!$E$9,"Retard","En attente"))))))</x:f>
      </x:c>
      <x:c r="O95" s="9"/>
    </x:row>
    <x:row r="96" ht="23" customHeight="1">
      <x:c r="A96" s="9"/>
      <x:c r="B96" s="9"/>
      <x:c r="C96" s="9"/>
      <x:c r="D96" s="9"/>
      <x:c r="E96" s="9"/>
      <x:c r="F96" s="11"/>
      <x:c r="G96" s="11"/>
      <x:c r="H96" s="11"/>
      <x:c r="I96" s="9"/>
      <x:c r="J96" s="9"/>
      <x:c r="K96" s="9"/>
      <x:c r="L96" s="9"/>
      <x:c r="M96" s="12" t="str">
        <x:f>IF(A96="","",IF(AND(ISNUMBER(G96),ISNUMBER(H96)),H96-G96,""))</x:f>
      </x:c>
      <x:c r="N96" s="12" t="str">
        <x:f>IF(A96="","",IF(NOT(ISNUMBER(G96)),"Réception manquante",IF(AND(ISNUMBER(H96),H96&lt;G96),"Incohérent",IF('Paramètres'!$E$9="",IF(ISNUMBER(H96),"Répondue / cible absente","Sans réponse / cible absente"),IF(ISNUMBER(H96),IF(M96&lt;='Paramètres'!$E$9,"Dans le délai","Hors délai"),IF('Tableau de bord'!$F$5-G96&gt;'Paramètres'!$E$9,"Retard","En attente"))))))</x:f>
      </x:c>
      <x:c r="O96" s="9"/>
    </x:row>
    <x:row r="97" ht="23" customHeight="1">
      <x:c r="A97" s="9"/>
      <x:c r="B97" s="9"/>
      <x:c r="C97" s="9"/>
      <x:c r="D97" s="9"/>
      <x:c r="E97" s="9"/>
      <x:c r="F97" s="11"/>
      <x:c r="G97" s="11"/>
      <x:c r="H97" s="11"/>
      <x:c r="I97" s="9"/>
      <x:c r="J97" s="9"/>
      <x:c r="K97" s="9"/>
      <x:c r="L97" s="9"/>
      <x:c r="M97" s="12" t="str">
        <x:f>IF(A97="","",IF(AND(ISNUMBER(G97),ISNUMBER(H97)),H97-G97,""))</x:f>
      </x:c>
      <x:c r="N97" s="12" t="str">
        <x:f>IF(A97="","",IF(NOT(ISNUMBER(G97)),"Réception manquante",IF(AND(ISNUMBER(H97),H97&lt;G97),"Incohérent",IF('Paramètres'!$E$9="",IF(ISNUMBER(H97),"Répondue / cible absente","Sans réponse / cible absente"),IF(ISNUMBER(H97),IF(M97&lt;='Paramètres'!$E$9,"Dans le délai","Hors délai"),IF('Tableau de bord'!$F$5-G97&gt;'Paramètres'!$E$9,"Retard","En attente"))))))</x:f>
      </x:c>
      <x:c r="O97" s="9"/>
    </x:row>
    <x:row r="98" ht="23" customHeight="1">
      <x:c r="A98" s="9"/>
      <x:c r="B98" s="9"/>
      <x:c r="C98" s="9"/>
      <x:c r="D98" s="9"/>
      <x:c r="E98" s="9"/>
      <x:c r="F98" s="11"/>
      <x:c r="G98" s="11"/>
      <x:c r="H98" s="11"/>
      <x:c r="I98" s="9"/>
      <x:c r="J98" s="9"/>
      <x:c r="K98" s="9"/>
      <x:c r="L98" s="9"/>
      <x:c r="M98" s="12" t="str">
        <x:f>IF(A98="","",IF(AND(ISNUMBER(G98),ISNUMBER(H98)),H98-G98,""))</x:f>
      </x:c>
      <x:c r="N98" s="12" t="str">
        <x:f>IF(A98="","",IF(NOT(ISNUMBER(G98)),"Réception manquante",IF(AND(ISNUMBER(H98),H98&lt;G98),"Incohérent",IF('Paramètres'!$E$9="",IF(ISNUMBER(H98),"Répondue / cible absente","Sans réponse / cible absente"),IF(ISNUMBER(H98),IF(M98&lt;='Paramètres'!$E$9,"Dans le délai","Hors délai"),IF('Tableau de bord'!$F$5-G98&gt;'Paramètres'!$E$9,"Retard","En attente"))))))</x:f>
      </x:c>
      <x:c r="O98" s="9"/>
    </x:row>
    <x:row r="99" ht="23" customHeight="1">
      <x:c r="A99" s="9"/>
      <x:c r="B99" s="9"/>
      <x:c r="C99" s="9"/>
      <x:c r="D99" s="9"/>
      <x:c r="E99" s="9"/>
      <x:c r="F99" s="11"/>
      <x:c r="G99" s="11"/>
      <x:c r="H99" s="11"/>
      <x:c r="I99" s="9"/>
      <x:c r="J99" s="9"/>
      <x:c r="K99" s="9"/>
      <x:c r="L99" s="9"/>
      <x:c r="M99" s="12" t="str">
        <x:f>IF(A99="","",IF(AND(ISNUMBER(G99),ISNUMBER(H99)),H99-G99,""))</x:f>
      </x:c>
      <x:c r="N99" s="12" t="str">
        <x:f>IF(A99="","",IF(NOT(ISNUMBER(G99)),"Réception manquante",IF(AND(ISNUMBER(H99),H99&lt;G99),"Incohérent",IF('Paramètres'!$E$9="",IF(ISNUMBER(H99),"Répondue / cible absente","Sans réponse / cible absente"),IF(ISNUMBER(H99),IF(M99&lt;='Paramètres'!$E$9,"Dans le délai","Hors délai"),IF('Tableau de bord'!$F$5-G99&gt;'Paramètres'!$E$9,"Retard","En attente"))))))</x:f>
      </x:c>
      <x:c r="O99" s="9"/>
    </x:row>
    <x:row r="100" ht="23" customHeight="1">
      <x:c r="A100" s="9"/>
      <x:c r="B100" s="9"/>
      <x:c r="C100" s="9"/>
      <x:c r="D100" s="9"/>
      <x:c r="E100" s="9"/>
      <x:c r="F100" s="11"/>
      <x:c r="G100" s="11"/>
      <x:c r="H100" s="11"/>
      <x:c r="I100" s="9"/>
      <x:c r="J100" s="9"/>
      <x:c r="K100" s="9"/>
      <x:c r="L100" s="9"/>
      <x:c r="M100" s="12" t="str">
        <x:f>IF(A100="","",IF(AND(ISNUMBER(G100),ISNUMBER(H100)),H100-G100,""))</x:f>
      </x:c>
      <x:c r="N100" s="12" t="str">
        <x:f>IF(A100="","",IF(NOT(ISNUMBER(G100)),"Réception manquante",IF(AND(ISNUMBER(H100),H100&lt;G100),"Incohérent",IF('Paramètres'!$E$9="",IF(ISNUMBER(H100),"Répondue / cible absente","Sans réponse / cible absente"),IF(ISNUMBER(H100),IF(M100&lt;='Paramètres'!$E$9,"Dans le délai","Hors délai"),IF('Tableau de bord'!$F$5-G100&gt;'Paramètres'!$E$9,"Retard","En attente"))))))</x:f>
      </x:c>
      <x:c r="O100" s="9"/>
    </x:row>
    <x:row r="101" ht="23" customHeight="1">
      <x:c r="A101" s="9"/>
      <x:c r="B101" s="9"/>
      <x:c r="C101" s="9"/>
      <x:c r="D101" s="9"/>
      <x:c r="E101" s="9"/>
      <x:c r="F101" s="11"/>
      <x:c r="G101" s="11"/>
      <x:c r="H101" s="11"/>
      <x:c r="I101" s="9"/>
      <x:c r="J101" s="9"/>
      <x:c r="K101" s="9"/>
      <x:c r="L101" s="9"/>
      <x:c r="M101" s="12" t="str">
        <x:f>IF(A101="","",IF(AND(ISNUMBER(G101),ISNUMBER(H101)),H101-G101,""))</x:f>
      </x:c>
      <x:c r="N101" s="12" t="str">
        <x:f>IF(A101="","",IF(NOT(ISNUMBER(G101)),"Réception manquante",IF(AND(ISNUMBER(H101),H101&lt;G101),"Incohérent",IF('Paramètres'!$E$9="",IF(ISNUMBER(H101),"Répondue / cible absente","Sans réponse / cible absente"),IF(ISNUMBER(H101),IF(M101&lt;='Paramètres'!$E$9,"Dans le délai","Hors délai"),IF('Tableau de bord'!$F$5-G101&gt;'Paramètres'!$E$9,"Retard","En attente"))))))</x:f>
      </x:c>
      <x:c r="O101" s="9"/>
    </x:row>
    <x:row r="102" ht="23" customHeight="1">
      <x:c r="A102" s="9"/>
      <x:c r="B102" s="9"/>
      <x:c r="C102" s="9"/>
      <x:c r="D102" s="9"/>
      <x:c r="E102" s="9"/>
      <x:c r="F102" s="11"/>
      <x:c r="G102" s="11"/>
      <x:c r="H102" s="11"/>
      <x:c r="I102" s="9"/>
      <x:c r="J102" s="9"/>
      <x:c r="K102" s="9"/>
      <x:c r="L102" s="9"/>
      <x:c r="M102" s="12" t="str">
        <x:f>IF(A102="","",IF(AND(ISNUMBER(G102),ISNUMBER(H102)),H102-G102,""))</x:f>
      </x:c>
      <x:c r="N102" s="12" t="str">
        <x:f>IF(A102="","",IF(NOT(ISNUMBER(G102)),"Réception manquante",IF(AND(ISNUMBER(H102),H102&lt;G102),"Incohérent",IF('Paramètres'!$E$9="",IF(ISNUMBER(H102),"Répondue / cible absente","Sans réponse / cible absente"),IF(ISNUMBER(H102),IF(M102&lt;='Paramètres'!$E$9,"Dans le délai","Hors délai"),IF('Tableau de bord'!$F$5-G102&gt;'Paramètres'!$E$9,"Retard","En attente"))))))</x:f>
      </x:c>
      <x:c r="O102" s="9"/>
    </x:row>
    <x:row r="103" ht="23" customHeight="1">
      <x:c r="A103" s="9"/>
      <x:c r="B103" s="9"/>
      <x:c r="C103" s="9"/>
      <x:c r="D103" s="9"/>
      <x:c r="E103" s="9"/>
      <x:c r="F103" s="11"/>
      <x:c r="G103" s="11"/>
      <x:c r="H103" s="11"/>
      <x:c r="I103" s="9"/>
      <x:c r="J103" s="9"/>
      <x:c r="K103" s="9"/>
      <x:c r="L103" s="9"/>
      <x:c r="M103" s="12" t="str">
        <x:f>IF(A103="","",IF(AND(ISNUMBER(G103),ISNUMBER(H103)),H103-G103,""))</x:f>
      </x:c>
      <x:c r="N103" s="12" t="str">
        <x:f>IF(A103="","",IF(NOT(ISNUMBER(G103)),"Réception manquante",IF(AND(ISNUMBER(H103),H103&lt;G103),"Incohérent",IF('Paramètres'!$E$9="",IF(ISNUMBER(H103),"Répondue / cible absente","Sans réponse / cible absente"),IF(ISNUMBER(H103),IF(M103&lt;='Paramètres'!$E$9,"Dans le délai","Hors délai"),IF('Tableau de bord'!$F$5-G103&gt;'Paramètres'!$E$9,"Retard","En attente"))))))</x:f>
      </x:c>
      <x:c r="O103" s="9"/>
    </x:row>
    <x:row r="104" ht="23" customHeight="1">
      <x:c r="A104" s="9"/>
      <x:c r="B104" s="9"/>
      <x:c r="C104" s="9"/>
      <x:c r="D104" s="9"/>
      <x:c r="E104" s="9"/>
      <x:c r="F104" s="11"/>
      <x:c r="G104" s="11"/>
      <x:c r="H104" s="11"/>
      <x:c r="I104" s="9"/>
      <x:c r="J104" s="9"/>
      <x:c r="K104" s="9"/>
      <x:c r="L104" s="9"/>
      <x:c r="M104" s="12" t="str">
        <x:f>IF(A104="","",IF(AND(ISNUMBER(G104),ISNUMBER(H104)),H104-G104,""))</x:f>
      </x:c>
      <x:c r="N104" s="12" t="str">
        <x:f>IF(A104="","",IF(NOT(ISNUMBER(G104)),"Réception manquante",IF(AND(ISNUMBER(H104),H104&lt;G104),"Incohérent",IF('Paramètres'!$E$9="",IF(ISNUMBER(H104),"Répondue / cible absente","Sans réponse / cible absente"),IF(ISNUMBER(H104),IF(M104&lt;='Paramètres'!$E$9,"Dans le délai","Hors délai"),IF('Tableau de bord'!$F$5-G104&gt;'Paramètres'!$E$9,"Retard","En attente"))))))</x:f>
      </x:c>
      <x:c r="O104" s="9"/>
    </x:row>
    <x:row r="105" ht="23" customHeight="1">
      <x:c r="A105" s="9"/>
      <x:c r="B105" s="9"/>
      <x:c r="C105" s="9"/>
      <x:c r="D105" s="9"/>
      <x:c r="E105" s="9"/>
      <x:c r="F105" s="11"/>
      <x:c r="G105" s="11"/>
      <x:c r="H105" s="11"/>
      <x:c r="I105" s="9"/>
      <x:c r="J105" s="9"/>
      <x:c r="K105" s="9"/>
      <x:c r="L105" s="9"/>
      <x:c r="M105" s="12" t="str">
        <x:f>IF(A105="","",IF(AND(ISNUMBER(G105),ISNUMBER(H105)),H105-G105,""))</x:f>
      </x:c>
      <x:c r="N105" s="12" t="str">
        <x:f>IF(A105="","",IF(NOT(ISNUMBER(G105)),"Réception manquante",IF(AND(ISNUMBER(H105),H105&lt;G105),"Incohérent",IF('Paramètres'!$E$9="",IF(ISNUMBER(H105),"Répondue / cible absente","Sans réponse / cible absente"),IF(ISNUMBER(H105),IF(M105&lt;='Paramètres'!$E$9,"Dans le délai","Hors délai"),IF('Tableau de bord'!$F$5-G105&gt;'Paramètres'!$E$9,"Retard","En attente"))))))</x:f>
      </x:c>
      <x:c r="O105" s="9"/>
    </x:row>
    <x:row r="106" ht="23" customHeight="1">
      <x:c r="A106" s="9"/>
      <x:c r="B106" s="9"/>
      <x:c r="C106" s="9"/>
      <x:c r="D106" s="9"/>
      <x:c r="E106" s="9"/>
      <x:c r="F106" s="11"/>
      <x:c r="G106" s="11"/>
      <x:c r="H106" s="11"/>
      <x:c r="I106" s="9"/>
      <x:c r="J106" s="9"/>
      <x:c r="K106" s="9"/>
      <x:c r="L106" s="9"/>
      <x:c r="M106" s="12" t="str">
        <x:f>IF(A106="","",IF(AND(ISNUMBER(G106),ISNUMBER(H106)),H106-G106,""))</x:f>
      </x:c>
      <x:c r="N106" s="12" t="str">
        <x:f>IF(A106="","",IF(NOT(ISNUMBER(G106)),"Réception manquante",IF(AND(ISNUMBER(H106),H106&lt;G106),"Incohérent",IF('Paramètres'!$E$9="",IF(ISNUMBER(H106),"Répondue / cible absente","Sans réponse / cible absente"),IF(ISNUMBER(H106),IF(M106&lt;='Paramètres'!$E$9,"Dans le délai","Hors délai"),IF('Tableau de bord'!$F$5-G106&gt;'Paramètres'!$E$9,"Retard","En attente"))))))</x:f>
      </x:c>
      <x:c r="O106" s="9"/>
    </x:row>
    <x:row r="107" ht="23" customHeight="1">
      <x:c r="A107" s="9"/>
      <x:c r="B107" s="9"/>
      <x:c r="C107" s="9"/>
      <x:c r="D107" s="9"/>
      <x:c r="E107" s="9"/>
      <x:c r="F107" s="11"/>
      <x:c r="G107" s="11"/>
      <x:c r="H107" s="11"/>
      <x:c r="I107" s="9"/>
      <x:c r="J107" s="9"/>
      <x:c r="K107" s="9"/>
      <x:c r="L107" s="9"/>
      <x:c r="M107" s="12" t="str">
        <x:f>IF(A107="","",IF(AND(ISNUMBER(G107),ISNUMBER(H107)),H107-G107,""))</x:f>
      </x:c>
      <x:c r="N107" s="12" t="str">
        <x:f>IF(A107="","",IF(NOT(ISNUMBER(G107)),"Réception manquante",IF(AND(ISNUMBER(H107),H107&lt;G107),"Incohérent",IF('Paramètres'!$E$9="",IF(ISNUMBER(H107),"Répondue / cible absente","Sans réponse / cible absente"),IF(ISNUMBER(H107),IF(M107&lt;='Paramètres'!$E$9,"Dans le délai","Hors délai"),IF('Tableau de bord'!$F$5-G107&gt;'Paramètres'!$E$9,"Retard","En attente"))))))</x:f>
      </x:c>
      <x:c r="O107" s="9"/>
    </x:row>
    <x:row r="108" ht="23" customHeight="1">
      <x:c r="A108" s="9"/>
      <x:c r="B108" s="9"/>
      <x:c r="C108" s="9"/>
      <x:c r="D108" s="9"/>
      <x:c r="E108" s="9"/>
      <x:c r="F108" s="11"/>
      <x:c r="G108" s="11"/>
      <x:c r="H108" s="11"/>
      <x:c r="I108" s="9"/>
      <x:c r="J108" s="9"/>
      <x:c r="K108" s="9"/>
      <x:c r="L108" s="9"/>
      <x:c r="M108" s="12" t="str">
        <x:f>IF(A108="","",IF(AND(ISNUMBER(G108),ISNUMBER(H108)),H108-G108,""))</x:f>
      </x:c>
      <x:c r="N108" s="12" t="str">
        <x:f>IF(A108="","",IF(NOT(ISNUMBER(G108)),"Réception manquante",IF(AND(ISNUMBER(H108),H108&lt;G108),"Incohérent",IF('Paramètres'!$E$9="",IF(ISNUMBER(H108),"Répondue / cible absente","Sans réponse / cible absente"),IF(ISNUMBER(H108),IF(M108&lt;='Paramètres'!$E$9,"Dans le délai","Hors délai"),IF('Tableau de bord'!$F$5-G108&gt;'Paramètres'!$E$9,"Retard","En attente"))))))</x:f>
      </x:c>
      <x:c r="O108" s="9"/>
    </x:row>
    <x:row r="109" ht="23" customHeight="1">
      <x:c r="A109" s="9"/>
      <x:c r="B109" s="9"/>
      <x:c r="C109" s="9"/>
      <x:c r="D109" s="9"/>
      <x:c r="E109" s="9"/>
      <x:c r="F109" s="11"/>
      <x:c r="G109" s="11"/>
      <x:c r="H109" s="11"/>
      <x:c r="I109" s="9"/>
      <x:c r="J109" s="9"/>
      <x:c r="K109" s="9"/>
      <x:c r="L109" s="9"/>
      <x:c r="M109" s="12" t="str">
        <x:f>IF(A109="","",IF(AND(ISNUMBER(G109),ISNUMBER(H109)),H109-G109,""))</x:f>
      </x:c>
      <x:c r="N109" s="12" t="str">
        <x:f>IF(A109="","",IF(NOT(ISNUMBER(G109)),"Réception manquante",IF(AND(ISNUMBER(H109),H109&lt;G109),"Incohérent",IF('Paramètres'!$E$9="",IF(ISNUMBER(H109),"Répondue / cible absente","Sans réponse / cible absente"),IF(ISNUMBER(H109),IF(M109&lt;='Paramètres'!$E$9,"Dans le délai","Hors délai"),IF('Tableau de bord'!$F$5-G109&gt;'Paramètres'!$E$9,"Retard","En attente"))))))</x:f>
      </x:c>
      <x:c r="O109" s="9"/>
    </x:row>
    <x:row r="110" ht="23" customHeight="1">
      <x:c r="A110" s="9"/>
      <x:c r="B110" s="9"/>
      <x:c r="C110" s="9"/>
      <x:c r="D110" s="9"/>
      <x:c r="E110" s="9"/>
      <x:c r="F110" s="11"/>
      <x:c r="G110" s="11"/>
      <x:c r="H110" s="11"/>
      <x:c r="I110" s="9"/>
      <x:c r="J110" s="9"/>
      <x:c r="K110" s="9"/>
      <x:c r="L110" s="9"/>
      <x:c r="M110" s="12" t="str">
        <x:f>IF(A110="","",IF(AND(ISNUMBER(G110),ISNUMBER(H110)),H110-G110,""))</x:f>
      </x:c>
      <x:c r="N110" s="12" t="str">
        <x:f>IF(A110="","",IF(NOT(ISNUMBER(G110)),"Réception manquante",IF(AND(ISNUMBER(H110),H110&lt;G110),"Incohérent",IF('Paramètres'!$E$9="",IF(ISNUMBER(H110),"Répondue / cible absente","Sans réponse / cible absente"),IF(ISNUMBER(H110),IF(M110&lt;='Paramètres'!$E$9,"Dans le délai","Hors délai"),IF('Tableau de bord'!$F$5-G110&gt;'Paramètres'!$E$9,"Retard","En attente"))))))</x:f>
      </x:c>
      <x:c r="O110" s="9"/>
    </x:row>
    <x:row r="111" ht="23" customHeight="1">
      <x:c r="A111" s="9"/>
      <x:c r="B111" s="9"/>
      <x:c r="C111" s="9"/>
      <x:c r="D111" s="9"/>
      <x:c r="E111" s="9"/>
      <x:c r="F111" s="11"/>
      <x:c r="G111" s="11"/>
      <x:c r="H111" s="11"/>
      <x:c r="I111" s="9"/>
      <x:c r="J111" s="9"/>
      <x:c r="K111" s="9"/>
      <x:c r="L111" s="9"/>
      <x:c r="M111" s="12" t="str">
        <x:f>IF(A111="","",IF(AND(ISNUMBER(G111),ISNUMBER(H111)),H111-G111,""))</x:f>
      </x:c>
      <x:c r="N111" s="12" t="str">
        <x:f>IF(A111="","",IF(NOT(ISNUMBER(G111)),"Réception manquante",IF(AND(ISNUMBER(H111),H111&lt;G111),"Incohérent",IF('Paramètres'!$E$9="",IF(ISNUMBER(H111),"Répondue / cible absente","Sans réponse / cible absente"),IF(ISNUMBER(H111),IF(M111&lt;='Paramètres'!$E$9,"Dans le délai","Hors délai"),IF('Tableau de bord'!$F$5-G111&gt;'Paramètres'!$E$9,"Retard","En attente"))))))</x:f>
      </x:c>
      <x:c r="O111" s="9"/>
    </x:row>
    <x:row r="112" ht="23" customHeight="1">
      <x:c r="A112" s="9"/>
      <x:c r="B112" s="9"/>
      <x:c r="C112" s="9"/>
      <x:c r="D112" s="9"/>
      <x:c r="E112" s="9"/>
      <x:c r="F112" s="11"/>
      <x:c r="G112" s="11"/>
      <x:c r="H112" s="11"/>
      <x:c r="I112" s="9"/>
      <x:c r="J112" s="9"/>
      <x:c r="K112" s="9"/>
      <x:c r="L112" s="9"/>
      <x:c r="M112" s="12" t="str">
        <x:f>IF(A112="","",IF(AND(ISNUMBER(G112),ISNUMBER(H112)),H112-G112,""))</x:f>
      </x:c>
      <x:c r="N112" s="12" t="str">
        <x:f>IF(A112="","",IF(NOT(ISNUMBER(G112)),"Réception manquante",IF(AND(ISNUMBER(H112),H112&lt;G112),"Incohérent",IF('Paramètres'!$E$9="",IF(ISNUMBER(H112),"Répondue / cible absente","Sans réponse / cible absente"),IF(ISNUMBER(H112),IF(M112&lt;='Paramètres'!$E$9,"Dans le délai","Hors délai"),IF('Tableau de bord'!$F$5-G112&gt;'Paramètres'!$E$9,"Retard","En attente"))))))</x:f>
      </x:c>
      <x:c r="O112" s="9"/>
    </x:row>
    <x:row r="113" ht="23" customHeight="1">
      <x:c r="A113" s="9"/>
      <x:c r="B113" s="9"/>
      <x:c r="C113" s="9"/>
      <x:c r="D113" s="9"/>
      <x:c r="E113" s="9"/>
      <x:c r="F113" s="11"/>
      <x:c r="G113" s="11"/>
      <x:c r="H113" s="11"/>
      <x:c r="I113" s="9"/>
      <x:c r="J113" s="9"/>
      <x:c r="K113" s="9"/>
      <x:c r="L113" s="9"/>
      <x:c r="M113" s="12" t="str">
        <x:f>IF(A113="","",IF(AND(ISNUMBER(G113),ISNUMBER(H113)),H113-G113,""))</x:f>
      </x:c>
      <x:c r="N113" s="12" t="str">
        <x:f>IF(A113="","",IF(NOT(ISNUMBER(G113)),"Réception manquante",IF(AND(ISNUMBER(H113),H113&lt;G113),"Incohérent",IF('Paramètres'!$E$9="",IF(ISNUMBER(H113),"Répondue / cible absente","Sans réponse / cible absente"),IF(ISNUMBER(H113),IF(M113&lt;='Paramètres'!$E$9,"Dans le délai","Hors délai"),IF('Tableau de bord'!$F$5-G113&gt;'Paramètres'!$E$9,"Retard","En attente"))))))</x:f>
      </x:c>
      <x:c r="O113" s="9"/>
    </x:row>
    <x:row r="114" ht="23" customHeight="1">
      <x:c r="A114" s="9"/>
      <x:c r="B114" s="9"/>
      <x:c r="C114" s="9"/>
      <x:c r="D114" s="9"/>
      <x:c r="E114" s="9"/>
      <x:c r="F114" s="11"/>
      <x:c r="G114" s="11"/>
      <x:c r="H114" s="11"/>
      <x:c r="I114" s="9"/>
      <x:c r="J114" s="9"/>
      <x:c r="K114" s="9"/>
      <x:c r="L114" s="9"/>
      <x:c r="M114" s="12" t="str">
        <x:f>IF(A114="","",IF(AND(ISNUMBER(G114),ISNUMBER(H114)),H114-G114,""))</x:f>
      </x:c>
      <x:c r="N114" s="12" t="str">
        <x:f>IF(A114="","",IF(NOT(ISNUMBER(G114)),"Réception manquante",IF(AND(ISNUMBER(H114),H114&lt;G114),"Incohérent",IF('Paramètres'!$E$9="",IF(ISNUMBER(H114),"Répondue / cible absente","Sans réponse / cible absente"),IF(ISNUMBER(H114),IF(M114&lt;='Paramètres'!$E$9,"Dans le délai","Hors délai"),IF('Tableau de bord'!$F$5-G114&gt;'Paramètres'!$E$9,"Retard","En attente"))))))</x:f>
      </x:c>
      <x:c r="O114" s="9"/>
    </x:row>
    <x:row r="115" ht="23" customHeight="1">
      <x:c r="A115" s="9"/>
      <x:c r="B115" s="9"/>
      <x:c r="C115" s="9"/>
      <x:c r="D115" s="9"/>
      <x:c r="E115" s="9"/>
      <x:c r="F115" s="11"/>
      <x:c r="G115" s="11"/>
      <x:c r="H115" s="11"/>
      <x:c r="I115" s="9"/>
      <x:c r="J115" s="9"/>
      <x:c r="K115" s="9"/>
      <x:c r="L115" s="9"/>
      <x:c r="M115" s="12" t="str">
        <x:f>IF(A115="","",IF(AND(ISNUMBER(G115),ISNUMBER(H115)),H115-G115,""))</x:f>
      </x:c>
      <x:c r="N115" s="12" t="str">
        <x:f>IF(A115="","",IF(NOT(ISNUMBER(G115)),"Réception manquante",IF(AND(ISNUMBER(H115),H115&lt;G115),"Incohérent",IF('Paramètres'!$E$9="",IF(ISNUMBER(H115),"Répondue / cible absente","Sans réponse / cible absente"),IF(ISNUMBER(H115),IF(M115&lt;='Paramètres'!$E$9,"Dans le délai","Hors délai"),IF('Tableau de bord'!$F$5-G115&gt;'Paramètres'!$E$9,"Retard","En attente"))))))</x:f>
      </x:c>
      <x:c r="O115" s="9"/>
    </x:row>
    <x:row r="116" ht="23" customHeight="1">
      <x:c r="A116" s="9"/>
      <x:c r="B116" s="9"/>
      <x:c r="C116" s="9"/>
      <x:c r="D116" s="9"/>
      <x:c r="E116" s="9"/>
      <x:c r="F116" s="11"/>
      <x:c r="G116" s="11"/>
      <x:c r="H116" s="11"/>
      <x:c r="I116" s="9"/>
      <x:c r="J116" s="9"/>
      <x:c r="K116" s="9"/>
      <x:c r="L116" s="9"/>
      <x:c r="M116" s="12" t="str">
        <x:f>IF(A116="","",IF(AND(ISNUMBER(G116),ISNUMBER(H116)),H116-G116,""))</x:f>
      </x:c>
      <x:c r="N116" s="12" t="str">
        <x:f>IF(A116="","",IF(NOT(ISNUMBER(G116)),"Réception manquante",IF(AND(ISNUMBER(H116),H116&lt;G116),"Incohérent",IF('Paramètres'!$E$9="",IF(ISNUMBER(H116),"Répondue / cible absente","Sans réponse / cible absente"),IF(ISNUMBER(H116),IF(M116&lt;='Paramètres'!$E$9,"Dans le délai","Hors délai"),IF('Tableau de bord'!$F$5-G116&gt;'Paramètres'!$E$9,"Retard","En attente"))))))</x:f>
      </x:c>
      <x:c r="O116" s="9"/>
    </x:row>
    <x:row r="117" ht="23" customHeight="1">
      <x:c r="A117" s="9"/>
      <x:c r="B117" s="9"/>
      <x:c r="C117" s="9"/>
      <x:c r="D117" s="9"/>
      <x:c r="E117" s="9"/>
      <x:c r="F117" s="11"/>
      <x:c r="G117" s="11"/>
      <x:c r="H117" s="11"/>
      <x:c r="I117" s="9"/>
      <x:c r="J117" s="9"/>
      <x:c r="K117" s="9"/>
      <x:c r="L117" s="9"/>
      <x:c r="M117" s="12" t="str">
        <x:f>IF(A117="","",IF(AND(ISNUMBER(G117),ISNUMBER(H117)),H117-G117,""))</x:f>
      </x:c>
      <x:c r="N117" s="12" t="str">
        <x:f>IF(A117="","",IF(NOT(ISNUMBER(G117)),"Réception manquante",IF(AND(ISNUMBER(H117),H117&lt;G117),"Incohérent",IF('Paramètres'!$E$9="",IF(ISNUMBER(H117),"Répondue / cible absente","Sans réponse / cible absente"),IF(ISNUMBER(H117),IF(M117&lt;='Paramètres'!$E$9,"Dans le délai","Hors délai"),IF('Tableau de bord'!$F$5-G117&gt;'Paramètres'!$E$9,"Retard","En attente"))))))</x:f>
      </x:c>
      <x:c r="O117" s="9"/>
    </x:row>
    <x:row r="118" ht="23" customHeight="1">
      <x:c r="A118" s="9"/>
      <x:c r="B118" s="9"/>
      <x:c r="C118" s="9"/>
      <x:c r="D118" s="9"/>
      <x:c r="E118" s="9"/>
      <x:c r="F118" s="11"/>
      <x:c r="G118" s="11"/>
      <x:c r="H118" s="11"/>
      <x:c r="I118" s="9"/>
      <x:c r="J118" s="9"/>
      <x:c r="K118" s="9"/>
      <x:c r="L118" s="9"/>
      <x:c r="M118" s="12" t="str">
        <x:f>IF(A118="","",IF(AND(ISNUMBER(G118),ISNUMBER(H118)),H118-G118,""))</x:f>
      </x:c>
      <x:c r="N118" s="12" t="str">
        <x:f>IF(A118="","",IF(NOT(ISNUMBER(G118)),"Réception manquante",IF(AND(ISNUMBER(H118),H118&lt;G118),"Incohérent",IF('Paramètres'!$E$9="",IF(ISNUMBER(H118),"Répondue / cible absente","Sans réponse / cible absente"),IF(ISNUMBER(H118),IF(M118&lt;='Paramètres'!$E$9,"Dans le délai","Hors délai"),IF('Tableau de bord'!$F$5-G118&gt;'Paramètres'!$E$9,"Retard","En attente"))))))</x:f>
      </x:c>
      <x:c r="O118" s="9"/>
    </x:row>
    <x:row r="119" ht="23" customHeight="1">
      <x:c r="A119" s="9"/>
      <x:c r="B119" s="9"/>
      <x:c r="C119" s="9"/>
      <x:c r="D119" s="9"/>
      <x:c r="E119" s="9"/>
      <x:c r="F119" s="11"/>
      <x:c r="G119" s="11"/>
      <x:c r="H119" s="11"/>
      <x:c r="I119" s="9"/>
      <x:c r="J119" s="9"/>
      <x:c r="K119" s="9"/>
      <x:c r="L119" s="9"/>
      <x:c r="M119" s="12" t="str">
        <x:f>IF(A119="","",IF(AND(ISNUMBER(G119),ISNUMBER(H119)),H119-G119,""))</x:f>
      </x:c>
      <x:c r="N119" s="12" t="str">
        <x:f>IF(A119="","",IF(NOT(ISNUMBER(G119)),"Réception manquante",IF(AND(ISNUMBER(H119),H119&lt;G119),"Incohérent",IF('Paramètres'!$E$9="",IF(ISNUMBER(H119),"Répondue / cible absente","Sans réponse / cible absente"),IF(ISNUMBER(H119),IF(M119&lt;='Paramètres'!$E$9,"Dans le délai","Hors délai"),IF('Tableau de bord'!$F$5-G119&gt;'Paramètres'!$E$9,"Retard","En attente"))))))</x:f>
      </x:c>
      <x:c r="O119" s="9"/>
    </x:row>
    <x:row r="120" ht="23" customHeight="1">
      <x:c r="A120" s="9"/>
      <x:c r="B120" s="9"/>
      <x:c r="C120" s="9"/>
      <x:c r="D120" s="9"/>
      <x:c r="E120" s="9"/>
      <x:c r="F120" s="11"/>
      <x:c r="G120" s="11"/>
      <x:c r="H120" s="11"/>
      <x:c r="I120" s="9"/>
      <x:c r="J120" s="9"/>
      <x:c r="K120" s="9"/>
      <x:c r="L120" s="9"/>
      <x:c r="M120" s="12" t="str">
        <x:f>IF(A120="","",IF(AND(ISNUMBER(G120),ISNUMBER(H120)),H120-G120,""))</x:f>
      </x:c>
      <x:c r="N120" s="12" t="str">
        <x:f>IF(A120="","",IF(NOT(ISNUMBER(G120)),"Réception manquante",IF(AND(ISNUMBER(H120),H120&lt;G120),"Incohérent",IF('Paramètres'!$E$9="",IF(ISNUMBER(H120),"Répondue / cible absente","Sans réponse / cible absente"),IF(ISNUMBER(H120),IF(M120&lt;='Paramètres'!$E$9,"Dans le délai","Hors délai"),IF('Tableau de bord'!$F$5-G120&gt;'Paramètres'!$E$9,"Retard","En attente"))))))</x:f>
      </x:c>
      <x:c r="O120" s="9"/>
    </x:row>
    <x:row r="121" ht="23" customHeight="1">
      <x:c r="A121" s="9"/>
      <x:c r="B121" s="9"/>
      <x:c r="C121" s="9"/>
      <x:c r="D121" s="9"/>
      <x:c r="E121" s="9"/>
      <x:c r="F121" s="11"/>
      <x:c r="G121" s="11"/>
      <x:c r="H121" s="11"/>
      <x:c r="I121" s="9"/>
      <x:c r="J121" s="9"/>
      <x:c r="K121" s="9"/>
      <x:c r="L121" s="9"/>
      <x:c r="M121" s="12" t="str">
        <x:f>IF(A121="","",IF(AND(ISNUMBER(G121),ISNUMBER(H121)),H121-G121,""))</x:f>
      </x:c>
      <x:c r="N121" s="12" t="str">
        <x:f>IF(A121="","",IF(NOT(ISNUMBER(G121)),"Réception manquante",IF(AND(ISNUMBER(H121),H121&lt;G121),"Incohérent",IF('Paramètres'!$E$9="",IF(ISNUMBER(H121),"Répondue / cible absente","Sans réponse / cible absente"),IF(ISNUMBER(H121),IF(M121&lt;='Paramètres'!$E$9,"Dans le délai","Hors délai"),IF('Tableau de bord'!$F$5-G121&gt;'Paramètres'!$E$9,"Retard","En attente"))))))</x:f>
      </x:c>
      <x:c r="O121" s="9"/>
    </x:row>
    <x:row r="122" ht="23" customHeight="1">
      <x:c r="A122" s="9"/>
      <x:c r="B122" s="9"/>
      <x:c r="C122" s="9"/>
      <x:c r="D122" s="9"/>
      <x:c r="E122" s="9"/>
      <x:c r="F122" s="11"/>
      <x:c r="G122" s="11"/>
      <x:c r="H122" s="11"/>
      <x:c r="I122" s="9"/>
      <x:c r="J122" s="9"/>
      <x:c r="K122" s="9"/>
      <x:c r="L122" s="9"/>
      <x:c r="M122" s="12" t="str">
        <x:f>IF(A122="","",IF(AND(ISNUMBER(G122),ISNUMBER(H122)),H122-G122,""))</x:f>
      </x:c>
      <x:c r="N122" s="12" t="str">
        <x:f>IF(A122="","",IF(NOT(ISNUMBER(G122)),"Réception manquante",IF(AND(ISNUMBER(H122),H122&lt;G122),"Incohérent",IF('Paramètres'!$E$9="",IF(ISNUMBER(H122),"Répondue / cible absente","Sans réponse / cible absente"),IF(ISNUMBER(H122),IF(M122&lt;='Paramètres'!$E$9,"Dans le délai","Hors délai"),IF('Tableau de bord'!$F$5-G122&gt;'Paramètres'!$E$9,"Retard","En attente"))))))</x:f>
      </x:c>
      <x:c r="O122" s="9"/>
    </x:row>
    <x:row r="123" ht="23" customHeight="1">
      <x:c r="A123" s="9"/>
      <x:c r="B123" s="9"/>
      <x:c r="C123" s="9"/>
      <x:c r="D123" s="9"/>
      <x:c r="E123" s="9"/>
      <x:c r="F123" s="11"/>
      <x:c r="G123" s="11"/>
      <x:c r="H123" s="11"/>
      <x:c r="I123" s="9"/>
      <x:c r="J123" s="9"/>
      <x:c r="K123" s="9"/>
      <x:c r="L123" s="9"/>
      <x:c r="M123" s="12" t="str">
        <x:f>IF(A123="","",IF(AND(ISNUMBER(G123),ISNUMBER(H123)),H123-G123,""))</x:f>
      </x:c>
      <x:c r="N123" s="12" t="str">
        <x:f>IF(A123="","",IF(NOT(ISNUMBER(G123)),"Réception manquante",IF(AND(ISNUMBER(H123),H123&lt;G123),"Incohérent",IF('Paramètres'!$E$9="",IF(ISNUMBER(H123),"Répondue / cible absente","Sans réponse / cible absente"),IF(ISNUMBER(H123),IF(M123&lt;='Paramètres'!$E$9,"Dans le délai","Hors délai"),IF('Tableau de bord'!$F$5-G123&gt;'Paramètres'!$E$9,"Retard","En attente"))))))</x:f>
      </x:c>
      <x:c r="O123" s="9"/>
    </x:row>
    <x:row r="124" ht="23" customHeight="1">
      <x:c r="A124" s="9"/>
      <x:c r="B124" s="9"/>
      <x:c r="C124" s="9"/>
      <x:c r="D124" s="9"/>
      <x:c r="E124" s="9"/>
      <x:c r="F124" s="11"/>
      <x:c r="G124" s="11"/>
      <x:c r="H124" s="11"/>
      <x:c r="I124" s="9"/>
      <x:c r="J124" s="9"/>
      <x:c r="K124" s="9"/>
      <x:c r="L124" s="9"/>
      <x:c r="M124" s="12" t="str">
        <x:f>IF(A124="","",IF(AND(ISNUMBER(G124),ISNUMBER(H124)),H124-G124,""))</x:f>
      </x:c>
      <x:c r="N124" s="12" t="str">
        <x:f>IF(A124="","",IF(NOT(ISNUMBER(G124)),"Réception manquante",IF(AND(ISNUMBER(H124),H124&lt;G124),"Incohérent",IF('Paramètres'!$E$9="",IF(ISNUMBER(H124),"Répondue / cible absente","Sans réponse / cible absente"),IF(ISNUMBER(H124),IF(M124&lt;='Paramètres'!$E$9,"Dans le délai","Hors délai"),IF('Tableau de bord'!$F$5-G124&gt;'Paramètres'!$E$9,"Retard","En attente"))))))</x:f>
      </x:c>
      <x:c r="O124" s="9"/>
    </x:row>
    <x:row r="125" ht="23" customHeight="1">
      <x:c r="A125" s="9"/>
      <x:c r="B125" s="9"/>
      <x:c r="C125" s="9"/>
      <x:c r="D125" s="9"/>
      <x:c r="E125" s="9"/>
      <x:c r="F125" s="11"/>
      <x:c r="G125" s="11"/>
      <x:c r="H125" s="11"/>
      <x:c r="I125" s="9"/>
      <x:c r="J125" s="9"/>
      <x:c r="K125" s="9"/>
      <x:c r="L125" s="9"/>
      <x:c r="M125" s="12" t="str">
        <x:f>IF(A125="","",IF(AND(ISNUMBER(G125),ISNUMBER(H125)),H125-G125,""))</x:f>
      </x:c>
      <x:c r="N125" s="12" t="str">
        <x:f>IF(A125="","",IF(NOT(ISNUMBER(G125)),"Réception manquante",IF(AND(ISNUMBER(H125),H125&lt;G125),"Incohérent",IF('Paramètres'!$E$9="",IF(ISNUMBER(H125),"Répondue / cible absente","Sans réponse / cible absente"),IF(ISNUMBER(H125),IF(M125&lt;='Paramètres'!$E$9,"Dans le délai","Hors délai"),IF('Tableau de bord'!$F$5-G125&gt;'Paramètres'!$E$9,"Retard","En attente"))))))</x:f>
      </x:c>
      <x:c r="O125" s="9"/>
    </x:row>
    <x:row r="126" ht="23" customHeight="1">
      <x:c r="A126" s="9"/>
      <x:c r="B126" s="9"/>
      <x:c r="C126" s="9"/>
      <x:c r="D126" s="9"/>
      <x:c r="E126" s="9"/>
      <x:c r="F126" s="11"/>
      <x:c r="G126" s="11"/>
      <x:c r="H126" s="11"/>
      <x:c r="I126" s="9"/>
      <x:c r="J126" s="9"/>
      <x:c r="K126" s="9"/>
      <x:c r="L126" s="9"/>
      <x:c r="M126" s="12" t="str">
        <x:f>IF(A126="","",IF(AND(ISNUMBER(G126),ISNUMBER(H126)),H126-G126,""))</x:f>
      </x:c>
      <x:c r="N126" s="12" t="str">
        <x:f>IF(A126="","",IF(NOT(ISNUMBER(G126)),"Réception manquante",IF(AND(ISNUMBER(H126),H126&lt;G126),"Incohérent",IF('Paramètres'!$E$9="",IF(ISNUMBER(H126),"Répondue / cible absente","Sans réponse / cible absente"),IF(ISNUMBER(H126),IF(M126&lt;='Paramètres'!$E$9,"Dans le délai","Hors délai"),IF('Tableau de bord'!$F$5-G126&gt;'Paramètres'!$E$9,"Retard","En attente"))))))</x:f>
      </x:c>
      <x:c r="O126" s="9"/>
    </x:row>
    <x:row r="127" ht="23" customHeight="1">
      <x:c r="A127" s="9"/>
      <x:c r="B127" s="9"/>
      <x:c r="C127" s="9"/>
      <x:c r="D127" s="9"/>
      <x:c r="E127" s="9"/>
      <x:c r="F127" s="11"/>
      <x:c r="G127" s="11"/>
      <x:c r="H127" s="11"/>
      <x:c r="I127" s="9"/>
      <x:c r="J127" s="9"/>
      <x:c r="K127" s="9"/>
      <x:c r="L127" s="9"/>
      <x:c r="M127" s="12" t="str">
        <x:f>IF(A127="","",IF(AND(ISNUMBER(G127),ISNUMBER(H127)),H127-G127,""))</x:f>
      </x:c>
      <x:c r="N127" s="12" t="str">
        <x:f>IF(A127="","",IF(NOT(ISNUMBER(G127)),"Réception manquante",IF(AND(ISNUMBER(H127),H127&lt;G127),"Incohérent",IF('Paramètres'!$E$9="",IF(ISNUMBER(H127),"Répondue / cible absente","Sans réponse / cible absente"),IF(ISNUMBER(H127),IF(M127&lt;='Paramètres'!$E$9,"Dans le délai","Hors délai"),IF('Tableau de bord'!$F$5-G127&gt;'Paramètres'!$E$9,"Retard","En attente"))))))</x:f>
      </x:c>
      <x:c r="O127" s="9"/>
    </x:row>
    <x:row r="128" ht="23" customHeight="1">
      <x:c r="A128" s="9"/>
      <x:c r="B128" s="9"/>
      <x:c r="C128" s="9"/>
      <x:c r="D128" s="9"/>
      <x:c r="E128" s="9"/>
      <x:c r="F128" s="11"/>
      <x:c r="G128" s="11"/>
      <x:c r="H128" s="11"/>
      <x:c r="I128" s="9"/>
      <x:c r="J128" s="9"/>
      <x:c r="K128" s="9"/>
      <x:c r="L128" s="9"/>
      <x:c r="M128" s="12" t="str">
        <x:f>IF(A128="","",IF(AND(ISNUMBER(G128),ISNUMBER(H128)),H128-G128,""))</x:f>
      </x:c>
      <x:c r="N128" s="12" t="str">
        <x:f>IF(A128="","",IF(NOT(ISNUMBER(G128)),"Réception manquante",IF(AND(ISNUMBER(H128),H128&lt;G128),"Incohérent",IF('Paramètres'!$E$9="",IF(ISNUMBER(H128),"Répondue / cible absente","Sans réponse / cible absente"),IF(ISNUMBER(H128),IF(M128&lt;='Paramètres'!$E$9,"Dans le délai","Hors délai"),IF('Tableau de bord'!$F$5-G128&gt;'Paramètres'!$E$9,"Retard","En attente"))))))</x:f>
      </x:c>
      <x:c r="O128" s="9"/>
    </x:row>
    <x:row r="129" ht="23" customHeight="1">
      <x:c r="A129" s="9"/>
      <x:c r="B129" s="9"/>
      <x:c r="C129" s="9"/>
      <x:c r="D129" s="9"/>
      <x:c r="E129" s="9"/>
      <x:c r="F129" s="11"/>
      <x:c r="G129" s="11"/>
      <x:c r="H129" s="11"/>
      <x:c r="I129" s="9"/>
      <x:c r="J129" s="9"/>
      <x:c r="K129" s="9"/>
      <x:c r="L129" s="9"/>
      <x:c r="M129" s="12" t="str">
        <x:f>IF(A129="","",IF(AND(ISNUMBER(G129),ISNUMBER(H129)),H129-G129,""))</x:f>
      </x:c>
      <x:c r="N129" s="12" t="str">
        <x:f>IF(A129="","",IF(NOT(ISNUMBER(G129)),"Réception manquante",IF(AND(ISNUMBER(H129),H129&lt;G129),"Incohérent",IF('Paramètres'!$E$9="",IF(ISNUMBER(H129),"Répondue / cible absente","Sans réponse / cible absente"),IF(ISNUMBER(H129),IF(M129&lt;='Paramètres'!$E$9,"Dans le délai","Hors délai"),IF('Tableau de bord'!$F$5-G129&gt;'Paramètres'!$E$9,"Retard","En attente"))))))</x:f>
      </x:c>
      <x:c r="O129" s="9"/>
    </x:row>
    <x:row r="130" ht="23" customHeight="1">
      <x:c r="A130" s="9"/>
      <x:c r="B130" s="9"/>
      <x:c r="C130" s="9"/>
      <x:c r="D130" s="9"/>
      <x:c r="E130" s="9"/>
      <x:c r="F130" s="11"/>
      <x:c r="G130" s="11"/>
      <x:c r="H130" s="11"/>
      <x:c r="I130" s="9"/>
      <x:c r="J130" s="9"/>
      <x:c r="K130" s="9"/>
      <x:c r="L130" s="9"/>
      <x:c r="M130" s="12" t="str">
        <x:f>IF(A130="","",IF(AND(ISNUMBER(G130),ISNUMBER(H130)),H130-G130,""))</x:f>
      </x:c>
      <x:c r="N130" s="12" t="str">
        <x:f>IF(A130="","",IF(NOT(ISNUMBER(G130)),"Réception manquante",IF(AND(ISNUMBER(H130),H130&lt;G130),"Incohérent",IF('Paramètres'!$E$9="",IF(ISNUMBER(H130),"Répondue / cible absente","Sans réponse / cible absente"),IF(ISNUMBER(H130),IF(M130&lt;='Paramètres'!$E$9,"Dans le délai","Hors délai"),IF('Tableau de bord'!$F$5-G130&gt;'Paramètres'!$E$9,"Retard","En attente"))))))</x:f>
      </x:c>
      <x:c r="O130" s="9"/>
    </x:row>
    <x:row r="131" ht="23" customHeight="1">
      <x:c r="A131" s="9"/>
      <x:c r="B131" s="9"/>
      <x:c r="C131" s="9"/>
      <x:c r="D131" s="9"/>
      <x:c r="E131" s="9"/>
      <x:c r="F131" s="11"/>
      <x:c r="G131" s="11"/>
      <x:c r="H131" s="11"/>
      <x:c r="I131" s="9"/>
      <x:c r="J131" s="9"/>
      <x:c r="K131" s="9"/>
      <x:c r="L131" s="9"/>
      <x:c r="M131" s="12" t="str">
        <x:f>IF(A131="","",IF(AND(ISNUMBER(G131),ISNUMBER(H131)),H131-G131,""))</x:f>
      </x:c>
      <x:c r="N131" s="12" t="str">
        <x:f>IF(A131="","",IF(NOT(ISNUMBER(G131)),"Réception manquante",IF(AND(ISNUMBER(H131),H131&lt;G131),"Incohérent",IF('Paramètres'!$E$9="",IF(ISNUMBER(H131),"Répondue / cible absente","Sans réponse / cible absente"),IF(ISNUMBER(H131),IF(M131&lt;='Paramètres'!$E$9,"Dans le délai","Hors délai"),IF('Tableau de bord'!$F$5-G131&gt;'Paramètres'!$E$9,"Retard","En attente"))))))</x:f>
      </x:c>
      <x:c r="O131" s="9"/>
    </x:row>
    <x:row r="132" ht="23" customHeight="1">
      <x:c r="A132" s="9"/>
      <x:c r="B132" s="9"/>
      <x:c r="C132" s="9"/>
      <x:c r="D132" s="9"/>
      <x:c r="E132" s="9"/>
      <x:c r="F132" s="11"/>
      <x:c r="G132" s="11"/>
      <x:c r="H132" s="11"/>
      <x:c r="I132" s="9"/>
      <x:c r="J132" s="9"/>
      <x:c r="K132" s="9"/>
      <x:c r="L132" s="9"/>
      <x:c r="M132" s="12" t="str">
        <x:f>IF(A132="","",IF(AND(ISNUMBER(G132),ISNUMBER(H132)),H132-G132,""))</x:f>
      </x:c>
      <x:c r="N132" s="12" t="str">
        <x:f>IF(A132="","",IF(NOT(ISNUMBER(G132)),"Réception manquante",IF(AND(ISNUMBER(H132),H132&lt;G132),"Incohérent",IF('Paramètres'!$E$9="",IF(ISNUMBER(H132),"Répondue / cible absente","Sans réponse / cible absente"),IF(ISNUMBER(H132),IF(M132&lt;='Paramètres'!$E$9,"Dans le délai","Hors délai"),IF('Tableau de bord'!$F$5-G132&gt;'Paramètres'!$E$9,"Retard","En attente"))))))</x:f>
      </x:c>
      <x:c r="O132" s="9"/>
    </x:row>
    <x:row r="133" ht="23" customHeight="1">
      <x:c r="A133" s="9"/>
      <x:c r="B133" s="9"/>
      <x:c r="C133" s="9"/>
      <x:c r="D133" s="9"/>
      <x:c r="E133" s="9"/>
      <x:c r="F133" s="11"/>
      <x:c r="G133" s="11"/>
      <x:c r="H133" s="11"/>
      <x:c r="I133" s="9"/>
      <x:c r="J133" s="9"/>
      <x:c r="K133" s="9"/>
      <x:c r="L133" s="9"/>
      <x:c r="M133" s="12" t="str">
        <x:f>IF(A133="","",IF(AND(ISNUMBER(G133),ISNUMBER(H133)),H133-G133,""))</x:f>
      </x:c>
      <x:c r="N133" s="12" t="str">
        <x:f>IF(A133="","",IF(NOT(ISNUMBER(G133)),"Réception manquante",IF(AND(ISNUMBER(H133),H133&lt;G133),"Incohérent",IF('Paramètres'!$E$9="",IF(ISNUMBER(H133),"Répondue / cible absente","Sans réponse / cible absente"),IF(ISNUMBER(H133),IF(M133&lt;='Paramètres'!$E$9,"Dans le délai","Hors délai"),IF('Tableau de bord'!$F$5-G133&gt;'Paramètres'!$E$9,"Retard","En attente"))))))</x:f>
      </x:c>
      <x:c r="O133" s="9"/>
    </x:row>
    <x:row r="134" ht="23" customHeight="1">
      <x:c r="A134" s="9"/>
      <x:c r="B134" s="9"/>
      <x:c r="C134" s="9"/>
      <x:c r="D134" s="9"/>
      <x:c r="E134" s="9"/>
      <x:c r="F134" s="11"/>
      <x:c r="G134" s="11"/>
      <x:c r="H134" s="11"/>
      <x:c r="I134" s="9"/>
      <x:c r="J134" s="9"/>
      <x:c r="K134" s="9"/>
      <x:c r="L134" s="9"/>
      <x:c r="M134" s="12" t="str">
        <x:f>IF(A134="","",IF(AND(ISNUMBER(G134),ISNUMBER(H134)),H134-G134,""))</x:f>
      </x:c>
      <x:c r="N134" s="12" t="str">
        <x:f>IF(A134="","",IF(NOT(ISNUMBER(G134)),"Réception manquante",IF(AND(ISNUMBER(H134),H134&lt;G134),"Incohérent",IF('Paramètres'!$E$9="",IF(ISNUMBER(H134),"Répondue / cible absente","Sans réponse / cible absente"),IF(ISNUMBER(H134),IF(M134&lt;='Paramètres'!$E$9,"Dans le délai","Hors délai"),IF('Tableau de bord'!$F$5-G134&gt;'Paramètres'!$E$9,"Retard","En attente"))))))</x:f>
      </x:c>
      <x:c r="O134" s="9"/>
    </x:row>
    <x:row r="135" ht="23" customHeight="1">
      <x:c r="A135" s="9"/>
      <x:c r="B135" s="9"/>
      <x:c r="C135" s="9"/>
      <x:c r="D135" s="9"/>
      <x:c r="E135" s="9"/>
      <x:c r="F135" s="11"/>
      <x:c r="G135" s="11"/>
      <x:c r="H135" s="11"/>
      <x:c r="I135" s="9"/>
      <x:c r="J135" s="9"/>
      <x:c r="K135" s="9"/>
      <x:c r="L135" s="9"/>
      <x:c r="M135" s="12" t="str">
        <x:f>IF(A135="","",IF(AND(ISNUMBER(G135),ISNUMBER(H135)),H135-G135,""))</x:f>
      </x:c>
      <x:c r="N135" s="12" t="str">
        <x:f>IF(A135="","",IF(NOT(ISNUMBER(G135)),"Réception manquante",IF(AND(ISNUMBER(H135),H135&lt;G135),"Incohérent",IF('Paramètres'!$E$9="",IF(ISNUMBER(H135),"Répondue / cible absente","Sans réponse / cible absente"),IF(ISNUMBER(H135),IF(M135&lt;='Paramètres'!$E$9,"Dans le délai","Hors délai"),IF('Tableau de bord'!$F$5-G135&gt;'Paramètres'!$E$9,"Retard","En attente"))))))</x:f>
      </x:c>
      <x:c r="O135" s="9"/>
    </x:row>
    <x:row r="136" ht="23" customHeight="1">
      <x:c r="A136" s="9"/>
      <x:c r="B136" s="9"/>
      <x:c r="C136" s="9"/>
      <x:c r="D136" s="9"/>
      <x:c r="E136" s="9"/>
      <x:c r="F136" s="11"/>
      <x:c r="G136" s="11"/>
      <x:c r="H136" s="11"/>
      <x:c r="I136" s="9"/>
      <x:c r="J136" s="9"/>
      <x:c r="K136" s="9"/>
      <x:c r="L136" s="9"/>
      <x:c r="M136" s="12" t="str">
        <x:f>IF(A136="","",IF(AND(ISNUMBER(G136),ISNUMBER(H136)),H136-G136,""))</x:f>
      </x:c>
      <x:c r="N136" s="12" t="str">
        <x:f>IF(A136="","",IF(NOT(ISNUMBER(G136)),"Réception manquante",IF(AND(ISNUMBER(H136),H136&lt;G136),"Incohérent",IF('Paramètres'!$E$9="",IF(ISNUMBER(H136),"Répondue / cible absente","Sans réponse / cible absente"),IF(ISNUMBER(H136),IF(M136&lt;='Paramètres'!$E$9,"Dans le délai","Hors délai"),IF('Tableau de bord'!$F$5-G136&gt;'Paramètres'!$E$9,"Retard","En attente"))))))</x:f>
      </x:c>
      <x:c r="O136" s="9"/>
    </x:row>
    <x:row r="137" ht="23" customHeight="1">
      <x:c r="A137" s="9"/>
      <x:c r="B137" s="9"/>
      <x:c r="C137" s="9"/>
      <x:c r="D137" s="9"/>
      <x:c r="E137" s="9"/>
      <x:c r="F137" s="11"/>
      <x:c r="G137" s="11"/>
      <x:c r="H137" s="11"/>
      <x:c r="I137" s="9"/>
      <x:c r="J137" s="9"/>
      <x:c r="K137" s="9"/>
      <x:c r="L137" s="9"/>
      <x:c r="M137" s="12" t="str">
        <x:f>IF(A137="","",IF(AND(ISNUMBER(G137),ISNUMBER(H137)),H137-G137,""))</x:f>
      </x:c>
      <x:c r="N137" s="12" t="str">
        <x:f>IF(A137="","",IF(NOT(ISNUMBER(G137)),"Réception manquante",IF(AND(ISNUMBER(H137),H137&lt;G137),"Incohérent",IF('Paramètres'!$E$9="",IF(ISNUMBER(H137),"Répondue / cible absente","Sans réponse / cible absente"),IF(ISNUMBER(H137),IF(M137&lt;='Paramètres'!$E$9,"Dans le délai","Hors délai"),IF('Tableau de bord'!$F$5-G137&gt;'Paramètres'!$E$9,"Retard","En attente"))))))</x:f>
      </x:c>
      <x:c r="O137" s="9"/>
    </x:row>
    <x:row r="138" ht="23" customHeight="1">
      <x:c r="A138" s="9"/>
      <x:c r="B138" s="9"/>
      <x:c r="C138" s="9"/>
      <x:c r="D138" s="9"/>
      <x:c r="E138" s="9"/>
      <x:c r="F138" s="11"/>
      <x:c r="G138" s="11"/>
      <x:c r="H138" s="11"/>
      <x:c r="I138" s="9"/>
      <x:c r="J138" s="9"/>
      <x:c r="K138" s="9"/>
      <x:c r="L138" s="9"/>
      <x:c r="M138" s="12" t="str">
        <x:f>IF(A138="","",IF(AND(ISNUMBER(G138),ISNUMBER(H138)),H138-G138,""))</x:f>
      </x:c>
      <x:c r="N138" s="12" t="str">
        <x:f>IF(A138="","",IF(NOT(ISNUMBER(G138)),"Réception manquante",IF(AND(ISNUMBER(H138),H138&lt;G138),"Incohérent",IF('Paramètres'!$E$9="",IF(ISNUMBER(H138),"Répondue / cible absente","Sans réponse / cible absente"),IF(ISNUMBER(H138),IF(M138&lt;='Paramètres'!$E$9,"Dans le délai","Hors délai"),IF('Tableau de bord'!$F$5-G138&gt;'Paramètres'!$E$9,"Retard","En attente"))))))</x:f>
      </x:c>
      <x:c r="O138" s="9"/>
    </x:row>
    <x:row r="139" ht="23" customHeight="1">
      <x:c r="A139" s="9"/>
      <x:c r="B139" s="9"/>
      <x:c r="C139" s="9"/>
      <x:c r="D139" s="9"/>
      <x:c r="E139" s="9"/>
      <x:c r="F139" s="11"/>
      <x:c r="G139" s="11"/>
      <x:c r="H139" s="11"/>
      <x:c r="I139" s="9"/>
      <x:c r="J139" s="9"/>
      <x:c r="K139" s="9"/>
      <x:c r="L139" s="9"/>
      <x:c r="M139" s="12" t="str">
        <x:f>IF(A139="","",IF(AND(ISNUMBER(G139),ISNUMBER(H139)),H139-G139,""))</x:f>
      </x:c>
      <x:c r="N139" s="12" t="str">
        <x:f>IF(A139="","",IF(NOT(ISNUMBER(G139)),"Réception manquante",IF(AND(ISNUMBER(H139),H139&lt;G139),"Incohérent",IF('Paramètres'!$E$9="",IF(ISNUMBER(H139),"Répondue / cible absente","Sans réponse / cible absente"),IF(ISNUMBER(H139),IF(M139&lt;='Paramètres'!$E$9,"Dans le délai","Hors délai"),IF('Tableau de bord'!$F$5-G139&gt;'Paramètres'!$E$9,"Retard","En attente"))))))</x:f>
      </x:c>
      <x:c r="O139" s="9"/>
    </x:row>
    <x:row r="140" ht="23" customHeight="1">
      <x:c r="A140" s="9"/>
      <x:c r="B140" s="9"/>
      <x:c r="C140" s="9"/>
      <x:c r="D140" s="9"/>
      <x:c r="E140" s="9"/>
      <x:c r="F140" s="11"/>
      <x:c r="G140" s="11"/>
      <x:c r="H140" s="11"/>
      <x:c r="I140" s="9"/>
      <x:c r="J140" s="9"/>
      <x:c r="K140" s="9"/>
      <x:c r="L140" s="9"/>
      <x:c r="M140" s="12" t="str">
        <x:f>IF(A140="","",IF(AND(ISNUMBER(G140),ISNUMBER(H140)),H140-G140,""))</x:f>
      </x:c>
      <x:c r="N140" s="12" t="str">
        <x:f>IF(A140="","",IF(NOT(ISNUMBER(G140)),"Réception manquante",IF(AND(ISNUMBER(H140),H140&lt;G140),"Incohérent",IF('Paramètres'!$E$9="",IF(ISNUMBER(H140),"Répondue / cible absente","Sans réponse / cible absente"),IF(ISNUMBER(H140),IF(M140&lt;='Paramètres'!$E$9,"Dans le délai","Hors délai"),IF('Tableau de bord'!$F$5-G140&gt;'Paramètres'!$E$9,"Retard","En attente"))))))</x:f>
      </x:c>
      <x:c r="O140" s="9"/>
    </x:row>
    <x:row r="141" ht="23" customHeight="1">
      <x:c r="A141" s="9"/>
      <x:c r="B141" s="9"/>
      <x:c r="C141" s="9"/>
      <x:c r="D141" s="9"/>
      <x:c r="E141" s="9"/>
      <x:c r="F141" s="11"/>
      <x:c r="G141" s="11"/>
      <x:c r="H141" s="11"/>
      <x:c r="I141" s="9"/>
      <x:c r="J141" s="9"/>
      <x:c r="K141" s="9"/>
      <x:c r="L141" s="9"/>
      <x:c r="M141" s="12" t="str">
        <x:f>IF(A141="","",IF(AND(ISNUMBER(G141),ISNUMBER(H141)),H141-G141,""))</x:f>
      </x:c>
      <x:c r="N141" s="12" t="str">
        <x:f>IF(A141="","",IF(NOT(ISNUMBER(G141)),"Réception manquante",IF(AND(ISNUMBER(H141),H141&lt;G141),"Incohérent",IF('Paramètres'!$E$9="",IF(ISNUMBER(H141),"Répondue / cible absente","Sans réponse / cible absente"),IF(ISNUMBER(H141),IF(M141&lt;='Paramètres'!$E$9,"Dans le délai","Hors délai"),IF('Tableau de bord'!$F$5-G141&gt;'Paramètres'!$E$9,"Retard","En attente"))))))</x:f>
      </x:c>
      <x:c r="O141" s="9"/>
    </x:row>
    <x:row r="142" ht="23" customHeight="1">
      <x:c r="A142" s="9"/>
      <x:c r="B142" s="9"/>
      <x:c r="C142" s="9"/>
      <x:c r="D142" s="9"/>
      <x:c r="E142" s="9"/>
      <x:c r="F142" s="11"/>
      <x:c r="G142" s="11"/>
      <x:c r="H142" s="11"/>
      <x:c r="I142" s="9"/>
      <x:c r="J142" s="9"/>
      <x:c r="K142" s="9"/>
      <x:c r="L142" s="9"/>
      <x:c r="M142" s="12" t="str">
        <x:f>IF(A142="","",IF(AND(ISNUMBER(G142),ISNUMBER(H142)),H142-G142,""))</x:f>
      </x:c>
      <x:c r="N142" s="12" t="str">
        <x:f>IF(A142="","",IF(NOT(ISNUMBER(G142)),"Réception manquante",IF(AND(ISNUMBER(H142),H142&lt;G142),"Incohérent",IF('Paramètres'!$E$9="",IF(ISNUMBER(H142),"Répondue / cible absente","Sans réponse / cible absente"),IF(ISNUMBER(H142),IF(M142&lt;='Paramètres'!$E$9,"Dans le délai","Hors délai"),IF('Tableau de bord'!$F$5-G142&gt;'Paramètres'!$E$9,"Retard","En attente"))))))</x:f>
      </x:c>
      <x:c r="O142" s="9"/>
    </x:row>
    <x:row r="143" ht="23" customHeight="1">
      <x:c r="A143" s="9"/>
      <x:c r="B143" s="9"/>
      <x:c r="C143" s="9"/>
      <x:c r="D143" s="9"/>
      <x:c r="E143" s="9"/>
      <x:c r="F143" s="11"/>
      <x:c r="G143" s="11"/>
      <x:c r="H143" s="11"/>
      <x:c r="I143" s="9"/>
      <x:c r="J143" s="9"/>
      <x:c r="K143" s="9"/>
      <x:c r="L143" s="9"/>
      <x:c r="M143" s="12" t="str">
        <x:f>IF(A143="","",IF(AND(ISNUMBER(G143),ISNUMBER(H143)),H143-G143,""))</x:f>
      </x:c>
      <x:c r="N143" s="12" t="str">
        <x:f>IF(A143="","",IF(NOT(ISNUMBER(G143)),"Réception manquante",IF(AND(ISNUMBER(H143),H143&lt;G143),"Incohérent",IF('Paramètres'!$E$9="",IF(ISNUMBER(H143),"Répondue / cible absente","Sans réponse / cible absente"),IF(ISNUMBER(H143),IF(M143&lt;='Paramètres'!$E$9,"Dans le délai","Hors délai"),IF('Tableau de bord'!$F$5-G143&gt;'Paramètres'!$E$9,"Retard","En attente"))))))</x:f>
      </x:c>
      <x:c r="O143" s="9"/>
    </x:row>
    <x:row r="144" ht="23" customHeight="1">
      <x:c r="A144" s="9"/>
      <x:c r="B144" s="9"/>
      <x:c r="C144" s="9"/>
      <x:c r="D144" s="9"/>
      <x:c r="E144" s="9"/>
      <x:c r="F144" s="11"/>
      <x:c r="G144" s="11"/>
      <x:c r="H144" s="11"/>
      <x:c r="I144" s="9"/>
      <x:c r="J144" s="9"/>
      <x:c r="K144" s="9"/>
      <x:c r="L144" s="9"/>
      <x:c r="M144" s="12" t="str">
        <x:f>IF(A144="","",IF(AND(ISNUMBER(G144),ISNUMBER(H144)),H144-G144,""))</x:f>
      </x:c>
      <x:c r="N144" s="12" t="str">
        <x:f>IF(A144="","",IF(NOT(ISNUMBER(G144)),"Réception manquante",IF(AND(ISNUMBER(H144),H144&lt;G144),"Incohérent",IF('Paramètres'!$E$9="",IF(ISNUMBER(H144),"Répondue / cible absente","Sans réponse / cible absente"),IF(ISNUMBER(H144),IF(M144&lt;='Paramètres'!$E$9,"Dans le délai","Hors délai"),IF('Tableau de bord'!$F$5-G144&gt;'Paramètres'!$E$9,"Retard","En attente"))))))</x:f>
      </x:c>
      <x:c r="O144" s="9"/>
    </x:row>
    <x:row r="145" ht="23" customHeight="1">
      <x:c r="A145" s="9"/>
      <x:c r="B145" s="9"/>
      <x:c r="C145" s="9"/>
      <x:c r="D145" s="9"/>
      <x:c r="E145" s="9"/>
      <x:c r="F145" s="11"/>
      <x:c r="G145" s="11"/>
      <x:c r="H145" s="11"/>
      <x:c r="I145" s="9"/>
      <x:c r="J145" s="9"/>
      <x:c r="K145" s="9"/>
      <x:c r="L145" s="9"/>
      <x:c r="M145" s="12" t="str">
        <x:f>IF(A145="","",IF(AND(ISNUMBER(G145),ISNUMBER(H145)),H145-G145,""))</x:f>
      </x:c>
      <x:c r="N145" s="12" t="str">
        <x:f>IF(A145="","",IF(NOT(ISNUMBER(G145)),"Réception manquante",IF(AND(ISNUMBER(H145),H145&lt;G145),"Incohérent",IF('Paramètres'!$E$9="",IF(ISNUMBER(H145),"Répondue / cible absente","Sans réponse / cible absente"),IF(ISNUMBER(H145),IF(M145&lt;='Paramètres'!$E$9,"Dans le délai","Hors délai"),IF('Tableau de bord'!$F$5-G145&gt;'Paramètres'!$E$9,"Retard","En attente"))))))</x:f>
      </x:c>
      <x:c r="O145" s="9"/>
    </x:row>
    <x:row r="146" ht="23" customHeight="1">
      <x:c r="A146" s="9"/>
      <x:c r="B146" s="9"/>
      <x:c r="C146" s="9"/>
      <x:c r="D146" s="9"/>
      <x:c r="E146" s="9"/>
      <x:c r="F146" s="11"/>
      <x:c r="G146" s="11"/>
      <x:c r="H146" s="11"/>
      <x:c r="I146" s="9"/>
      <x:c r="J146" s="9"/>
      <x:c r="K146" s="9"/>
      <x:c r="L146" s="9"/>
      <x:c r="M146" s="12" t="str">
        <x:f>IF(A146="","",IF(AND(ISNUMBER(G146),ISNUMBER(H146)),H146-G146,""))</x:f>
      </x:c>
      <x:c r="N146" s="12" t="str">
        <x:f>IF(A146="","",IF(NOT(ISNUMBER(G146)),"Réception manquante",IF(AND(ISNUMBER(H146),H146&lt;G146),"Incohérent",IF('Paramètres'!$E$9="",IF(ISNUMBER(H146),"Répondue / cible absente","Sans réponse / cible absente"),IF(ISNUMBER(H146),IF(M146&lt;='Paramètres'!$E$9,"Dans le délai","Hors délai"),IF('Tableau de bord'!$F$5-G146&gt;'Paramètres'!$E$9,"Retard","En attente"))))))</x:f>
      </x:c>
      <x:c r="O146" s="9"/>
    </x:row>
    <x:row r="147" ht="23" customHeight="1">
      <x:c r="A147" s="9"/>
      <x:c r="B147" s="9"/>
      <x:c r="C147" s="9"/>
      <x:c r="D147" s="9"/>
      <x:c r="E147" s="9"/>
      <x:c r="F147" s="11"/>
      <x:c r="G147" s="11"/>
      <x:c r="H147" s="11"/>
      <x:c r="I147" s="9"/>
      <x:c r="J147" s="9"/>
      <x:c r="K147" s="9"/>
      <x:c r="L147" s="9"/>
      <x:c r="M147" s="12" t="str">
        <x:f>IF(A147="","",IF(AND(ISNUMBER(G147),ISNUMBER(H147)),H147-G147,""))</x:f>
      </x:c>
      <x:c r="N147" s="12" t="str">
        <x:f>IF(A147="","",IF(NOT(ISNUMBER(G147)),"Réception manquante",IF(AND(ISNUMBER(H147),H147&lt;G147),"Incohérent",IF('Paramètres'!$E$9="",IF(ISNUMBER(H147),"Répondue / cible absente","Sans réponse / cible absente"),IF(ISNUMBER(H147),IF(M147&lt;='Paramètres'!$E$9,"Dans le délai","Hors délai"),IF('Tableau de bord'!$F$5-G147&gt;'Paramètres'!$E$9,"Retard","En attente"))))))</x:f>
      </x:c>
      <x:c r="O147" s="9"/>
    </x:row>
    <x:row r="148" ht="23" customHeight="1">
      <x:c r="A148" s="9"/>
      <x:c r="B148" s="9"/>
      <x:c r="C148" s="9"/>
      <x:c r="D148" s="9"/>
      <x:c r="E148" s="9"/>
      <x:c r="F148" s="11"/>
      <x:c r="G148" s="11"/>
      <x:c r="H148" s="11"/>
      <x:c r="I148" s="9"/>
      <x:c r="J148" s="9"/>
      <x:c r="K148" s="9"/>
      <x:c r="L148" s="9"/>
      <x:c r="M148" s="12" t="str">
        <x:f>IF(A148="","",IF(AND(ISNUMBER(G148),ISNUMBER(H148)),H148-G148,""))</x:f>
      </x:c>
      <x:c r="N148" s="12" t="str">
        <x:f>IF(A148="","",IF(NOT(ISNUMBER(G148)),"Réception manquante",IF(AND(ISNUMBER(H148),H148&lt;G148),"Incohérent",IF('Paramètres'!$E$9="",IF(ISNUMBER(H148),"Répondue / cible absente","Sans réponse / cible absente"),IF(ISNUMBER(H148),IF(M148&lt;='Paramètres'!$E$9,"Dans le délai","Hors délai"),IF('Tableau de bord'!$F$5-G148&gt;'Paramètres'!$E$9,"Retard","En attente"))))))</x:f>
      </x:c>
      <x:c r="O148" s="9"/>
    </x:row>
    <x:row r="149" ht="23" customHeight="1">
      <x:c r="A149" s="9"/>
      <x:c r="B149" s="9"/>
      <x:c r="C149" s="9"/>
      <x:c r="D149" s="9"/>
      <x:c r="E149" s="9"/>
      <x:c r="F149" s="11"/>
      <x:c r="G149" s="11"/>
      <x:c r="H149" s="11"/>
      <x:c r="I149" s="9"/>
      <x:c r="J149" s="9"/>
      <x:c r="K149" s="9"/>
      <x:c r="L149" s="9"/>
      <x:c r="M149" s="12" t="str">
        <x:f>IF(A149="","",IF(AND(ISNUMBER(G149),ISNUMBER(H149)),H149-G149,""))</x:f>
      </x:c>
      <x:c r="N149" s="12" t="str">
        <x:f>IF(A149="","",IF(NOT(ISNUMBER(G149)),"Réception manquante",IF(AND(ISNUMBER(H149),H149&lt;G149),"Incohérent",IF('Paramètres'!$E$9="",IF(ISNUMBER(H149),"Répondue / cible absente","Sans réponse / cible absente"),IF(ISNUMBER(H149),IF(M149&lt;='Paramètres'!$E$9,"Dans le délai","Hors délai"),IF('Tableau de bord'!$F$5-G149&gt;'Paramètres'!$E$9,"Retard","En attente"))))))</x:f>
      </x:c>
      <x:c r="O149" s="9"/>
    </x:row>
    <x:row r="150" ht="23" customHeight="1">
      <x:c r="A150" s="9"/>
      <x:c r="B150" s="9"/>
      <x:c r="C150" s="9"/>
      <x:c r="D150" s="9"/>
      <x:c r="E150" s="9"/>
      <x:c r="F150" s="11"/>
      <x:c r="G150" s="11"/>
      <x:c r="H150" s="11"/>
      <x:c r="I150" s="9"/>
      <x:c r="J150" s="9"/>
      <x:c r="K150" s="9"/>
      <x:c r="L150" s="9"/>
      <x:c r="M150" s="12" t="str">
        <x:f>IF(A150="","",IF(AND(ISNUMBER(G150),ISNUMBER(H150)),H150-G150,""))</x:f>
      </x:c>
      <x:c r="N150" s="12" t="str">
        <x:f>IF(A150="","",IF(NOT(ISNUMBER(G150)),"Réception manquante",IF(AND(ISNUMBER(H150),H150&lt;G150),"Incohérent",IF('Paramètres'!$E$9="",IF(ISNUMBER(H150),"Répondue / cible absente","Sans réponse / cible absente"),IF(ISNUMBER(H150),IF(M150&lt;='Paramètres'!$E$9,"Dans le délai","Hors délai"),IF('Tableau de bord'!$F$5-G150&gt;'Paramètres'!$E$9,"Retard","En attente"))))))</x:f>
      </x:c>
      <x:c r="O150" s="9"/>
    </x:row>
    <x:row r="151" ht="23" customHeight="1">
      <x:c r="A151" s="9"/>
      <x:c r="B151" s="9"/>
      <x:c r="C151" s="9"/>
      <x:c r="D151" s="9"/>
      <x:c r="E151" s="9"/>
      <x:c r="F151" s="11"/>
      <x:c r="G151" s="11"/>
      <x:c r="H151" s="11"/>
      <x:c r="I151" s="9"/>
      <x:c r="J151" s="9"/>
      <x:c r="K151" s="9"/>
      <x:c r="L151" s="9"/>
      <x:c r="M151" s="12" t="str">
        <x:f>IF(A151="","",IF(AND(ISNUMBER(G151),ISNUMBER(H151)),H151-G151,""))</x:f>
      </x:c>
      <x:c r="N151" s="12" t="str">
        <x:f>IF(A151="","",IF(NOT(ISNUMBER(G151)),"Réception manquante",IF(AND(ISNUMBER(H151),H151&lt;G151),"Incohérent",IF('Paramètres'!$E$9="",IF(ISNUMBER(H151),"Répondue / cible absente","Sans réponse / cible absente"),IF(ISNUMBER(H151),IF(M151&lt;='Paramètres'!$E$9,"Dans le délai","Hors délai"),IF('Tableau de bord'!$F$5-G151&gt;'Paramètres'!$E$9,"Retard","En attente"))))))</x:f>
      </x:c>
      <x:c r="O151" s="9"/>
    </x:row>
    <x:row r="152" ht="23" customHeight="1">
      <x:c r="A152" s="9"/>
      <x:c r="B152" s="9"/>
      <x:c r="C152" s="9"/>
      <x:c r="D152" s="9"/>
      <x:c r="E152" s="9"/>
      <x:c r="F152" s="11"/>
      <x:c r="G152" s="11"/>
      <x:c r="H152" s="11"/>
      <x:c r="I152" s="9"/>
      <x:c r="J152" s="9"/>
      <x:c r="K152" s="9"/>
      <x:c r="L152" s="9"/>
      <x:c r="M152" s="12" t="str">
        <x:f>IF(A152="","",IF(AND(ISNUMBER(G152),ISNUMBER(H152)),H152-G152,""))</x:f>
      </x:c>
      <x:c r="N152" s="12" t="str">
        <x:f>IF(A152="","",IF(NOT(ISNUMBER(G152)),"Réception manquante",IF(AND(ISNUMBER(H152),H152&lt;G152),"Incohérent",IF('Paramètres'!$E$9="",IF(ISNUMBER(H152),"Répondue / cible absente","Sans réponse / cible absente"),IF(ISNUMBER(H152),IF(M152&lt;='Paramètres'!$E$9,"Dans le délai","Hors délai"),IF('Tableau de bord'!$F$5-G152&gt;'Paramètres'!$E$9,"Retard","En attente"))))))</x:f>
      </x:c>
      <x:c r="O152" s="9"/>
    </x:row>
    <x:row r="153" ht="23" customHeight="1">
      <x:c r="A153" s="9"/>
      <x:c r="B153" s="9"/>
      <x:c r="C153" s="9"/>
      <x:c r="D153" s="9"/>
      <x:c r="E153" s="9"/>
      <x:c r="F153" s="11"/>
      <x:c r="G153" s="11"/>
      <x:c r="H153" s="11"/>
      <x:c r="I153" s="9"/>
      <x:c r="J153" s="9"/>
      <x:c r="K153" s="9"/>
      <x:c r="L153" s="9"/>
      <x:c r="M153" s="12" t="str">
        <x:f>IF(A153="","",IF(AND(ISNUMBER(G153),ISNUMBER(H153)),H153-G153,""))</x:f>
      </x:c>
      <x:c r="N153" s="12" t="str">
        <x:f>IF(A153="","",IF(NOT(ISNUMBER(G153)),"Réception manquante",IF(AND(ISNUMBER(H153),H153&lt;G153),"Incohérent",IF('Paramètres'!$E$9="",IF(ISNUMBER(H153),"Répondue / cible absente","Sans réponse / cible absente"),IF(ISNUMBER(H153),IF(M153&lt;='Paramètres'!$E$9,"Dans le délai","Hors délai"),IF('Tableau de bord'!$F$5-G153&gt;'Paramètres'!$E$9,"Retard","En attente"))))))</x:f>
      </x:c>
      <x:c r="O153" s="9"/>
    </x:row>
    <x:row r="154" ht="23" customHeight="1">
      <x:c r="A154" s="9"/>
      <x:c r="B154" s="9"/>
      <x:c r="C154" s="9"/>
      <x:c r="D154" s="9"/>
      <x:c r="E154" s="9"/>
      <x:c r="F154" s="11"/>
      <x:c r="G154" s="11"/>
      <x:c r="H154" s="11"/>
      <x:c r="I154" s="9"/>
      <x:c r="J154" s="9"/>
      <x:c r="K154" s="9"/>
      <x:c r="L154" s="9"/>
      <x:c r="M154" s="12" t="str">
        <x:f>IF(A154="","",IF(AND(ISNUMBER(G154),ISNUMBER(H154)),H154-G154,""))</x:f>
      </x:c>
      <x:c r="N154" s="12" t="str">
        <x:f>IF(A154="","",IF(NOT(ISNUMBER(G154)),"Réception manquante",IF(AND(ISNUMBER(H154),H154&lt;G154),"Incohérent",IF('Paramètres'!$E$9="",IF(ISNUMBER(H154),"Répondue / cible absente","Sans réponse / cible absente"),IF(ISNUMBER(H154),IF(M154&lt;='Paramètres'!$E$9,"Dans le délai","Hors délai"),IF('Tableau de bord'!$F$5-G154&gt;'Paramètres'!$E$9,"Retard","En attente"))))))</x:f>
      </x:c>
      <x:c r="O154" s="9"/>
    </x:row>
    <x:row r="155" ht="23" customHeight="1">
      <x:c r="A155" s="9"/>
      <x:c r="B155" s="9"/>
      <x:c r="C155" s="9"/>
      <x:c r="D155" s="9"/>
      <x:c r="E155" s="9"/>
      <x:c r="F155" s="11"/>
      <x:c r="G155" s="11"/>
      <x:c r="H155" s="11"/>
      <x:c r="I155" s="9"/>
      <x:c r="J155" s="9"/>
      <x:c r="K155" s="9"/>
      <x:c r="L155" s="9"/>
      <x:c r="M155" s="12" t="str">
        <x:f>IF(A155="","",IF(AND(ISNUMBER(G155),ISNUMBER(H155)),H155-G155,""))</x:f>
      </x:c>
      <x:c r="N155" s="12" t="str">
        <x:f>IF(A155="","",IF(NOT(ISNUMBER(G155)),"Réception manquante",IF(AND(ISNUMBER(H155),H155&lt;G155),"Incohérent",IF('Paramètres'!$E$9="",IF(ISNUMBER(H155),"Répondue / cible absente","Sans réponse / cible absente"),IF(ISNUMBER(H155),IF(M155&lt;='Paramètres'!$E$9,"Dans le délai","Hors délai"),IF('Tableau de bord'!$F$5-G155&gt;'Paramètres'!$E$9,"Retard","En attente"))))))</x:f>
      </x:c>
      <x:c r="O155" s="9"/>
    </x:row>
    <x:row r="156" ht="23" customHeight="1">
      <x:c r="A156" s="9"/>
      <x:c r="B156" s="9"/>
      <x:c r="C156" s="9"/>
      <x:c r="D156" s="9"/>
      <x:c r="E156" s="9"/>
      <x:c r="F156" s="11"/>
      <x:c r="G156" s="11"/>
      <x:c r="H156" s="11"/>
      <x:c r="I156" s="9"/>
      <x:c r="J156" s="9"/>
      <x:c r="K156" s="9"/>
      <x:c r="L156" s="9"/>
      <x:c r="M156" s="12" t="str">
        <x:f>IF(A156="","",IF(AND(ISNUMBER(G156),ISNUMBER(H156)),H156-G156,""))</x:f>
      </x:c>
      <x:c r="N156" s="12" t="str">
        <x:f>IF(A156="","",IF(NOT(ISNUMBER(G156)),"Réception manquante",IF(AND(ISNUMBER(H156),H156&lt;G156),"Incohérent",IF('Paramètres'!$E$9="",IF(ISNUMBER(H156),"Répondue / cible absente","Sans réponse / cible absente"),IF(ISNUMBER(H156),IF(M156&lt;='Paramètres'!$E$9,"Dans le délai","Hors délai"),IF('Tableau de bord'!$F$5-G156&gt;'Paramètres'!$E$9,"Retard","En attente"))))))</x:f>
      </x:c>
      <x:c r="O156" s="9"/>
    </x:row>
    <x:row r="157" ht="23" customHeight="1">
      <x:c r="A157" s="9"/>
      <x:c r="B157" s="9"/>
      <x:c r="C157" s="9"/>
      <x:c r="D157" s="9"/>
      <x:c r="E157" s="9"/>
      <x:c r="F157" s="11"/>
      <x:c r="G157" s="11"/>
      <x:c r="H157" s="11"/>
      <x:c r="I157" s="9"/>
      <x:c r="J157" s="9"/>
      <x:c r="K157" s="9"/>
      <x:c r="L157" s="9"/>
      <x:c r="M157" s="12" t="str">
        <x:f>IF(A157="","",IF(AND(ISNUMBER(G157),ISNUMBER(H157)),H157-G157,""))</x:f>
      </x:c>
      <x:c r="N157" s="12" t="str">
        <x:f>IF(A157="","",IF(NOT(ISNUMBER(G157)),"Réception manquante",IF(AND(ISNUMBER(H157),H157&lt;G157),"Incohérent",IF('Paramètres'!$E$9="",IF(ISNUMBER(H157),"Répondue / cible absente","Sans réponse / cible absente"),IF(ISNUMBER(H157),IF(M157&lt;='Paramètres'!$E$9,"Dans le délai","Hors délai"),IF('Tableau de bord'!$F$5-G157&gt;'Paramètres'!$E$9,"Retard","En attente"))))))</x:f>
      </x:c>
      <x:c r="O157" s="9"/>
    </x:row>
    <x:row r="158" ht="23" customHeight="1">
      <x:c r="A158" s="9"/>
      <x:c r="B158" s="9"/>
      <x:c r="C158" s="9"/>
      <x:c r="D158" s="9"/>
      <x:c r="E158" s="9"/>
      <x:c r="F158" s="11"/>
      <x:c r="G158" s="11"/>
      <x:c r="H158" s="11"/>
      <x:c r="I158" s="9"/>
      <x:c r="J158" s="9"/>
      <x:c r="K158" s="9"/>
      <x:c r="L158" s="9"/>
      <x:c r="M158" s="12" t="str">
        <x:f>IF(A158="","",IF(AND(ISNUMBER(G158),ISNUMBER(H158)),H158-G158,""))</x:f>
      </x:c>
      <x:c r="N158" s="12" t="str">
        <x:f>IF(A158="","",IF(NOT(ISNUMBER(G158)),"Réception manquante",IF(AND(ISNUMBER(H158),H158&lt;G158),"Incohérent",IF('Paramètres'!$E$9="",IF(ISNUMBER(H158),"Répondue / cible absente","Sans réponse / cible absente"),IF(ISNUMBER(H158),IF(M158&lt;='Paramètres'!$E$9,"Dans le délai","Hors délai"),IF('Tableau de bord'!$F$5-G158&gt;'Paramètres'!$E$9,"Retard","En attente"))))))</x:f>
      </x:c>
      <x:c r="O158" s="9"/>
    </x:row>
    <x:row r="159" ht="23" customHeight="1">
      <x:c r="A159" s="9"/>
      <x:c r="B159" s="9"/>
      <x:c r="C159" s="9"/>
      <x:c r="D159" s="9"/>
      <x:c r="E159" s="9"/>
      <x:c r="F159" s="11"/>
      <x:c r="G159" s="11"/>
      <x:c r="H159" s="11"/>
      <x:c r="I159" s="9"/>
      <x:c r="J159" s="9"/>
      <x:c r="K159" s="9"/>
      <x:c r="L159" s="9"/>
      <x:c r="M159" s="12" t="str">
        <x:f>IF(A159="","",IF(AND(ISNUMBER(G159),ISNUMBER(H159)),H159-G159,""))</x:f>
      </x:c>
      <x:c r="N159" s="12" t="str">
        <x:f>IF(A159="","",IF(NOT(ISNUMBER(G159)),"Réception manquante",IF(AND(ISNUMBER(H159),H159&lt;G159),"Incohérent",IF('Paramètres'!$E$9="",IF(ISNUMBER(H159),"Répondue / cible absente","Sans réponse / cible absente"),IF(ISNUMBER(H159),IF(M159&lt;='Paramètres'!$E$9,"Dans le délai","Hors délai"),IF('Tableau de bord'!$F$5-G159&gt;'Paramètres'!$E$9,"Retard","En attente"))))))</x:f>
      </x:c>
      <x:c r="O159" s="9"/>
    </x:row>
    <x:row r="160" ht="23" customHeight="1">
      <x:c r="A160" s="9"/>
      <x:c r="B160" s="9"/>
      <x:c r="C160" s="9"/>
      <x:c r="D160" s="9"/>
      <x:c r="E160" s="9"/>
      <x:c r="F160" s="11"/>
      <x:c r="G160" s="11"/>
      <x:c r="H160" s="11"/>
      <x:c r="I160" s="9"/>
      <x:c r="J160" s="9"/>
      <x:c r="K160" s="9"/>
      <x:c r="L160" s="9"/>
      <x:c r="M160" s="12" t="str">
        <x:f>IF(A160="","",IF(AND(ISNUMBER(G160),ISNUMBER(H160)),H160-G160,""))</x:f>
      </x:c>
      <x:c r="N160" s="12" t="str">
        <x:f>IF(A160="","",IF(NOT(ISNUMBER(G160)),"Réception manquante",IF(AND(ISNUMBER(H160),H160&lt;G160),"Incohérent",IF('Paramètres'!$E$9="",IF(ISNUMBER(H160),"Répondue / cible absente","Sans réponse / cible absente"),IF(ISNUMBER(H160),IF(M160&lt;='Paramètres'!$E$9,"Dans le délai","Hors délai"),IF('Tableau de bord'!$F$5-G160&gt;'Paramètres'!$E$9,"Retard","En attente"))))))</x:f>
      </x:c>
      <x:c r="O160" s="9"/>
    </x:row>
    <x:row r="161" ht="23" customHeight="1">
      <x:c r="A161" s="9"/>
      <x:c r="B161" s="9"/>
      <x:c r="C161" s="9"/>
      <x:c r="D161" s="9"/>
      <x:c r="E161" s="9"/>
      <x:c r="F161" s="11"/>
      <x:c r="G161" s="11"/>
      <x:c r="H161" s="11"/>
      <x:c r="I161" s="9"/>
      <x:c r="J161" s="9"/>
      <x:c r="K161" s="9"/>
      <x:c r="L161" s="9"/>
      <x:c r="M161" s="12" t="str">
        <x:f>IF(A161="","",IF(AND(ISNUMBER(G161),ISNUMBER(H161)),H161-G161,""))</x:f>
      </x:c>
      <x:c r="N161" s="12" t="str">
        <x:f>IF(A161="","",IF(NOT(ISNUMBER(G161)),"Réception manquante",IF(AND(ISNUMBER(H161),H161&lt;G161),"Incohérent",IF('Paramètres'!$E$9="",IF(ISNUMBER(H161),"Répondue / cible absente","Sans réponse / cible absente"),IF(ISNUMBER(H161),IF(M161&lt;='Paramètres'!$E$9,"Dans le délai","Hors délai"),IF('Tableau de bord'!$F$5-G161&gt;'Paramètres'!$E$9,"Retard","En attente"))))))</x:f>
      </x:c>
      <x:c r="O161" s="9"/>
    </x:row>
    <x:row r="162" ht="23" customHeight="1">
      <x:c r="A162" s="9"/>
      <x:c r="B162" s="9"/>
      <x:c r="C162" s="9"/>
      <x:c r="D162" s="9"/>
      <x:c r="E162" s="9"/>
      <x:c r="F162" s="11"/>
      <x:c r="G162" s="11"/>
      <x:c r="H162" s="11"/>
      <x:c r="I162" s="9"/>
      <x:c r="J162" s="9"/>
      <x:c r="K162" s="9"/>
      <x:c r="L162" s="9"/>
      <x:c r="M162" s="12" t="str">
        <x:f>IF(A162="","",IF(AND(ISNUMBER(G162),ISNUMBER(H162)),H162-G162,""))</x:f>
      </x:c>
      <x:c r="N162" s="12" t="str">
        <x:f>IF(A162="","",IF(NOT(ISNUMBER(G162)),"Réception manquante",IF(AND(ISNUMBER(H162),H162&lt;G162),"Incohérent",IF('Paramètres'!$E$9="",IF(ISNUMBER(H162),"Répondue / cible absente","Sans réponse / cible absente"),IF(ISNUMBER(H162),IF(M162&lt;='Paramètres'!$E$9,"Dans le délai","Hors délai"),IF('Tableau de bord'!$F$5-G162&gt;'Paramètres'!$E$9,"Retard","En attente"))))))</x:f>
      </x:c>
      <x:c r="O162" s="9"/>
    </x:row>
    <x:row r="163" ht="23" customHeight="1">
      <x:c r="A163" s="9"/>
      <x:c r="B163" s="9"/>
      <x:c r="C163" s="9"/>
      <x:c r="D163" s="9"/>
      <x:c r="E163" s="9"/>
      <x:c r="F163" s="11"/>
      <x:c r="G163" s="11"/>
      <x:c r="H163" s="11"/>
      <x:c r="I163" s="9"/>
      <x:c r="J163" s="9"/>
      <x:c r="K163" s="9"/>
      <x:c r="L163" s="9"/>
      <x:c r="M163" s="12" t="str">
        <x:f>IF(A163="","",IF(AND(ISNUMBER(G163),ISNUMBER(H163)),H163-G163,""))</x:f>
      </x:c>
      <x:c r="N163" s="12" t="str">
        <x:f>IF(A163="","",IF(NOT(ISNUMBER(G163)),"Réception manquante",IF(AND(ISNUMBER(H163),H163&lt;G163),"Incohérent",IF('Paramètres'!$E$9="",IF(ISNUMBER(H163),"Répondue / cible absente","Sans réponse / cible absente"),IF(ISNUMBER(H163),IF(M163&lt;='Paramètres'!$E$9,"Dans le délai","Hors délai"),IF('Tableau de bord'!$F$5-G163&gt;'Paramètres'!$E$9,"Retard","En attente"))))))</x:f>
      </x:c>
      <x:c r="O163" s="9"/>
    </x:row>
    <x:row r="164" ht="23" customHeight="1">
      <x:c r="A164" s="9"/>
      <x:c r="B164" s="9"/>
      <x:c r="C164" s="9"/>
      <x:c r="D164" s="9"/>
      <x:c r="E164" s="9"/>
      <x:c r="F164" s="11"/>
      <x:c r="G164" s="11"/>
      <x:c r="H164" s="11"/>
      <x:c r="I164" s="9"/>
      <x:c r="J164" s="9"/>
      <x:c r="K164" s="9"/>
      <x:c r="L164" s="9"/>
      <x:c r="M164" s="12" t="str">
        <x:f>IF(A164="","",IF(AND(ISNUMBER(G164),ISNUMBER(H164)),H164-G164,""))</x:f>
      </x:c>
      <x:c r="N164" s="12" t="str">
        <x:f>IF(A164="","",IF(NOT(ISNUMBER(G164)),"Réception manquante",IF(AND(ISNUMBER(H164),H164&lt;G164),"Incohérent",IF('Paramètres'!$E$9="",IF(ISNUMBER(H164),"Répondue / cible absente","Sans réponse / cible absente"),IF(ISNUMBER(H164),IF(M164&lt;='Paramètres'!$E$9,"Dans le délai","Hors délai"),IF('Tableau de bord'!$F$5-G164&gt;'Paramètres'!$E$9,"Retard","En attente"))))))</x:f>
      </x:c>
      <x:c r="O164" s="9"/>
    </x:row>
    <x:row r="165" ht="23" customHeight="1">
      <x:c r="A165" s="9"/>
      <x:c r="B165" s="9"/>
      <x:c r="C165" s="9"/>
      <x:c r="D165" s="9"/>
      <x:c r="E165" s="9"/>
      <x:c r="F165" s="11"/>
      <x:c r="G165" s="11"/>
      <x:c r="H165" s="11"/>
      <x:c r="I165" s="9"/>
      <x:c r="J165" s="9"/>
      <x:c r="K165" s="9"/>
      <x:c r="L165" s="9"/>
      <x:c r="M165" s="12" t="str">
        <x:f>IF(A165="","",IF(AND(ISNUMBER(G165),ISNUMBER(H165)),H165-G165,""))</x:f>
      </x:c>
      <x:c r="N165" s="12" t="str">
        <x:f>IF(A165="","",IF(NOT(ISNUMBER(G165)),"Réception manquante",IF(AND(ISNUMBER(H165),H165&lt;G165),"Incohérent",IF('Paramètres'!$E$9="",IF(ISNUMBER(H165),"Répondue / cible absente","Sans réponse / cible absente"),IF(ISNUMBER(H165),IF(M165&lt;='Paramètres'!$E$9,"Dans le délai","Hors délai"),IF('Tableau de bord'!$F$5-G165&gt;'Paramètres'!$E$9,"Retard","En attente"))))))</x:f>
      </x:c>
      <x:c r="O165" s="9"/>
    </x:row>
    <x:row r="166" ht="23" customHeight="1">
      <x:c r="A166" s="9"/>
      <x:c r="B166" s="9"/>
      <x:c r="C166" s="9"/>
      <x:c r="D166" s="9"/>
      <x:c r="E166" s="9"/>
      <x:c r="F166" s="11"/>
      <x:c r="G166" s="11"/>
      <x:c r="H166" s="11"/>
      <x:c r="I166" s="9"/>
      <x:c r="J166" s="9"/>
      <x:c r="K166" s="9"/>
      <x:c r="L166" s="9"/>
      <x:c r="M166" s="12" t="str">
        <x:f>IF(A166="","",IF(AND(ISNUMBER(G166),ISNUMBER(H166)),H166-G166,""))</x:f>
      </x:c>
      <x:c r="N166" s="12" t="str">
        <x:f>IF(A166="","",IF(NOT(ISNUMBER(G166)),"Réception manquante",IF(AND(ISNUMBER(H166),H166&lt;G166),"Incohérent",IF('Paramètres'!$E$9="",IF(ISNUMBER(H166),"Répondue / cible absente","Sans réponse / cible absente"),IF(ISNUMBER(H166),IF(M166&lt;='Paramètres'!$E$9,"Dans le délai","Hors délai"),IF('Tableau de bord'!$F$5-G166&gt;'Paramètres'!$E$9,"Retard","En attente"))))))</x:f>
      </x:c>
      <x:c r="O166" s="9"/>
    </x:row>
    <x:row r="167" ht="23" customHeight="1">
      <x:c r="A167" s="9"/>
      <x:c r="B167" s="9"/>
      <x:c r="C167" s="9"/>
      <x:c r="D167" s="9"/>
      <x:c r="E167" s="9"/>
      <x:c r="F167" s="11"/>
      <x:c r="G167" s="11"/>
      <x:c r="H167" s="11"/>
      <x:c r="I167" s="9"/>
      <x:c r="J167" s="9"/>
      <x:c r="K167" s="9"/>
      <x:c r="L167" s="9"/>
      <x:c r="M167" s="12" t="str">
        <x:f>IF(A167="","",IF(AND(ISNUMBER(G167),ISNUMBER(H167)),H167-G167,""))</x:f>
      </x:c>
      <x:c r="N167" s="12" t="str">
        <x:f>IF(A167="","",IF(NOT(ISNUMBER(G167)),"Réception manquante",IF(AND(ISNUMBER(H167),H167&lt;G167),"Incohérent",IF('Paramètres'!$E$9="",IF(ISNUMBER(H167),"Répondue / cible absente","Sans réponse / cible absente"),IF(ISNUMBER(H167),IF(M167&lt;='Paramètres'!$E$9,"Dans le délai","Hors délai"),IF('Tableau de bord'!$F$5-G167&gt;'Paramètres'!$E$9,"Retard","En attente"))))))</x:f>
      </x:c>
      <x:c r="O167" s="9"/>
    </x:row>
    <x:row r="168" ht="23" customHeight="1">
      <x:c r="A168" s="9"/>
      <x:c r="B168" s="9"/>
      <x:c r="C168" s="9"/>
      <x:c r="D168" s="9"/>
      <x:c r="E168" s="9"/>
      <x:c r="F168" s="11"/>
      <x:c r="G168" s="11"/>
      <x:c r="H168" s="11"/>
      <x:c r="I168" s="9"/>
      <x:c r="J168" s="9"/>
      <x:c r="K168" s="9"/>
      <x:c r="L168" s="9"/>
      <x:c r="M168" s="12" t="str">
        <x:f>IF(A168="","",IF(AND(ISNUMBER(G168),ISNUMBER(H168)),H168-G168,""))</x:f>
      </x:c>
      <x:c r="N168" s="12" t="str">
        <x:f>IF(A168="","",IF(NOT(ISNUMBER(G168)),"Réception manquante",IF(AND(ISNUMBER(H168),H168&lt;G168),"Incohérent",IF('Paramètres'!$E$9="",IF(ISNUMBER(H168),"Répondue / cible absente","Sans réponse / cible absente"),IF(ISNUMBER(H168),IF(M168&lt;='Paramètres'!$E$9,"Dans le délai","Hors délai"),IF('Tableau de bord'!$F$5-G168&gt;'Paramètres'!$E$9,"Retard","En attente"))))))</x:f>
      </x:c>
      <x:c r="O168" s="9"/>
    </x:row>
    <x:row r="169" ht="23" customHeight="1">
      <x:c r="A169" s="9"/>
      <x:c r="B169" s="9"/>
      <x:c r="C169" s="9"/>
      <x:c r="D169" s="9"/>
      <x:c r="E169" s="9"/>
      <x:c r="F169" s="11"/>
      <x:c r="G169" s="11"/>
      <x:c r="H169" s="11"/>
      <x:c r="I169" s="9"/>
      <x:c r="J169" s="9"/>
      <x:c r="K169" s="9"/>
      <x:c r="L169" s="9"/>
      <x:c r="M169" s="12" t="str">
        <x:f>IF(A169="","",IF(AND(ISNUMBER(G169),ISNUMBER(H169)),H169-G169,""))</x:f>
      </x:c>
      <x:c r="N169" s="12" t="str">
        <x:f>IF(A169="","",IF(NOT(ISNUMBER(G169)),"Réception manquante",IF(AND(ISNUMBER(H169),H169&lt;G169),"Incohérent",IF('Paramètres'!$E$9="",IF(ISNUMBER(H169),"Répondue / cible absente","Sans réponse / cible absente"),IF(ISNUMBER(H169),IF(M169&lt;='Paramètres'!$E$9,"Dans le délai","Hors délai"),IF('Tableau de bord'!$F$5-G169&gt;'Paramètres'!$E$9,"Retard","En attente"))))))</x:f>
      </x:c>
      <x:c r="O169" s="9"/>
    </x:row>
    <x:row r="170" ht="23" customHeight="1">
      <x:c r="A170" s="9"/>
      <x:c r="B170" s="9"/>
      <x:c r="C170" s="9"/>
      <x:c r="D170" s="9"/>
      <x:c r="E170" s="9"/>
      <x:c r="F170" s="11"/>
      <x:c r="G170" s="11"/>
      <x:c r="H170" s="11"/>
      <x:c r="I170" s="9"/>
      <x:c r="J170" s="9"/>
      <x:c r="K170" s="9"/>
      <x:c r="L170" s="9"/>
      <x:c r="M170" s="12" t="str">
        <x:f>IF(A170="","",IF(AND(ISNUMBER(G170),ISNUMBER(H170)),H170-G170,""))</x:f>
      </x:c>
      <x:c r="N170" s="12" t="str">
        <x:f>IF(A170="","",IF(NOT(ISNUMBER(G170)),"Réception manquante",IF(AND(ISNUMBER(H170),H170&lt;G170),"Incohérent",IF('Paramètres'!$E$9="",IF(ISNUMBER(H170),"Répondue / cible absente","Sans réponse / cible absente"),IF(ISNUMBER(H170),IF(M170&lt;='Paramètres'!$E$9,"Dans le délai","Hors délai"),IF('Tableau de bord'!$F$5-G170&gt;'Paramètres'!$E$9,"Retard","En attente"))))))</x:f>
      </x:c>
      <x:c r="O170" s="9"/>
    </x:row>
    <x:row r="171" ht="23" customHeight="1">
      <x:c r="A171" s="9"/>
      <x:c r="B171" s="9"/>
      <x:c r="C171" s="9"/>
      <x:c r="D171" s="9"/>
      <x:c r="E171" s="9"/>
      <x:c r="F171" s="11"/>
      <x:c r="G171" s="11"/>
      <x:c r="H171" s="11"/>
      <x:c r="I171" s="9"/>
      <x:c r="J171" s="9"/>
      <x:c r="K171" s="9"/>
      <x:c r="L171" s="9"/>
      <x:c r="M171" s="12" t="str">
        <x:f>IF(A171="","",IF(AND(ISNUMBER(G171),ISNUMBER(H171)),H171-G171,""))</x:f>
      </x:c>
      <x:c r="N171" s="12" t="str">
        <x:f>IF(A171="","",IF(NOT(ISNUMBER(G171)),"Réception manquante",IF(AND(ISNUMBER(H171),H171&lt;G171),"Incohérent",IF('Paramètres'!$E$9="",IF(ISNUMBER(H171),"Répondue / cible absente","Sans réponse / cible absente"),IF(ISNUMBER(H171),IF(M171&lt;='Paramètres'!$E$9,"Dans le délai","Hors délai"),IF('Tableau de bord'!$F$5-G171&gt;'Paramètres'!$E$9,"Retard","En attente"))))))</x:f>
      </x:c>
      <x:c r="O171" s="9"/>
    </x:row>
    <x:row r="172" ht="23" customHeight="1">
      <x:c r="A172" s="9"/>
      <x:c r="B172" s="9"/>
      <x:c r="C172" s="9"/>
      <x:c r="D172" s="9"/>
      <x:c r="E172" s="9"/>
      <x:c r="F172" s="11"/>
      <x:c r="G172" s="11"/>
      <x:c r="H172" s="11"/>
      <x:c r="I172" s="9"/>
      <x:c r="J172" s="9"/>
      <x:c r="K172" s="9"/>
      <x:c r="L172" s="9"/>
      <x:c r="M172" s="12" t="str">
        <x:f>IF(A172="","",IF(AND(ISNUMBER(G172),ISNUMBER(H172)),H172-G172,""))</x:f>
      </x:c>
      <x:c r="N172" s="12" t="str">
        <x:f>IF(A172="","",IF(NOT(ISNUMBER(G172)),"Réception manquante",IF(AND(ISNUMBER(H172),H172&lt;G172),"Incohérent",IF('Paramètres'!$E$9="",IF(ISNUMBER(H172),"Répondue / cible absente","Sans réponse / cible absente"),IF(ISNUMBER(H172),IF(M172&lt;='Paramètres'!$E$9,"Dans le délai","Hors délai"),IF('Tableau de bord'!$F$5-G172&gt;'Paramètres'!$E$9,"Retard","En attente"))))))</x:f>
      </x:c>
      <x:c r="O172" s="9"/>
    </x:row>
    <x:row r="173" ht="23" customHeight="1">
      <x:c r="A173" s="9"/>
      <x:c r="B173" s="9"/>
      <x:c r="C173" s="9"/>
      <x:c r="D173" s="9"/>
      <x:c r="E173" s="9"/>
      <x:c r="F173" s="11"/>
      <x:c r="G173" s="11"/>
      <x:c r="H173" s="11"/>
      <x:c r="I173" s="9"/>
      <x:c r="J173" s="9"/>
      <x:c r="K173" s="9"/>
      <x:c r="L173" s="9"/>
      <x:c r="M173" s="12" t="str">
        <x:f>IF(A173="","",IF(AND(ISNUMBER(G173),ISNUMBER(H173)),H173-G173,""))</x:f>
      </x:c>
      <x:c r="N173" s="12" t="str">
        <x:f>IF(A173="","",IF(NOT(ISNUMBER(G173)),"Réception manquante",IF(AND(ISNUMBER(H173),H173&lt;G173),"Incohérent",IF('Paramètres'!$E$9="",IF(ISNUMBER(H173),"Répondue / cible absente","Sans réponse / cible absente"),IF(ISNUMBER(H173),IF(M173&lt;='Paramètres'!$E$9,"Dans le délai","Hors délai"),IF('Tableau de bord'!$F$5-G173&gt;'Paramètres'!$E$9,"Retard","En attente"))))))</x:f>
      </x:c>
      <x:c r="O173" s="9"/>
    </x:row>
    <x:row r="174" ht="23" customHeight="1">
      <x:c r="A174" s="9"/>
      <x:c r="B174" s="9"/>
      <x:c r="C174" s="9"/>
      <x:c r="D174" s="9"/>
      <x:c r="E174" s="9"/>
      <x:c r="F174" s="11"/>
      <x:c r="G174" s="11"/>
      <x:c r="H174" s="11"/>
      <x:c r="I174" s="9"/>
      <x:c r="J174" s="9"/>
      <x:c r="K174" s="9"/>
      <x:c r="L174" s="9"/>
      <x:c r="M174" s="12" t="str">
        <x:f>IF(A174="","",IF(AND(ISNUMBER(G174),ISNUMBER(H174)),H174-G174,""))</x:f>
      </x:c>
      <x:c r="N174" s="12" t="str">
        <x:f>IF(A174="","",IF(NOT(ISNUMBER(G174)),"Réception manquante",IF(AND(ISNUMBER(H174),H174&lt;G174),"Incohérent",IF('Paramètres'!$E$9="",IF(ISNUMBER(H174),"Répondue / cible absente","Sans réponse / cible absente"),IF(ISNUMBER(H174),IF(M174&lt;='Paramètres'!$E$9,"Dans le délai","Hors délai"),IF('Tableau de bord'!$F$5-G174&gt;'Paramètres'!$E$9,"Retard","En attente"))))))</x:f>
      </x:c>
      <x:c r="O174" s="9"/>
    </x:row>
    <x:row r="175" ht="23" customHeight="1">
      <x:c r="A175" s="9"/>
      <x:c r="B175" s="9"/>
      <x:c r="C175" s="9"/>
      <x:c r="D175" s="9"/>
      <x:c r="E175" s="9"/>
      <x:c r="F175" s="11"/>
      <x:c r="G175" s="11"/>
      <x:c r="H175" s="11"/>
      <x:c r="I175" s="9"/>
      <x:c r="J175" s="9"/>
      <x:c r="K175" s="9"/>
      <x:c r="L175" s="9"/>
      <x:c r="M175" s="12" t="str">
        <x:f>IF(A175="","",IF(AND(ISNUMBER(G175),ISNUMBER(H175)),H175-G175,""))</x:f>
      </x:c>
      <x:c r="N175" s="12" t="str">
        <x:f>IF(A175="","",IF(NOT(ISNUMBER(G175)),"Réception manquante",IF(AND(ISNUMBER(H175),H175&lt;G175),"Incohérent",IF('Paramètres'!$E$9="",IF(ISNUMBER(H175),"Répondue / cible absente","Sans réponse / cible absente"),IF(ISNUMBER(H175),IF(M175&lt;='Paramètres'!$E$9,"Dans le délai","Hors délai"),IF('Tableau de bord'!$F$5-G175&gt;'Paramètres'!$E$9,"Retard","En attente"))))))</x:f>
      </x:c>
      <x:c r="O175" s="9"/>
    </x:row>
    <x:row r="176" ht="23" customHeight="1">
      <x:c r="A176" s="9"/>
      <x:c r="B176" s="9"/>
      <x:c r="C176" s="9"/>
      <x:c r="D176" s="9"/>
      <x:c r="E176" s="9"/>
      <x:c r="F176" s="11"/>
      <x:c r="G176" s="11"/>
      <x:c r="H176" s="11"/>
      <x:c r="I176" s="9"/>
      <x:c r="J176" s="9"/>
      <x:c r="K176" s="9"/>
      <x:c r="L176" s="9"/>
      <x:c r="M176" s="12" t="str">
        <x:f>IF(A176="","",IF(AND(ISNUMBER(G176),ISNUMBER(H176)),H176-G176,""))</x:f>
      </x:c>
      <x:c r="N176" s="12" t="str">
        <x:f>IF(A176="","",IF(NOT(ISNUMBER(G176)),"Réception manquante",IF(AND(ISNUMBER(H176),H176&lt;G176),"Incohérent",IF('Paramètres'!$E$9="",IF(ISNUMBER(H176),"Répondue / cible absente","Sans réponse / cible absente"),IF(ISNUMBER(H176),IF(M176&lt;='Paramètres'!$E$9,"Dans le délai","Hors délai"),IF('Tableau de bord'!$F$5-G176&gt;'Paramètres'!$E$9,"Retard","En attente"))))))</x:f>
      </x:c>
      <x:c r="O176" s="9"/>
    </x:row>
    <x:row r="177" ht="23" customHeight="1">
      <x:c r="A177" s="9"/>
      <x:c r="B177" s="9"/>
      <x:c r="C177" s="9"/>
      <x:c r="D177" s="9"/>
      <x:c r="E177" s="9"/>
      <x:c r="F177" s="11"/>
      <x:c r="G177" s="11"/>
      <x:c r="H177" s="11"/>
      <x:c r="I177" s="9"/>
      <x:c r="J177" s="9"/>
      <x:c r="K177" s="9"/>
      <x:c r="L177" s="9"/>
      <x:c r="M177" s="12" t="str">
        <x:f>IF(A177="","",IF(AND(ISNUMBER(G177),ISNUMBER(H177)),H177-G177,""))</x:f>
      </x:c>
      <x:c r="N177" s="12" t="str">
        <x:f>IF(A177="","",IF(NOT(ISNUMBER(G177)),"Réception manquante",IF(AND(ISNUMBER(H177),H177&lt;G177),"Incohérent",IF('Paramètres'!$E$9="",IF(ISNUMBER(H177),"Répondue / cible absente","Sans réponse / cible absente"),IF(ISNUMBER(H177),IF(M177&lt;='Paramètres'!$E$9,"Dans le délai","Hors délai"),IF('Tableau de bord'!$F$5-G177&gt;'Paramètres'!$E$9,"Retard","En attente"))))))</x:f>
      </x:c>
      <x:c r="O177" s="9"/>
    </x:row>
    <x:row r="178" ht="23" customHeight="1">
      <x:c r="A178" s="9"/>
      <x:c r="B178" s="9"/>
      <x:c r="C178" s="9"/>
      <x:c r="D178" s="9"/>
      <x:c r="E178" s="9"/>
      <x:c r="F178" s="11"/>
      <x:c r="G178" s="11"/>
      <x:c r="H178" s="11"/>
      <x:c r="I178" s="9"/>
      <x:c r="J178" s="9"/>
      <x:c r="K178" s="9"/>
      <x:c r="L178" s="9"/>
      <x:c r="M178" s="12" t="str">
        <x:f>IF(A178="","",IF(AND(ISNUMBER(G178),ISNUMBER(H178)),H178-G178,""))</x:f>
      </x:c>
      <x:c r="N178" s="12" t="str">
        <x:f>IF(A178="","",IF(NOT(ISNUMBER(G178)),"Réception manquante",IF(AND(ISNUMBER(H178),H178&lt;G178),"Incohérent",IF('Paramètres'!$E$9="",IF(ISNUMBER(H178),"Répondue / cible absente","Sans réponse / cible absente"),IF(ISNUMBER(H178),IF(M178&lt;='Paramètres'!$E$9,"Dans le délai","Hors délai"),IF('Tableau de bord'!$F$5-G178&gt;'Paramètres'!$E$9,"Retard","En attente"))))))</x:f>
      </x:c>
      <x:c r="O178" s="9"/>
    </x:row>
    <x:row r="179" ht="23" customHeight="1">
      <x:c r="A179" s="9"/>
      <x:c r="B179" s="9"/>
      <x:c r="C179" s="9"/>
      <x:c r="D179" s="9"/>
      <x:c r="E179" s="9"/>
      <x:c r="F179" s="11"/>
      <x:c r="G179" s="11"/>
      <x:c r="H179" s="11"/>
      <x:c r="I179" s="9"/>
      <x:c r="J179" s="9"/>
      <x:c r="K179" s="9"/>
      <x:c r="L179" s="9"/>
      <x:c r="M179" s="12" t="str">
        <x:f>IF(A179="","",IF(AND(ISNUMBER(G179),ISNUMBER(H179)),H179-G179,""))</x:f>
      </x:c>
      <x:c r="N179" s="12" t="str">
        <x:f>IF(A179="","",IF(NOT(ISNUMBER(G179)),"Réception manquante",IF(AND(ISNUMBER(H179),H179&lt;G179),"Incohérent",IF('Paramètres'!$E$9="",IF(ISNUMBER(H179),"Répondue / cible absente","Sans réponse / cible absente"),IF(ISNUMBER(H179),IF(M179&lt;='Paramètres'!$E$9,"Dans le délai","Hors délai"),IF('Tableau de bord'!$F$5-G179&gt;'Paramètres'!$E$9,"Retard","En attente"))))))</x:f>
      </x:c>
      <x:c r="O179" s="9"/>
    </x:row>
    <x:row r="180" ht="23" customHeight="1">
      <x:c r="A180" s="9"/>
      <x:c r="B180" s="9"/>
      <x:c r="C180" s="9"/>
      <x:c r="D180" s="9"/>
      <x:c r="E180" s="9"/>
      <x:c r="F180" s="11"/>
      <x:c r="G180" s="11"/>
      <x:c r="H180" s="11"/>
      <x:c r="I180" s="9"/>
      <x:c r="J180" s="9"/>
      <x:c r="K180" s="9"/>
      <x:c r="L180" s="9"/>
      <x:c r="M180" s="12" t="str">
        <x:f>IF(A180="","",IF(AND(ISNUMBER(G180),ISNUMBER(H180)),H180-G180,""))</x:f>
      </x:c>
      <x:c r="N180" s="12" t="str">
        <x:f>IF(A180="","",IF(NOT(ISNUMBER(G180)),"Réception manquante",IF(AND(ISNUMBER(H180),H180&lt;G180),"Incohérent",IF('Paramètres'!$E$9="",IF(ISNUMBER(H180),"Répondue / cible absente","Sans réponse / cible absente"),IF(ISNUMBER(H180),IF(M180&lt;='Paramètres'!$E$9,"Dans le délai","Hors délai"),IF('Tableau de bord'!$F$5-G180&gt;'Paramètres'!$E$9,"Retard","En attente"))))))</x:f>
      </x:c>
      <x:c r="O180" s="9"/>
    </x:row>
    <x:row r="181" ht="23" customHeight="1">
      <x:c r="A181" s="9"/>
      <x:c r="B181" s="9"/>
      <x:c r="C181" s="9"/>
      <x:c r="D181" s="9"/>
      <x:c r="E181" s="9"/>
      <x:c r="F181" s="11"/>
      <x:c r="G181" s="11"/>
      <x:c r="H181" s="11"/>
      <x:c r="I181" s="9"/>
      <x:c r="J181" s="9"/>
      <x:c r="K181" s="9"/>
      <x:c r="L181" s="9"/>
      <x:c r="M181" s="12" t="str">
        <x:f>IF(A181="","",IF(AND(ISNUMBER(G181),ISNUMBER(H181)),H181-G181,""))</x:f>
      </x:c>
      <x:c r="N181" s="12" t="str">
        <x:f>IF(A181="","",IF(NOT(ISNUMBER(G181)),"Réception manquante",IF(AND(ISNUMBER(H181),H181&lt;G181),"Incohérent",IF('Paramètres'!$E$9="",IF(ISNUMBER(H181),"Répondue / cible absente","Sans réponse / cible absente"),IF(ISNUMBER(H181),IF(M181&lt;='Paramètres'!$E$9,"Dans le délai","Hors délai"),IF('Tableau de bord'!$F$5-G181&gt;'Paramètres'!$E$9,"Retard","En attente"))))))</x:f>
      </x:c>
      <x:c r="O181" s="9"/>
    </x:row>
    <x:row r="182" ht="23" customHeight="1">
      <x:c r="A182" s="9"/>
      <x:c r="B182" s="9"/>
      <x:c r="C182" s="9"/>
      <x:c r="D182" s="9"/>
      <x:c r="E182" s="9"/>
      <x:c r="F182" s="11"/>
      <x:c r="G182" s="11"/>
      <x:c r="H182" s="11"/>
      <x:c r="I182" s="9"/>
      <x:c r="J182" s="9"/>
      <x:c r="K182" s="9"/>
      <x:c r="L182" s="9"/>
      <x:c r="M182" s="12" t="str">
        <x:f>IF(A182="","",IF(AND(ISNUMBER(G182),ISNUMBER(H182)),H182-G182,""))</x:f>
      </x:c>
      <x:c r="N182" s="12" t="str">
        <x:f>IF(A182="","",IF(NOT(ISNUMBER(G182)),"Réception manquante",IF(AND(ISNUMBER(H182),H182&lt;G182),"Incohérent",IF('Paramètres'!$E$9="",IF(ISNUMBER(H182),"Répondue / cible absente","Sans réponse / cible absente"),IF(ISNUMBER(H182),IF(M182&lt;='Paramètres'!$E$9,"Dans le délai","Hors délai"),IF('Tableau de bord'!$F$5-G182&gt;'Paramètres'!$E$9,"Retard","En attente"))))))</x:f>
      </x:c>
      <x:c r="O182" s="9"/>
    </x:row>
    <x:row r="183" ht="23" customHeight="1">
      <x:c r="A183" s="9"/>
      <x:c r="B183" s="9"/>
      <x:c r="C183" s="9"/>
      <x:c r="D183" s="9"/>
      <x:c r="E183" s="9"/>
      <x:c r="F183" s="11"/>
      <x:c r="G183" s="11"/>
      <x:c r="H183" s="11"/>
      <x:c r="I183" s="9"/>
      <x:c r="J183" s="9"/>
      <x:c r="K183" s="9"/>
      <x:c r="L183" s="9"/>
      <x:c r="M183" s="12" t="str">
        <x:f>IF(A183="","",IF(AND(ISNUMBER(G183),ISNUMBER(H183)),H183-G183,""))</x:f>
      </x:c>
      <x:c r="N183" s="12" t="str">
        <x:f>IF(A183="","",IF(NOT(ISNUMBER(G183)),"Réception manquante",IF(AND(ISNUMBER(H183),H183&lt;G183),"Incohérent",IF('Paramètres'!$E$9="",IF(ISNUMBER(H183),"Répondue / cible absente","Sans réponse / cible absente"),IF(ISNUMBER(H183),IF(M183&lt;='Paramètres'!$E$9,"Dans le délai","Hors délai"),IF('Tableau de bord'!$F$5-G183&gt;'Paramètres'!$E$9,"Retard","En attente"))))))</x:f>
      </x:c>
      <x:c r="O183" s="9"/>
    </x:row>
    <x:row r="184" ht="23" customHeight="1">
      <x:c r="A184" s="9"/>
      <x:c r="B184" s="9"/>
      <x:c r="C184" s="9"/>
      <x:c r="D184" s="9"/>
      <x:c r="E184" s="9"/>
      <x:c r="F184" s="11"/>
      <x:c r="G184" s="11"/>
      <x:c r="H184" s="11"/>
      <x:c r="I184" s="9"/>
      <x:c r="J184" s="9"/>
      <x:c r="K184" s="9"/>
      <x:c r="L184" s="9"/>
      <x:c r="M184" s="12" t="str">
        <x:f>IF(A184="","",IF(AND(ISNUMBER(G184),ISNUMBER(H184)),H184-G184,""))</x:f>
      </x:c>
      <x:c r="N184" s="12" t="str">
        <x:f>IF(A184="","",IF(NOT(ISNUMBER(G184)),"Réception manquante",IF(AND(ISNUMBER(H184),H184&lt;G184),"Incohérent",IF('Paramètres'!$E$9="",IF(ISNUMBER(H184),"Répondue / cible absente","Sans réponse / cible absente"),IF(ISNUMBER(H184),IF(M184&lt;='Paramètres'!$E$9,"Dans le délai","Hors délai"),IF('Tableau de bord'!$F$5-G184&gt;'Paramètres'!$E$9,"Retard","En attente"))))))</x:f>
      </x:c>
      <x:c r="O184" s="9"/>
    </x:row>
    <x:row r="185" ht="23" customHeight="1">
      <x:c r="A185" s="9"/>
      <x:c r="B185" s="9"/>
      <x:c r="C185" s="9"/>
      <x:c r="D185" s="9"/>
      <x:c r="E185" s="9"/>
      <x:c r="F185" s="11"/>
      <x:c r="G185" s="11"/>
      <x:c r="H185" s="11"/>
      <x:c r="I185" s="9"/>
      <x:c r="J185" s="9"/>
      <x:c r="K185" s="9"/>
      <x:c r="L185" s="9"/>
      <x:c r="M185" s="12" t="str">
        <x:f>IF(A185="","",IF(AND(ISNUMBER(G185),ISNUMBER(H185)),H185-G185,""))</x:f>
      </x:c>
      <x:c r="N185" s="12" t="str">
        <x:f>IF(A185="","",IF(NOT(ISNUMBER(G185)),"Réception manquante",IF(AND(ISNUMBER(H185),H185&lt;G185),"Incohérent",IF('Paramètres'!$E$9="",IF(ISNUMBER(H185),"Répondue / cible absente","Sans réponse / cible absente"),IF(ISNUMBER(H185),IF(M185&lt;='Paramètres'!$E$9,"Dans le délai","Hors délai"),IF('Tableau de bord'!$F$5-G185&gt;'Paramètres'!$E$9,"Retard","En attente"))))))</x:f>
      </x:c>
      <x:c r="O185" s="9"/>
    </x:row>
    <x:row r="186" ht="23" customHeight="1">
      <x:c r="A186" s="9"/>
      <x:c r="B186" s="9"/>
      <x:c r="C186" s="9"/>
      <x:c r="D186" s="9"/>
      <x:c r="E186" s="9"/>
      <x:c r="F186" s="11"/>
      <x:c r="G186" s="11"/>
      <x:c r="H186" s="11"/>
      <x:c r="I186" s="9"/>
      <x:c r="J186" s="9"/>
      <x:c r="K186" s="9"/>
      <x:c r="L186" s="9"/>
      <x:c r="M186" s="12" t="str">
        <x:f>IF(A186="","",IF(AND(ISNUMBER(G186),ISNUMBER(H186)),H186-G186,""))</x:f>
      </x:c>
      <x:c r="N186" s="12" t="str">
        <x:f>IF(A186="","",IF(NOT(ISNUMBER(G186)),"Réception manquante",IF(AND(ISNUMBER(H186),H186&lt;G186),"Incohérent",IF('Paramètres'!$E$9="",IF(ISNUMBER(H186),"Répondue / cible absente","Sans réponse / cible absente"),IF(ISNUMBER(H186),IF(M186&lt;='Paramètres'!$E$9,"Dans le délai","Hors délai"),IF('Tableau de bord'!$F$5-G186&gt;'Paramètres'!$E$9,"Retard","En attente"))))))</x:f>
      </x:c>
      <x:c r="O186" s="9"/>
    </x:row>
    <x:row r="187" ht="23" customHeight="1">
      <x:c r="A187" s="9"/>
      <x:c r="B187" s="9"/>
      <x:c r="C187" s="9"/>
      <x:c r="D187" s="9"/>
      <x:c r="E187" s="9"/>
      <x:c r="F187" s="11"/>
      <x:c r="G187" s="11"/>
      <x:c r="H187" s="11"/>
      <x:c r="I187" s="9"/>
      <x:c r="J187" s="9"/>
      <x:c r="K187" s="9"/>
      <x:c r="L187" s="9"/>
      <x:c r="M187" s="12" t="str">
        <x:f>IF(A187="","",IF(AND(ISNUMBER(G187),ISNUMBER(H187)),H187-G187,""))</x:f>
      </x:c>
      <x:c r="N187" s="12" t="str">
        <x:f>IF(A187="","",IF(NOT(ISNUMBER(G187)),"Réception manquante",IF(AND(ISNUMBER(H187),H187&lt;G187),"Incohérent",IF('Paramètres'!$E$9="",IF(ISNUMBER(H187),"Répondue / cible absente","Sans réponse / cible absente"),IF(ISNUMBER(H187),IF(M187&lt;='Paramètres'!$E$9,"Dans le délai","Hors délai"),IF('Tableau de bord'!$F$5-G187&gt;'Paramètres'!$E$9,"Retard","En attente"))))))</x:f>
      </x:c>
      <x:c r="O187" s="9"/>
    </x:row>
    <x:row r="188" ht="23" customHeight="1">
      <x:c r="A188" s="9"/>
      <x:c r="B188" s="9"/>
      <x:c r="C188" s="9"/>
      <x:c r="D188" s="9"/>
      <x:c r="E188" s="9"/>
      <x:c r="F188" s="11"/>
      <x:c r="G188" s="11"/>
      <x:c r="H188" s="11"/>
      <x:c r="I188" s="9"/>
      <x:c r="J188" s="9"/>
      <x:c r="K188" s="9"/>
      <x:c r="L188" s="9"/>
      <x:c r="M188" s="12" t="str">
        <x:f>IF(A188="","",IF(AND(ISNUMBER(G188),ISNUMBER(H188)),H188-G188,""))</x:f>
      </x:c>
      <x:c r="N188" s="12" t="str">
        <x:f>IF(A188="","",IF(NOT(ISNUMBER(G188)),"Réception manquante",IF(AND(ISNUMBER(H188),H188&lt;G188),"Incohérent",IF('Paramètres'!$E$9="",IF(ISNUMBER(H188),"Répondue / cible absente","Sans réponse / cible absente"),IF(ISNUMBER(H188),IF(M188&lt;='Paramètres'!$E$9,"Dans le délai","Hors délai"),IF('Tableau de bord'!$F$5-G188&gt;'Paramètres'!$E$9,"Retard","En attente"))))))</x:f>
      </x:c>
      <x:c r="O188" s="9"/>
    </x:row>
    <x:row r="189" ht="23" customHeight="1">
      <x:c r="A189" s="9"/>
      <x:c r="B189" s="9"/>
      <x:c r="C189" s="9"/>
      <x:c r="D189" s="9"/>
      <x:c r="E189" s="9"/>
      <x:c r="F189" s="11"/>
      <x:c r="G189" s="11"/>
      <x:c r="H189" s="11"/>
      <x:c r="I189" s="9"/>
      <x:c r="J189" s="9"/>
      <x:c r="K189" s="9"/>
      <x:c r="L189" s="9"/>
      <x:c r="M189" s="12" t="str">
        <x:f>IF(A189="","",IF(AND(ISNUMBER(G189),ISNUMBER(H189)),H189-G189,""))</x:f>
      </x:c>
      <x:c r="N189" s="12" t="str">
        <x:f>IF(A189="","",IF(NOT(ISNUMBER(G189)),"Réception manquante",IF(AND(ISNUMBER(H189),H189&lt;G189),"Incohérent",IF('Paramètres'!$E$9="",IF(ISNUMBER(H189),"Répondue / cible absente","Sans réponse / cible absente"),IF(ISNUMBER(H189),IF(M189&lt;='Paramètres'!$E$9,"Dans le délai","Hors délai"),IF('Tableau de bord'!$F$5-G189&gt;'Paramètres'!$E$9,"Retard","En attente"))))))</x:f>
      </x:c>
      <x:c r="O189" s="9"/>
    </x:row>
    <x:row r="190" ht="23" customHeight="1">
      <x:c r="A190" s="9"/>
      <x:c r="B190" s="9"/>
      <x:c r="C190" s="9"/>
      <x:c r="D190" s="9"/>
      <x:c r="E190" s="9"/>
      <x:c r="F190" s="11"/>
      <x:c r="G190" s="11"/>
      <x:c r="H190" s="11"/>
      <x:c r="I190" s="9"/>
      <x:c r="J190" s="9"/>
      <x:c r="K190" s="9"/>
      <x:c r="L190" s="9"/>
      <x:c r="M190" s="12" t="str">
        <x:f>IF(A190="","",IF(AND(ISNUMBER(G190),ISNUMBER(H190)),H190-G190,""))</x:f>
      </x:c>
      <x:c r="N190" s="12" t="str">
        <x:f>IF(A190="","",IF(NOT(ISNUMBER(G190)),"Réception manquante",IF(AND(ISNUMBER(H190),H190&lt;G190),"Incohérent",IF('Paramètres'!$E$9="",IF(ISNUMBER(H190),"Répondue / cible absente","Sans réponse / cible absente"),IF(ISNUMBER(H190),IF(M190&lt;='Paramètres'!$E$9,"Dans le délai","Hors délai"),IF('Tableau de bord'!$F$5-G190&gt;'Paramètres'!$E$9,"Retard","En attente"))))))</x:f>
      </x:c>
      <x:c r="O190" s="9"/>
    </x:row>
    <x:row r="191" ht="23" customHeight="1">
      <x:c r="A191" s="9"/>
      <x:c r="B191" s="9"/>
      <x:c r="C191" s="9"/>
      <x:c r="D191" s="9"/>
      <x:c r="E191" s="9"/>
      <x:c r="F191" s="11"/>
      <x:c r="G191" s="11"/>
      <x:c r="H191" s="11"/>
      <x:c r="I191" s="9"/>
      <x:c r="J191" s="9"/>
      <x:c r="K191" s="9"/>
      <x:c r="L191" s="9"/>
      <x:c r="M191" s="12" t="str">
        <x:f>IF(A191="","",IF(AND(ISNUMBER(G191),ISNUMBER(H191)),H191-G191,""))</x:f>
      </x:c>
      <x:c r="N191" s="12" t="str">
        <x:f>IF(A191="","",IF(NOT(ISNUMBER(G191)),"Réception manquante",IF(AND(ISNUMBER(H191),H191&lt;G191),"Incohérent",IF('Paramètres'!$E$9="",IF(ISNUMBER(H191),"Répondue / cible absente","Sans réponse / cible absente"),IF(ISNUMBER(H191),IF(M191&lt;='Paramètres'!$E$9,"Dans le délai","Hors délai"),IF('Tableau de bord'!$F$5-G191&gt;'Paramètres'!$E$9,"Retard","En attente"))))))</x:f>
      </x:c>
      <x:c r="O191" s="9"/>
    </x:row>
    <x:row r="192" ht="23" customHeight="1">
      <x:c r="A192" s="9"/>
      <x:c r="B192" s="9"/>
      <x:c r="C192" s="9"/>
      <x:c r="D192" s="9"/>
      <x:c r="E192" s="9"/>
      <x:c r="F192" s="11"/>
      <x:c r="G192" s="11"/>
      <x:c r="H192" s="11"/>
      <x:c r="I192" s="9"/>
      <x:c r="J192" s="9"/>
      <x:c r="K192" s="9"/>
      <x:c r="L192" s="9"/>
      <x:c r="M192" s="12" t="str">
        <x:f>IF(A192="","",IF(AND(ISNUMBER(G192),ISNUMBER(H192)),H192-G192,""))</x:f>
      </x:c>
      <x:c r="N192" s="12" t="str">
        <x:f>IF(A192="","",IF(NOT(ISNUMBER(G192)),"Réception manquante",IF(AND(ISNUMBER(H192),H192&lt;G192),"Incohérent",IF('Paramètres'!$E$9="",IF(ISNUMBER(H192),"Répondue / cible absente","Sans réponse / cible absente"),IF(ISNUMBER(H192),IF(M192&lt;='Paramètres'!$E$9,"Dans le délai","Hors délai"),IF('Tableau de bord'!$F$5-G192&gt;'Paramètres'!$E$9,"Retard","En attente"))))))</x:f>
      </x:c>
      <x:c r="O192" s="9"/>
    </x:row>
    <x:row r="193" ht="23" customHeight="1">
      <x:c r="A193" s="9"/>
      <x:c r="B193" s="9"/>
      <x:c r="C193" s="9"/>
      <x:c r="D193" s="9"/>
      <x:c r="E193" s="9"/>
      <x:c r="F193" s="11"/>
      <x:c r="G193" s="11"/>
      <x:c r="H193" s="11"/>
      <x:c r="I193" s="9"/>
      <x:c r="J193" s="9"/>
      <x:c r="K193" s="9"/>
      <x:c r="L193" s="9"/>
      <x:c r="M193" s="12" t="str">
        <x:f>IF(A193="","",IF(AND(ISNUMBER(G193),ISNUMBER(H193)),H193-G193,""))</x:f>
      </x:c>
      <x:c r="N193" s="12" t="str">
        <x:f>IF(A193="","",IF(NOT(ISNUMBER(G193)),"Réception manquante",IF(AND(ISNUMBER(H193),H193&lt;G193),"Incohérent",IF('Paramètres'!$E$9="",IF(ISNUMBER(H193),"Répondue / cible absente","Sans réponse / cible absente"),IF(ISNUMBER(H193),IF(M193&lt;='Paramètres'!$E$9,"Dans le délai","Hors délai"),IF('Tableau de bord'!$F$5-G193&gt;'Paramètres'!$E$9,"Retard","En attente"))))))</x:f>
      </x:c>
      <x:c r="O193" s="9"/>
    </x:row>
    <x:row r="194" ht="23" customHeight="1">
      <x:c r="A194" s="9"/>
      <x:c r="B194" s="9"/>
      <x:c r="C194" s="9"/>
      <x:c r="D194" s="9"/>
      <x:c r="E194" s="9"/>
      <x:c r="F194" s="11"/>
      <x:c r="G194" s="11"/>
      <x:c r="H194" s="11"/>
      <x:c r="I194" s="9"/>
      <x:c r="J194" s="9"/>
      <x:c r="K194" s="9"/>
      <x:c r="L194" s="9"/>
      <x:c r="M194" s="12" t="str">
        <x:f>IF(A194="","",IF(AND(ISNUMBER(G194),ISNUMBER(H194)),H194-G194,""))</x:f>
      </x:c>
      <x:c r="N194" s="12" t="str">
        <x:f>IF(A194="","",IF(NOT(ISNUMBER(G194)),"Réception manquante",IF(AND(ISNUMBER(H194),H194&lt;G194),"Incohérent",IF('Paramètres'!$E$9="",IF(ISNUMBER(H194),"Répondue / cible absente","Sans réponse / cible absente"),IF(ISNUMBER(H194),IF(M194&lt;='Paramètres'!$E$9,"Dans le délai","Hors délai"),IF('Tableau de bord'!$F$5-G194&gt;'Paramètres'!$E$9,"Retard","En attente"))))))</x:f>
      </x:c>
      <x:c r="O194" s="9"/>
    </x:row>
    <x:row r="195" ht="23" customHeight="1">
      <x:c r="A195" s="9"/>
      <x:c r="B195" s="9"/>
      <x:c r="C195" s="9"/>
      <x:c r="D195" s="9"/>
      <x:c r="E195" s="9"/>
      <x:c r="F195" s="11"/>
      <x:c r="G195" s="11"/>
      <x:c r="H195" s="11"/>
      <x:c r="I195" s="9"/>
      <x:c r="J195" s="9"/>
      <x:c r="K195" s="9"/>
      <x:c r="L195" s="9"/>
      <x:c r="M195" s="12" t="str">
        <x:f>IF(A195="","",IF(AND(ISNUMBER(G195),ISNUMBER(H195)),H195-G195,""))</x:f>
      </x:c>
      <x:c r="N195" s="12" t="str">
        <x:f>IF(A195="","",IF(NOT(ISNUMBER(G195)),"Réception manquante",IF(AND(ISNUMBER(H195),H195&lt;G195),"Incohérent",IF('Paramètres'!$E$9="",IF(ISNUMBER(H195),"Répondue / cible absente","Sans réponse / cible absente"),IF(ISNUMBER(H195),IF(M195&lt;='Paramètres'!$E$9,"Dans le délai","Hors délai"),IF('Tableau de bord'!$F$5-G195&gt;'Paramètres'!$E$9,"Retard","En attente"))))))</x:f>
      </x:c>
      <x:c r="O195" s="9"/>
    </x:row>
    <x:row r="196" ht="23" customHeight="1">
      <x:c r="A196" s="9"/>
      <x:c r="B196" s="9"/>
      <x:c r="C196" s="9"/>
      <x:c r="D196" s="9"/>
      <x:c r="E196" s="9"/>
      <x:c r="F196" s="11"/>
      <x:c r="G196" s="11"/>
      <x:c r="H196" s="11"/>
      <x:c r="I196" s="9"/>
      <x:c r="J196" s="9"/>
      <x:c r="K196" s="9"/>
      <x:c r="L196" s="9"/>
      <x:c r="M196" s="12" t="str">
        <x:f>IF(A196="","",IF(AND(ISNUMBER(G196),ISNUMBER(H196)),H196-G196,""))</x:f>
      </x:c>
      <x:c r="N196" s="12" t="str">
        <x:f>IF(A196="","",IF(NOT(ISNUMBER(G196)),"Réception manquante",IF(AND(ISNUMBER(H196),H196&lt;G196),"Incohérent",IF('Paramètres'!$E$9="",IF(ISNUMBER(H196),"Répondue / cible absente","Sans réponse / cible absente"),IF(ISNUMBER(H196),IF(M196&lt;='Paramètres'!$E$9,"Dans le délai","Hors délai"),IF('Tableau de bord'!$F$5-G196&gt;'Paramètres'!$E$9,"Retard","En attente"))))))</x:f>
      </x:c>
      <x:c r="O196" s="9"/>
    </x:row>
    <x:row r="197" ht="23" customHeight="1">
      <x:c r="A197" s="9"/>
      <x:c r="B197" s="9"/>
      <x:c r="C197" s="9"/>
      <x:c r="D197" s="9"/>
      <x:c r="E197" s="9"/>
      <x:c r="F197" s="11"/>
      <x:c r="G197" s="11"/>
      <x:c r="H197" s="11"/>
      <x:c r="I197" s="9"/>
      <x:c r="J197" s="9"/>
      <x:c r="K197" s="9"/>
      <x:c r="L197" s="9"/>
      <x:c r="M197" s="12" t="str">
        <x:f>IF(A197="","",IF(AND(ISNUMBER(G197),ISNUMBER(H197)),H197-G197,""))</x:f>
      </x:c>
      <x:c r="N197" s="12" t="str">
        <x:f>IF(A197="","",IF(NOT(ISNUMBER(G197)),"Réception manquante",IF(AND(ISNUMBER(H197),H197&lt;G197),"Incohérent",IF('Paramètres'!$E$9="",IF(ISNUMBER(H197),"Répondue / cible absente","Sans réponse / cible absente"),IF(ISNUMBER(H197),IF(M197&lt;='Paramètres'!$E$9,"Dans le délai","Hors délai"),IF('Tableau de bord'!$F$5-G197&gt;'Paramètres'!$E$9,"Retard","En attente"))))))</x:f>
      </x:c>
      <x:c r="O197" s="9"/>
    </x:row>
    <x:row r="198" ht="23" customHeight="1">
      <x:c r="A198" s="9"/>
      <x:c r="B198" s="9"/>
      <x:c r="C198" s="9"/>
      <x:c r="D198" s="9"/>
      <x:c r="E198" s="9"/>
      <x:c r="F198" s="11"/>
      <x:c r="G198" s="11"/>
      <x:c r="H198" s="11"/>
      <x:c r="I198" s="9"/>
      <x:c r="J198" s="9"/>
      <x:c r="K198" s="9"/>
      <x:c r="L198" s="9"/>
      <x:c r="M198" s="12" t="str">
        <x:f>IF(A198="","",IF(AND(ISNUMBER(G198),ISNUMBER(H198)),H198-G198,""))</x:f>
      </x:c>
      <x:c r="N198" s="12" t="str">
        <x:f>IF(A198="","",IF(NOT(ISNUMBER(G198)),"Réception manquante",IF(AND(ISNUMBER(H198),H198&lt;G198),"Incohérent",IF('Paramètres'!$E$9="",IF(ISNUMBER(H198),"Répondue / cible absente","Sans réponse / cible absente"),IF(ISNUMBER(H198),IF(M198&lt;='Paramètres'!$E$9,"Dans le délai","Hors délai"),IF('Tableau de bord'!$F$5-G198&gt;'Paramètres'!$E$9,"Retard","En attente"))))))</x:f>
      </x:c>
      <x:c r="O198" s="9"/>
    </x:row>
    <x:row r="199" ht="23" customHeight="1">
      <x:c r="A199" s="9"/>
      <x:c r="B199" s="9"/>
      <x:c r="C199" s="9"/>
      <x:c r="D199" s="9"/>
      <x:c r="E199" s="9"/>
      <x:c r="F199" s="11"/>
      <x:c r="G199" s="11"/>
      <x:c r="H199" s="11"/>
      <x:c r="I199" s="9"/>
      <x:c r="J199" s="9"/>
      <x:c r="K199" s="9"/>
      <x:c r="L199" s="9"/>
      <x:c r="M199" s="12" t="str">
        <x:f>IF(A199="","",IF(AND(ISNUMBER(G199),ISNUMBER(H199)),H199-G199,""))</x:f>
      </x:c>
      <x:c r="N199" s="12" t="str">
        <x:f>IF(A199="","",IF(NOT(ISNUMBER(G199)),"Réception manquante",IF(AND(ISNUMBER(H199),H199&lt;G199),"Incohérent",IF('Paramètres'!$E$9="",IF(ISNUMBER(H199),"Répondue / cible absente","Sans réponse / cible absente"),IF(ISNUMBER(H199),IF(M199&lt;='Paramètres'!$E$9,"Dans le délai","Hors délai"),IF('Tableau de bord'!$F$5-G199&gt;'Paramètres'!$E$9,"Retard","En attente"))))))</x:f>
      </x:c>
      <x:c r="O199" s="9"/>
    </x:row>
    <x:row r="200" ht="23" customHeight="1">
      <x:c r="A200" s="9"/>
      <x:c r="B200" s="9"/>
      <x:c r="C200" s="9"/>
      <x:c r="D200" s="9"/>
      <x:c r="E200" s="9"/>
      <x:c r="F200" s="11"/>
      <x:c r="G200" s="11"/>
      <x:c r="H200" s="11"/>
      <x:c r="I200" s="9"/>
      <x:c r="J200" s="9"/>
      <x:c r="K200" s="9"/>
      <x:c r="L200" s="9"/>
      <x:c r="M200" s="12" t="str">
        <x:f>IF(A200="","",IF(AND(ISNUMBER(G200),ISNUMBER(H200)),H200-G200,""))</x:f>
      </x:c>
      <x:c r="N200" s="12" t="str">
        <x:f>IF(A200="","",IF(NOT(ISNUMBER(G200)),"Réception manquante",IF(AND(ISNUMBER(H200),H200&lt;G200),"Incohérent",IF('Paramètres'!$E$9="",IF(ISNUMBER(H200),"Répondue / cible absente","Sans réponse / cible absente"),IF(ISNUMBER(H200),IF(M200&lt;='Paramètres'!$E$9,"Dans le délai","Hors délai"),IF('Tableau de bord'!$F$5-G200&gt;'Paramètres'!$E$9,"Retard","En attente"))))))</x:f>
      </x:c>
      <x:c r="O200" s="9"/>
    </x:row>
    <x:row r="201" ht="23" customHeight="1">
      <x:c r="A201" s="9"/>
      <x:c r="B201" s="9"/>
      <x:c r="C201" s="9"/>
      <x:c r="D201" s="9"/>
      <x:c r="E201" s="9"/>
      <x:c r="F201" s="11"/>
      <x:c r="G201" s="11"/>
      <x:c r="H201" s="11"/>
      <x:c r="I201" s="9"/>
      <x:c r="J201" s="9"/>
      <x:c r="K201" s="9"/>
      <x:c r="L201" s="9"/>
      <x:c r="M201" s="12" t="str">
        <x:f>IF(A201="","",IF(AND(ISNUMBER(G201),ISNUMBER(H201)),H201-G201,""))</x:f>
      </x:c>
      <x:c r="N201" s="12" t="str">
        <x:f>IF(A201="","",IF(NOT(ISNUMBER(G201)),"Réception manquante",IF(AND(ISNUMBER(H201),H201&lt;G201),"Incohérent",IF('Paramètres'!$E$9="",IF(ISNUMBER(H201),"Répondue / cible absente","Sans réponse / cible absente"),IF(ISNUMBER(H201),IF(M201&lt;='Paramètres'!$E$9,"Dans le délai","Hors délai"),IF('Tableau de bord'!$F$5-G201&gt;'Paramètres'!$E$9,"Retard","En attente"))))))</x:f>
      </x:c>
      <x:c r="O201" s="9"/>
    </x:row>
    <x:row r="202" ht="23" customHeight="1">
      <x:c r="A202" s="9"/>
      <x:c r="B202" s="9"/>
      <x:c r="C202" s="9"/>
      <x:c r="D202" s="9"/>
      <x:c r="E202" s="9"/>
      <x:c r="F202" s="11"/>
      <x:c r="G202" s="11"/>
      <x:c r="H202" s="11"/>
      <x:c r="I202" s="9"/>
      <x:c r="J202" s="9"/>
      <x:c r="K202" s="9"/>
      <x:c r="L202" s="9"/>
      <x:c r="M202" s="12" t="str">
        <x:f>IF(A202="","",IF(AND(ISNUMBER(G202),ISNUMBER(H202)),H202-G202,""))</x:f>
      </x:c>
      <x:c r="N202" s="12" t="str">
        <x:f>IF(A202="","",IF(NOT(ISNUMBER(G202)),"Réception manquante",IF(AND(ISNUMBER(H202),H202&lt;G202),"Incohérent",IF('Paramètres'!$E$9="",IF(ISNUMBER(H202),"Répondue / cible absente","Sans réponse / cible absente"),IF(ISNUMBER(H202),IF(M202&lt;='Paramètres'!$E$9,"Dans le délai","Hors délai"),IF('Tableau de bord'!$F$5-G202&gt;'Paramètres'!$E$9,"Retard","En attente"))))))</x:f>
      </x:c>
      <x:c r="O202" s="9"/>
    </x:row>
    <x:row r="203" ht="23" customHeight="1">
      <x:c r="A203" s="9"/>
      <x:c r="B203" s="9"/>
      <x:c r="C203" s="9"/>
      <x:c r="D203" s="9"/>
      <x:c r="E203" s="9"/>
      <x:c r="F203" s="11"/>
      <x:c r="G203" s="11"/>
      <x:c r="H203" s="11"/>
      <x:c r="I203" s="9"/>
      <x:c r="J203" s="9"/>
      <x:c r="K203" s="9"/>
      <x:c r="L203" s="9"/>
      <x:c r="M203" s="12" t="str">
        <x:f>IF(A203="","",IF(AND(ISNUMBER(G203),ISNUMBER(H203)),H203-G203,""))</x:f>
      </x:c>
      <x:c r="N203" s="12" t="str">
        <x:f>IF(A203="","",IF(NOT(ISNUMBER(G203)),"Réception manquante",IF(AND(ISNUMBER(H203),H203&lt;G203),"Incohérent",IF('Paramètres'!$E$9="",IF(ISNUMBER(H203),"Répondue / cible absente","Sans réponse / cible absente"),IF(ISNUMBER(H203),IF(M203&lt;='Paramètres'!$E$9,"Dans le délai","Hors délai"),IF('Tableau de bord'!$F$5-G203&gt;'Paramètres'!$E$9,"Retard","En attente"))))))</x:f>
      </x:c>
      <x:c r="O203" s="9"/>
    </x:row>
    <x:row r="204" ht="23" customHeight="1">
      <x:c r="A204" s="9"/>
      <x:c r="B204" s="9"/>
      <x:c r="C204" s="9"/>
      <x:c r="D204" s="9"/>
      <x:c r="E204" s="9"/>
      <x:c r="F204" s="11"/>
      <x:c r="G204" s="11"/>
      <x:c r="H204" s="11"/>
      <x:c r="I204" s="9"/>
      <x:c r="J204" s="9"/>
      <x:c r="K204" s="9"/>
      <x:c r="L204" s="9"/>
      <x:c r="M204" s="12" t="str">
        <x:f>IF(A204="","",IF(AND(ISNUMBER(G204),ISNUMBER(H204)),H204-G204,""))</x:f>
      </x:c>
      <x:c r="N204" s="12" t="str">
        <x:f>IF(A204="","",IF(NOT(ISNUMBER(G204)),"Réception manquante",IF(AND(ISNUMBER(H204),H204&lt;G204),"Incohérent",IF('Paramètres'!$E$9="",IF(ISNUMBER(H204),"Répondue / cible absente","Sans réponse / cible absente"),IF(ISNUMBER(H204),IF(M204&lt;='Paramètres'!$E$9,"Dans le délai","Hors délai"),IF('Tableau de bord'!$F$5-G204&gt;'Paramètres'!$E$9,"Retard","En attente"))))))</x:f>
      </x:c>
      <x:c r="O204" s="9"/>
    </x:row>
    <x:row r="205" ht="23" customHeight="1">
      <x:c r="A205" s="9"/>
      <x:c r="B205" s="9"/>
      <x:c r="C205" s="9"/>
      <x:c r="D205" s="9"/>
      <x:c r="E205" s="9"/>
      <x:c r="F205" s="11"/>
      <x:c r="G205" s="11"/>
      <x:c r="H205" s="11"/>
      <x:c r="I205" s="9"/>
      <x:c r="J205" s="9"/>
      <x:c r="K205" s="9"/>
      <x:c r="L205" s="9"/>
      <x:c r="M205" s="12" t="str">
        <x:f>IF(A205="","",IF(AND(ISNUMBER(G205),ISNUMBER(H205)),H205-G205,""))</x:f>
      </x:c>
      <x:c r="N205" s="12" t="str">
        <x:f>IF(A205="","",IF(NOT(ISNUMBER(G205)),"Réception manquante",IF(AND(ISNUMBER(H205),H205&lt;G205),"Incohérent",IF('Paramètres'!$E$9="",IF(ISNUMBER(H205),"Répondue / cible absente","Sans réponse / cible absente"),IF(ISNUMBER(H205),IF(M205&lt;='Paramètres'!$E$9,"Dans le délai","Hors délai"),IF('Tableau de bord'!$F$5-G205&gt;'Paramètres'!$E$9,"Retard","En attente"))))))</x:f>
      </x:c>
      <x:c r="O205" s="9"/>
    </x:row>
    <x:row r="206" ht="23" customHeight="1">
      <x:c r="A206" s="9"/>
      <x:c r="B206" s="9"/>
      <x:c r="C206" s="9"/>
      <x:c r="D206" s="9"/>
      <x:c r="E206" s="9"/>
      <x:c r="F206" s="11"/>
      <x:c r="G206" s="11"/>
      <x:c r="H206" s="11"/>
      <x:c r="I206" s="9"/>
      <x:c r="J206" s="9"/>
      <x:c r="K206" s="9"/>
      <x:c r="L206" s="9"/>
      <x:c r="M206" s="12" t="str">
        <x:f>IF(A206="","",IF(AND(ISNUMBER(G206),ISNUMBER(H206)),H206-G206,""))</x:f>
      </x:c>
      <x:c r="N206" s="12" t="str">
        <x:f>IF(A206="","",IF(NOT(ISNUMBER(G206)),"Réception manquante",IF(AND(ISNUMBER(H206),H206&lt;G206),"Incohérent",IF('Paramètres'!$E$9="",IF(ISNUMBER(H206),"Répondue / cible absente","Sans réponse / cible absente"),IF(ISNUMBER(H206),IF(M206&lt;='Paramètres'!$E$9,"Dans le délai","Hors délai"),IF('Tableau de bord'!$F$5-G206&gt;'Paramètres'!$E$9,"Retard","En attente"))))))</x:f>
      </x:c>
      <x:c r="O206" s="9"/>
    </x:row>
    <x:row r="207" ht="23" customHeight="1">
      <x:c r="A207" s="9"/>
      <x:c r="B207" s="9"/>
      <x:c r="C207" s="9"/>
      <x:c r="D207" s="9"/>
      <x:c r="E207" s="9"/>
      <x:c r="F207" s="11"/>
      <x:c r="G207" s="11"/>
      <x:c r="H207" s="11"/>
      <x:c r="I207" s="9"/>
      <x:c r="J207" s="9"/>
      <x:c r="K207" s="9"/>
      <x:c r="L207" s="9"/>
      <x:c r="M207" s="12" t="str">
        <x:f>IF(A207="","",IF(AND(ISNUMBER(G207),ISNUMBER(H207)),H207-G207,""))</x:f>
      </x:c>
      <x:c r="N207" s="12" t="str">
        <x:f>IF(A207="","",IF(NOT(ISNUMBER(G207)),"Réception manquante",IF(AND(ISNUMBER(H207),H207&lt;G207),"Incohérent",IF('Paramètres'!$E$9="",IF(ISNUMBER(H207),"Répondue / cible absente","Sans réponse / cible absente"),IF(ISNUMBER(H207),IF(M207&lt;='Paramètres'!$E$9,"Dans le délai","Hors délai"),IF('Tableau de bord'!$F$5-G207&gt;'Paramètres'!$E$9,"Retard","En attente"))))))</x:f>
      </x:c>
      <x:c r="O207" s="9"/>
    </x:row>
    <x:row r="208" ht="23" customHeight="1">
      <x:c r="A208" s="9"/>
      <x:c r="B208" s="9"/>
      <x:c r="C208" s="9"/>
      <x:c r="D208" s="9"/>
      <x:c r="E208" s="9"/>
      <x:c r="F208" s="11"/>
      <x:c r="G208" s="11"/>
      <x:c r="H208" s="11"/>
      <x:c r="I208" s="9"/>
      <x:c r="J208" s="9"/>
      <x:c r="K208" s="9"/>
      <x:c r="L208" s="9"/>
      <x:c r="M208" s="12" t="str">
        <x:f>IF(A208="","",IF(AND(ISNUMBER(G208),ISNUMBER(H208)),H208-G208,""))</x:f>
      </x:c>
      <x:c r="N208" s="12" t="str">
        <x:f>IF(A208="","",IF(NOT(ISNUMBER(G208)),"Réception manquante",IF(AND(ISNUMBER(H208),H208&lt;G208),"Incohérent",IF('Paramètres'!$E$9="",IF(ISNUMBER(H208),"Répondue / cible absente","Sans réponse / cible absente"),IF(ISNUMBER(H208),IF(M208&lt;='Paramètres'!$E$9,"Dans le délai","Hors délai"),IF('Tableau de bord'!$F$5-G208&gt;'Paramètres'!$E$9,"Retard","En attente"))))))</x:f>
      </x:c>
      <x:c r="O208" s="9"/>
    </x:row>
    <x:row r="209" ht="23" customHeight="1">
      <x:c r="A209" s="9"/>
      <x:c r="B209" s="9"/>
      <x:c r="C209" s="9"/>
      <x:c r="D209" s="9"/>
      <x:c r="E209" s="9"/>
      <x:c r="F209" s="11"/>
      <x:c r="G209" s="11"/>
      <x:c r="H209" s="11"/>
      <x:c r="I209" s="9"/>
      <x:c r="J209" s="9"/>
      <x:c r="K209" s="9"/>
      <x:c r="L209" s="9"/>
      <x:c r="M209" s="12" t="str">
        <x:f>IF(A209="","",IF(AND(ISNUMBER(G209),ISNUMBER(H209)),H209-G209,""))</x:f>
      </x:c>
      <x:c r="N209" s="12" t="str">
        <x:f>IF(A209="","",IF(NOT(ISNUMBER(G209)),"Réception manquante",IF(AND(ISNUMBER(H209),H209&lt;G209),"Incohérent",IF('Paramètres'!$E$9="",IF(ISNUMBER(H209),"Répondue / cible absente","Sans réponse / cible absente"),IF(ISNUMBER(H209),IF(M209&lt;='Paramètres'!$E$9,"Dans le délai","Hors délai"),IF('Tableau de bord'!$F$5-G209&gt;'Paramètres'!$E$9,"Retard","En attente"))))))</x:f>
      </x:c>
      <x:c r="O209" s="9"/>
    </x:row>
    <x:row r="210" ht="23" customHeight="1">
      <x:c r="A210" s="9"/>
      <x:c r="B210" s="9"/>
      <x:c r="C210" s="9"/>
      <x:c r="D210" s="9"/>
      <x:c r="E210" s="9"/>
      <x:c r="F210" s="11"/>
      <x:c r="G210" s="11"/>
      <x:c r="H210" s="11"/>
      <x:c r="I210" s="9"/>
      <x:c r="J210" s="9"/>
      <x:c r="K210" s="9"/>
      <x:c r="L210" s="9"/>
      <x:c r="M210" s="12" t="str">
        <x:f>IF(A210="","",IF(AND(ISNUMBER(G210),ISNUMBER(H210)),H210-G210,""))</x:f>
      </x:c>
      <x:c r="N210" s="12" t="str">
        <x:f>IF(A210="","",IF(NOT(ISNUMBER(G210)),"Réception manquante",IF(AND(ISNUMBER(H210),H210&lt;G210),"Incohérent",IF('Paramètres'!$E$9="",IF(ISNUMBER(H210),"Répondue / cible absente","Sans réponse / cible absente"),IF(ISNUMBER(H210),IF(M210&lt;='Paramètres'!$E$9,"Dans le délai","Hors délai"),IF('Tableau de bord'!$F$5-G210&gt;'Paramètres'!$E$9,"Retard","En attente"))))))</x:f>
      </x:c>
      <x:c r="O210" s="9"/>
    </x:row>
    <x:row r="211" ht="23" customHeight="1">
      <x:c r="A211" s="9"/>
      <x:c r="B211" s="9"/>
      <x:c r="C211" s="9"/>
      <x:c r="D211" s="9"/>
      <x:c r="E211" s="9"/>
      <x:c r="F211" s="11"/>
      <x:c r="G211" s="11"/>
      <x:c r="H211" s="11"/>
      <x:c r="I211" s="9"/>
      <x:c r="J211" s="9"/>
      <x:c r="K211" s="9"/>
      <x:c r="L211" s="9"/>
      <x:c r="M211" s="12" t="str">
        <x:f>IF(A211="","",IF(AND(ISNUMBER(G211),ISNUMBER(H211)),H211-G211,""))</x:f>
      </x:c>
      <x:c r="N211" s="12" t="str">
        <x:f>IF(A211="","",IF(NOT(ISNUMBER(G211)),"Réception manquante",IF(AND(ISNUMBER(H211),H211&lt;G211),"Incohérent",IF('Paramètres'!$E$9="",IF(ISNUMBER(H211),"Répondue / cible absente","Sans réponse / cible absente"),IF(ISNUMBER(H211),IF(M211&lt;='Paramètres'!$E$9,"Dans le délai","Hors délai"),IF('Tableau de bord'!$F$5-G211&gt;'Paramètres'!$E$9,"Retard","En attente"))))))</x:f>
      </x:c>
      <x:c r="O211" s="9"/>
    </x:row>
    <x:row r="212" ht="23" customHeight="1">
      <x:c r="A212" s="9"/>
      <x:c r="B212" s="9"/>
      <x:c r="C212" s="9"/>
      <x:c r="D212" s="9"/>
      <x:c r="E212" s="9"/>
      <x:c r="F212" s="11"/>
      <x:c r="G212" s="11"/>
      <x:c r="H212" s="11"/>
      <x:c r="I212" s="9"/>
      <x:c r="J212" s="9"/>
      <x:c r="K212" s="9"/>
      <x:c r="L212" s="9"/>
      <x:c r="M212" s="12" t="str">
        <x:f>IF(A212="","",IF(AND(ISNUMBER(G212),ISNUMBER(H212)),H212-G212,""))</x:f>
      </x:c>
      <x:c r="N212" s="12" t="str">
        <x:f>IF(A212="","",IF(NOT(ISNUMBER(G212)),"Réception manquante",IF(AND(ISNUMBER(H212),H212&lt;G212),"Incohérent",IF('Paramètres'!$E$9="",IF(ISNUMBER(H212),"Répondue / cible absente","Sans réponse / cible absente"),IF(ISNUMBER(H212),IF(M212&lt;='Paramètres'!$E$9,"Dans le délai","Hors délai"),IF('Tableau de bord'!$F$5-G212&gt;'Paramètres'!$E$9,"Retard","En attente"))))))</x:f>
      </x:c>
      <x:c r="O212" s="9"/>
    </x:row>
    <x:row r="213" ht="23" customHeight="1">
      <x:c r="A213" s="9"/>
      <x:c r="B213" s="9"/>
      <x:c r="C213" s="9"/>
      <x:c r="D213" s="9"/>
      <x:c r="E213" s="9"/>
      <x:c r="F213" s="11"/>
      <x:c r="G213" s="11"/>
      <x:c r="H213" s="11"/>
      <x:c r="I213" s="9"/>
      <x:c r="J213" s="9"/>
      <x:c r="K213" s="9"/>
      <x:c r="L213" s="9"/>
      <x:c r="M213" s="12" t="str">
        <x:f>IF(A213="","",IF(AND(ISNUMBER(G213),ISNUMBER(H213)),H213-G213,""))</x:f>
      </x:c>
      <x:c r="N213" s="12" t="str">
        <x:f>IF(A213="","",IF(NOT(ISNUMBER(G213)),"Réception manquante",IF(AND(ISNUMBER(H213),H213&lt;G213),"Incohérent",IF('Paramètres'!$E$9="",IF(ISNUMBER(H213),"Répondue / cible absente","Sans réponse / cible absente"),IF(ISNUMBER(H213),IF(M213&lt;='Paramètres'!$E$9,"Dans le délai","Hors délai"),IF('Tableau de bord'!$F$5-G213&gt;'Paramètres'!$E$9,"Retard","En attente"))))))</x:f>
      </x:c>
      <x:c r="O213" s="9"/>
    </x:row>
    <x:row r="214" ht="23" customHeight="1">
      <x:c r="A214" s="9"/>
      <x:c r="B214" s="9"/>
      <x:c r="C214" s="9"/>
      <x:c r="D214" s="9"/>
      <x:c r="E214" s="9"/>
      <x:c r="F214" s="11"/>
      <x:c r="G214" s="11"/>
      <x:c r="H214" s="11"/>
      <x:c r="I214" s="9"/>
      <x:c r="J214" s="9"/>
      <x:c r="K214" s="9"/>
      <x:c r="L214" s="9"/>
      <x:c r="M214" s="12" t="str">
        <x:f>IF(A214="","",IF(AND(ISNUMBER(G214),ISNUMBER(H214)),H214-G214,""))</x:f>
      </x:c>
      <x:c r="N214" s="12" t="str">
        <x:f>IF(A214="","",IF(NOT(ISNUMBER(G214)),"Réception manquante",IF(AND(ISNUMBER(H214),H214&lt;G214),"Incohérent",IF('Paramètres'!$E$9="",IF(ISNUMBER(H214),"Répondue / cible absente","Sans réponse / cible absente"),IF(ISNUMBER(H214),IF(M214&lt;='Paramètres'!$E$9,"Dans le délai","Hors délai"),IF('Tableau de bord'!$F$5-G214&gt;'Paramètres'!$E$9,"Retard","En attente"))))))</x:f>
      </x:c>
      <x:c r="O214" s="9"/>
    </x:row>
    <x:row r="215" ht="23" customHeight="1">
      <x:c r="A215" s="9"/>
      <x:c r="B215" s="9"/>
      <x:c r="C215" s="9"/>
      <x:c r="D215" s="9"/>
      <x:c r="E215" s="9"/>
      <x:c r="F215" s="11"/>
      <x:c r="G215" s="11"/>
      <x:c r="H215" s="11"/>
      <x:c r="I215" s="9"/>
      <x:c r="J215" s="9"/>
      <x:c r="K215" s="9"/>
      <x:c r="L215" s="9"/>
      <x:c r="M215" s="12" t="str">
        <x:f>IF(A215="","",IF(AND(ISNUMBER(G215),ISNUMBER(H215)),H215-G215,""))</x:f>
      </x:c>
      <x:c r="N215" s="12" t="str">
        <x:f>IF(A215="","",IF(NOT(ISNUMBER(G215)),"Réception manquante",IF(AND(ISNUMBER(H215),H215&lt;G215),"Incohérent",IF('Paramètres'!$E$9="",IF(ISNUMBER(H215),"Répondue / cible absente","Sans réponse / cible absente"),IF(ISNUMBER(H215),IF(M215&lt;='Paramètres'!$E$9,"Dans le délai","Hors délai"),IF('Tableau de bord'!$F$5-G215&gt;'Paramètres'!$E$9,"Retard","En attente"))))))</x:f>
      </x:c>
      <x:c r="O215" s="9"/>
    </x:row>
    <x:row r="216" ht="23" customHeight="1">
      <x:c r="A216" s="9"/>
      <x:c r="B216" s="9"/>
      <x:c r="C216" s="9"/>
      <x:c r="D216" s="9"/>
      <x:c r="E216" s="9"/>
      <x:c r="F216" s="11"/>
      <x:c r="G216" s="11"/>
      <x:c r="H216" s="11"/>
      <x:c r="I216" s="9"/>
      <x:c r="J216" s="9"/>
      <x:c r="K216" s="9"/>
      <x:c r="L216" s="9"/>
      <x:c r="M216" s="12" t="str">
        <x:f>IF(A216="","",IF(AND(ISNUMBER(G216),ISNUMBER(H216)),H216-G216,""))</x:f>
      </x:c>
      <x:c r="N216" s="12" t="str">
        <x:f>IF(A216="","",IF(NOT(ISNUMBER(G216)),"Réception manquante",IF(AND(ISNUMBER(H216),H216&lt;G216),"Incohérent",IF('Paramètres'!$E$9="",IF(ISNUMBER(H216),"Répondue / cible absente","Sans réponse / cible absente"),IF(ISNUMBER(H216),IF(M216&lt;='Paramètres'!$E$9,"Dans le délai","Hors délai"),IF('Tableau de bord'!$F$5-G216&gt;'Paramètres'!$E$9,"Retard","En attente"))))))</x:f>
      </x:c>
      <x:c r="O216" s="9"/>
    </x:row>
    <x:row r="217" ht="23" customHeight="1">
      <x:c r="A217" s="9"/>
      <x:c r="B217" s="9"/>
      <x:c r="C217" s="9"/>
      <x:c r="D217" s="9"/>
      <x:c r="E217" s="9"/>
      <x:c r="F217" s="11"/>
      <x:c r="G217" s="11"/>
      <x:c r="H217" s="11"/>
      <x:c r="I217" s="9"/>
      <x:c r="J217" s="9"/>
      <x:c r="K217" s="9"/>
      <x:c r="L217" s="9"/>
      <x:c r="M217" s="12" t="str">
        <x:f>IF(A217="","",IF(AND(ISNUMBER(G217),ISNUMBER(H217)),H217-G217,""))</x:f>
      </x:c>
      <x:c r="N217" s="12" t="str">
        <x:f>IF(A217="","",IF(NOT(ISNUMBER(G217)),"Réception manquante",IF(AND(ISNUMBER(H217),H217&lt;G217),"Incohérent",IF('Paramètres'!$E$9="",IF(ISNUMBER(H217),"Répondue / cible absente","Sans réponse / cible absente"),IF(ISNUMBER(H217),IF(M217&lt;='Paramètres'!$E$9,"Dans le délai","Hors délai"),IF('Tableau de bord'!$F$5-G217&gt;'Paramètres'!$E$9,"Retard","En attente"))))))</x:f>
      </x:c>
      <x:c r="O217" s="9"/>
    </x:row>
    <x:row r="218" ht="23" customHeight="1">
      <x:c r="A218" s="9"/>
      <x:c r="B218" s="9"/>
      <x:c r="C218" s="9"/>
      <x:c r="D218" s="9"/>
      <x:c r="E218" s="9"/>
      <x:c r="F218" s="11"/>
      <x:c r="G218" s="11"/>
      <x:c r="H218" s="11"/>
      <x:c r="I218" s="9"/>
      <x:c r="J218" s="9"/>
      <x:c r="K218" s="9"/>
      <x:c r="L218" s="9"/>
      <x:c r="M218" s="12" t="str">
        <x:f>IF(A218="","",IF(AND(ISNUMBER(G218),ISNUMBER(H218)),H218-G218,""))</x:f>
      </x:c>
      <x:c r="N218" s="12" t="str">
        <x:f>IF(A218="","",IF(NOT(ISNUMBER(G218)),"Réception manquante",IF(AND(ISNUMBER(H218),H218&lt;G218),"Incohérent",IF('Paramètres'!$E$9="",IF(ISNUMBER(H218),"Répondue / cible absente","Sans réponse / cible absente"),IF(ISNUMBER(H218),IF(M218&lt;='Paramètres'!$E$9,"Dans le délai","Hors délai"),IF('Tableau de bord'!$F$5-G218&gt;'Paramètres'!$E$9,"Retard","En attente"))))))</x:f>
      </x:c>
      <x:c r="O218" s="9"/>
    </x:row>
    <x:row r="219" ht="23" customHeight="1">
      <x:c r="A219" s="9"/>
      <x:c r="B219" s="9"/>
      <x:c r="C219" s="9"/>
      <x:c r="D219" s="9"/>
      <x:c r="E219" s="9"/>
      <x:c r="F219" s="11"/>
      <x:c r="G219" s="11"/>
      <x:c r="H219" s="11"/>
      <x:c r="I219" s="9"/>
      <x:c r="J219" s="9"/>
      <x:c r="K219" s="9"/>
      <x:c r="L219" s="9"/>
      <x:c r="M219" s="12" t="str">
        <x:f>IF(A219="","",IF(AND(ISNUMBER(G219),ISNUMBER(H219)),H219-G219,""))</x:f>
      </x:c>
      <x:c r="N219" s="12" t="str">
        <x:f>IF(A219="","",IF(NOT(ISNUMBER(G219)),"Réception manquante",IF(AND(ISNUMBER(H219),H219&lt;G219),"Incohérent",IF('Paramètres'!$E$9="",IF(ISNUMBER(H219),"Répondue / cible absente","Sans réponse / cible absente"),IF(ISNUMBER(H219),IF(M219&lt;='Paramètres'!$E$9,"Dans le délai","Hors délai"),IF('Tableau de bord'!$F$5-G219&gt;'Paramètres'!$E$9,"Retard","En attente"))))))</x:f>
      </x:c>
      <x:c r="O219" s="9"/>
    </x:row>
    <x:row r="220" ht="23" customHeight="1">
      <x:c r="A220" s="9"/>
      <x:c r="B220" s="9"/>
      <x:c r="C220" s="9"/>
      <x:c r="D220" s="9"/>
      <x:c r="E220" s="9"/>
      <x:c r="F220" s="11"/>
      <x:c r="G220" s="11"/>
      <x:c r="H220" s="11"/>
      <x:c r="I220" s="9"/>
      <x:c r="J220" s="9"/>
      <x:c r="K220" s="9"/>
      <x:c r="L220" s="9"/>
      <x:c r="M220" s="12" t="str">
        <x:f>IF(A220="","",IF(AND(ISNUMBER(G220),ISNUMBER(H220)),H220-G220,""))</x:f>
      </x:c>
      <x:c r="N220" s="12" t="str">
        <x:f>IF(A220="","",IF(NOT(ISNUMBER(G220)),"Réception manquante",IF(AND(ISNUMBER(H220),H220&lt;G220),"Incohérent",IF('Paramètres'!$E$9="",IF(ISNUMBER(H220),"Répondue / cible absente","Sans réponse / cible absente"),IF(ISNUMBER(H220),IF(M220&lt;='Paramètres'!$E$9,"Dans le délai","Hors délai"),IF('Tableau de bord'!$F$5-G220&gt;'Paramètres'!$E$9,"Retard","En attente"))))))</x:f>
      </x:c>
      <x:c r="O220" s="9"/>
    </x:row>
    <x:row r="221" ht="23" customHeight="1">
      <x:c r="A221" s="9"/>
      <x:c r="B221" s="9"/>
      <x:c r="C221" s="9"/>
      <x:c r="D221" s="9"/>
      <x:c r="E221" s="9"/>
      <x:c r="F221" s="11"/>
      <x:c r="G221" s="11"/>
      <x:c r="H221" s="11"/>
      <x:c r="I221" s="9"/>
      <x:c r="J221" s="9"/>
      <x:c r="K221" s="9"/>
      <x:c r="L221" s="9"/>
      <x:c r="M221" s="12" t="str">
        <x:f>IF(A221="","",IF(AND(ISNUMBER(G221),ISNUMBER(H221)),H221-G221,""))</x:f>
      </x:c>
      <x:c r="N221" s="12" t="str">
        <x:f>IF(A221="","",IF(NOT(ISNUMBER(G221)),"Réception manquante",IF(AND(ISNUMBER(H221),H221&lt;G221),"Incohérent",IF('Paramètres'!$E$9="",IF(ISNUMBER(H221),"Répondue / cible absente","Sans réponse / cible absente"),IF(ISNUMBER(H221),IF(M221&lt;='Paramètres'!$E$9,"Dans le délai","Hors délai"),IF('Tableau de bord'!$F$5-G221&gt;'Paramètres'!$E$9,"Retard","En attente"))))))</x:f>
      </x:c>
      <x:c r="O221" s="9"/>
    </x:row>
    <x:row r="222" ht="23" customHeight="1">
      <x:c r="A222" s="9"/>
      <x:c r="B222" s="9"/>
      <x:c r="C222" s="9"/>
      <x:c r="D222" s="9"/>
      <x:c r="E222" s="9"/>
      <x:c r="F222" s="11"/>
      <x:c r="G222" s="11"/>
      <x:c r="H222" s="11"/>
      <x:c r="I222" s="9"/>
      <x:c r="J222" s="9"/>
      <x:c r="K222" s="9"/>
      <x:c r="L222" s="9"/>
      <x:c r="M222" s="12" t="str">
        <x:f>IF(A222="","",IF(AND(ISNUMBER(G222),ISNUMBER(H222)),H222-G222,""))</x:f>
      </x:c>
      <x:c r="N222" s="12" t="str">
        <x:f>IF(A222="","",IF(NOT(ISNUMBER(G222)),"Réception manquante",IF(AND(ISNUMBER(H222),H222&lt;G222),"Incohérent",IF('Paramètres'!$E$9="",IF(ISNUMBER(H222),"Répondue / cible absente","Sans réponse / cible absente"),IF(ISNUMBER(H222),IF(M222&lt;='Paramètres'!$E$9,"Dans le délai","Hors délai"),IF('Tableau de bord'!$F$5-G222&gt;'Paramètres'!$E$9,"Retard","En attente"))))))</x:f>
      </x:c>
      <x:c r="O222" s="9"/>
    </x:row>
    <x:row r="223" ht="23" customHeight="1">
      <x:c r="A223" s="9"/>
      <x:c r="B223" s="9"/>
      <x:c r="C223" s="9"/>
      <x:c r="D223" s="9"/>
      <x:c r="E223" s="9"/>
      <x:c r="F223" s="11"/>
      <x:c r="G223" s="11"/>
      <x:c r="H223" s="11"/>
      <x:c r="I223" s="9"/>
      <x:c r="J223" s="9"/>
      <x:c r="K223" s="9"/>
      <x:c r="L223" s="9"/>
      <x:c r="M223" s="12" t="str">
        <x:f>IF(A223="","",IF(AND(ISNUMBER(G223),ISNUMBER(H223)),H223-G223,""))</x:f>
      </x:c>
      <x:c r="N223" s="12" t="str">
        <x:f>IF(A223="","",IF(NOT(ISNUMBER(G223)),"Réception manquante",IF(AND(ISNUMBER(H223),H223&lt;G223),"Incohérent",IF('Paramètres'!$E$9="",IF(ISNUMBER(H223),"Répondue / cible absente","Sans réponse / cible absente"),IF(ISNUMBER(H223),IF(M223&lt;='Paramètres'!$E$9,"Dans le délai","Hors délai"),IF('Tableau de bord'!$F$5-G223&gt;'Paramètres'!$E$9,"Retard","En attente"))))))</x:f>
      </x:c>
      <x:c r="O223" s="9"/>
    </x:row>
    <x:row r="224" ht="23" customHeight="1">
      <x:c r="A224" s="9"/>
      <x:c r="B224" s="9"/>
      <x:c r="C224" s="9"/>
      <x:c r="D224" s="9"/>
      <x:c r="E224" s="9"/>
      <x:c r="F224" s="11"/>
      <x:c r="G224" s="11"/>
      <x:c r="H224" s="11"/>
      <x:c r="I224" s="9"/>
      <x:c r="J224" s="9"/>
      <x:c r="K224" s="9"/>
      <x:c r="L224" s="9"/>
      <x:c r="M224" s="12" t="str">
        <x:f>IF(A224="","",IF(AND(ISNUMBER(G224),ISNUMBER(H224)),H224-G224,""))</x:f>
      </x:c>
      <x:c r="N224" s="12" t="str">
        <x:f>IF(A224="","",IF(NOT(ISNUMBER(G224)),"Réception manquante",IF(AND(ISNUMBER(H224),H224&lt;G224),"Incohérent",IF('Paramètres'!$E$9="",IF(ISNUMBER(H224),"Répondue / cible absente","Sans réponse / cible absente"),IF(ISNUMBER(H224),IF(M224&lt;='Paramètres'!$E$9,"Dans le délai","Hors délai"),IF('Tableau de bord'!$F$5-G224&gt;'Paramètres'!$E$9,"Retard","En attente"))))))</x:f>
      </x:c>
      <x:c r="O224" s="9"/>
    </x:row>
    <x:row r="225" ht="23" customHeight="1">
      <x:c r="A225" s="9"/>
      <x:c r="B225" s="9"/>
      <x:c r="C225" s="9"/>
      <x:c r="D225" s="9"/>
      <x:c r="E225" s="9"/>
      <x:c r="F225" s="11"/>
      <x:c r="G225" s="11"/>
      <x:c r="H225" s="11"/>
      <x:c r="I225" s="9"/>
      <x:c r="J225" s="9"/>
      <x:c r="K225" s="9"/>
      <x:c r="L225" s="9"/>
      <x:c r="M225" s="12" t="str">
        <x:f>IF(A225="","",IF(AND(ISNUMBER(G225),ISNUMBER(H225)),H225-G225,""))</x:f>
      </x:c>
      <x:c r="N225" s="12" t="str">
        <x:f>IF(A225="","",IF(NOT(ISNUMBER(G225)),"Réception manquante",IF(AND(ISNUMBER(H225),H225&lt;G225),"Incohérent",IF('Paramètres'!$E$9="",IF(ISNUMBER(H225),"Répondue / cible absente","Sans réponse / cible absente"),IF(ISNUMBER(H225),IF(M225&lt;='Paramètres'!$E$9,"Dans le délai","Hors délai"),IF('Tableau de bord'!$F$5-G225&gt;'Paramètres'!$E$9,"Retard","En attente"))))))</x:f>
      </x:c>
      <x:c r="O225" s="9"/>
    </x:row>
    <x:row r="226" ht="23" customHeight="1">
      <x:c r="A226" s="9"/>
      <x:c r="B226" s="9"/>
      <x:c r="C226" s="9"/>
      <x:c r="D226" s="9"/>
      <x:c r="E226" s="9"/>
      <x:c r="F226" s="11"/>
      <x:c r="G226" s="11"/>
      <x:c r="H226" s="11"/>
      <x:c r="I226" s="9"/>
      <x:c r="J226" s="9"/>
      <x:c r="K226" s="9"/>
      <x:c r="L226" s="9"/>
      <x:c r="M226" s="12" t="str">
        <x:f>IF(A226="","",IF(AND(ISNUMBER(G226),ISNUMBER(H226)),H226-G226,""))</x:f>
      </x:c>
      <x:c r="N226" s="12" t="str">
        <x:f>IF(A226="","",IF(NOT(ISNUMBER(G226)),"Réception manquante",IF(AND(ISNUMBER(H226),H226&lt;G226),"Incohérent",IF('Paramètres'!$E$9="",IF(ISNUMBER(H226),"Répondue / cible absente","Sans réponse / cible absente"),IF(ISNUMBER(H226),IF(M226&lt;='Paramètres'!$E$9,"Dans le délai","Hors délai"),IF('Tableau de bord'!$F$5-G226&gt;'Paramètres'!$E$9,"Retard","En attente"))))))</x:f>
      </x:c>
      <x:c r="O226" s="9"/>
    </x:row>
    <x:row r="227" ht="23" customHeight="1">
      <x:c r="A227" s="9"/>
      <x:c r="B227" s="9"/>
      <x:c r="C227" s="9"/>
      <x:c r="D227" s="9"/>
      <x:c r="E227" s="9"/>
      <x:c r="F227" s="11"/>
      <x:c r="G227" s="11"/>
      <x:c r="H227" s="11"/>
      <x:c r="I227" s="9"/>
      <x:c r="J227" s="9"/>
      <x:c r="K227" s="9"/>
      <x:c r="L227" s="9"/>
      <x:c r="M227" s="12" t="str">
        <x:f>IF(A227="","",IF(AND(ISNUMBER(G227),ISNUMBER(H227)),H227-G227,""))</x:f>
      </x:c>
      <x:c r="N227" s="12" t="str">
        <x:f>IF(A227="","",IF(NOT(ISNUMBER(G227)),"Réception manquante",IF(AND(ISNUMBER(H227),H227&lt;G227),"Incohérent",IF('Paramètres'!$E$9="",IF(ISNUMBER(H227),"Répondue / cible absente","Sans réponse / cible absente"),IF(ISNUMBER(H227),IF(M227&lt;='Paramètres'!$E$9,"Dans le délai","Hors délai"),IF('Tableau de bord'!$F$5-G227&gt;'Paramètres'!$E$9,"Retard","En attente"))))))</x:f>
      </x:c>
      <x:c r="O227" s="9"/>
    </x:row>
    <x:row r="228" ht="23" customHeight="1">
      <x:c r="A228" s="9"/>
      <x:c r="B228" s="9"/>
      <x:c r="C228" s="9"/>
      <x:c r="D228" s="9"/>
      <x:c r="E228" s="9"/>
      <x:c r="F228" s="11"/>
      <x:c r="G228" s="11"/>
      <x:c r="H228" s="11"/>
      <x:c r="I228" s="9"/>
      <x:c r="J228" s="9"/>
      <x:c r="K228" s="9"/>
      <x:c r="L228" s="9"/>
      <x:c r="M228" s="12" t="str">
        <x:f>IF(A228="","",IF(AND(ISNUMBER(G228),ISNUMBER(H228)),H228-G228,""))</x:f>
      </x:c>
      <x:c r="N228" s="12" t="str">
        <x:f>IF(A228="","",IF(NOT(ISNUMBER(G228)),"Réception manquante",IF(AND(ISNUMBER(H228),H228&lt;G228),"Incohérent",IF('Paramètres'!$E$9="",IF(ISNUMBER(H228),"Répondue / cible absente","Sans réponse / cible absente"),IF(ISNUMBER(H228),IF(M228&lt;='Paramètres'!$E$9,"Dans le délai","Hors délai"),IF('Tableau de bord'!$F$5-G228&gt;'Paramètres'!$E$9,"Retard","En attente"))))))</x:f>
      </x:c>
      <x:c r="O228" s="9"/>
    </x:row>
    <x:row r="229" ht="23" customHeight="1">
      <x:c r="A229" s="9"/>
      <x:c r="B229" s="9"/>
      <x:c r="C229" s="9"/>
      <x:c r="D229" s="9"/>
      <x:c r="E229" s="9"/>
      <x:c r="F229" s="11"/>
      <x:c r="G229" s="11"/>
      <x:c r="H229" s="11"/>
      <x:c r="I229" s="9"/>
      <x:c r="J229" s="9"/>
      <x:c r="K229" s="9"/>
      <x:c r="L229" s="9"/>
      <x:c r="M229" s="12" t="str">
        <x:f>IF(A229="","",IF(AND(ISNUMBER(G229),ISNUMBER(H229)),H229-G229,""))</x:f>
      </x:c>
      <x:c r="N229" s="12" t="str">
        <x:f>IF(A229="","",IF(NOT(ISNUMBER(G229)),"Réception manquante",IF(AND(ISNUMBER(H229),H229&lt;G229),"Incohérent",IF('Paramètres'!$E$9="",IF(ISNUMBER(H229),"Répondue / cible absente","Sans réponse / cible absente"),IF(ISNUMBER(H229),IF(M229&lt;='Paramètres'!$E$9,"Dans le délai","Hors délai"),IF('Tableau de bord'!$F$5-G229&gt;'Paramètres'!$E$9,"Retard","En attente"))))))</x:f>
      </x:c>
      <x:c r="O229" s="9"/>
    </x:row>
    <x:row r="230" ht="23" customHeight="1">
      <x:c r="A230" s="9"/>
      <x:c r="B230" s="9"/>
      <x:c r="C230" s="9"/>
      <x:c r="D230" s="9"/>
      <x:c r="E230" s="9"/>
      <x:c r="F230" s="11"/>
      <x:c r="G230" s="11"/>
      <x:c r="H230" s="11"/>
      <x:c r="I230" s="9"/>
      <x:c r="J230" s="9"/>
      <x:c r="K230" s="9"/>
      <x:c r="L230" s="9"/>
      <x:c r="M230" s="12" t="str">
        <x:f>IF(A230="","",IF(AND(ISNUMBER(G230),ISNUMBER(H230)),H230-G230,""))</x:f>
      </x:c>
      <x:c r="N230" s="12" t="str">
        <x:f>IF(A230="","",IF(NOT(ISNUMBER(G230)),"Réception manquante",IF(AND(ISNUMBER(H230),H230&lt;G230),"Incohérent",IF('Paramètres'!$E$9="",IF(ISNUMBER(H230),"Répondue / cible absente","Sans réponse / cible absente"),IF(ISNUMBER(H230),IF(M230&lt;='Paramètres'!$E$9,"Dans le délai","Hors délai"),IF('Tableau de bord'!$F$5-G230&gt;'Paramètres'!$E$9,"Retard","En attente"))))))</x:f>
      </x:c>
      <x:c r="O230" s="9"/>
    </x:row>
    <x:row r="231" ht="23" customHeight="1">
      <x:c r="A231" s="9"/>
      <x:c r="B231" s="9"/>
      <x:c r="C231" s="9"/>
      <x:c r="D231" s="9"/>
      <x:c r="E231" s="9"/>
      <x:c r="F231" s="11"/>
      <x:c r="G231" s="11"/>
      <x:c r="H231" s="11"/>
      <x:c r="I231" s="9"/>
      <x:c r="J231" s="9"/>
      <x:c r="K231" s="9"/>
      <x:c r="L231" s="9"/>
      <x:c r="M231" s="12" t="str">
        <x:f>IF(A231="","",IF(AND(ISNUMBER(G231),ISNUMBER(H231)),H231-G231,""))</x:f>
      </x:c>
      <x:c r="N231" s="12" t="str">
        <x:f>IF(A231="","",IF(NOT(ISNUMBER(G231)),"Réception manquante",IF(AND(ISNUMBER(H231),H231&lt;G231),"Incohérent",IF('Paramètres'!$E$9="",IF(ISNUMBER(H231),"Répondue / cible absente","Sans réponse / cible absente"),IF(ISNUMBER(H231),IF(M231&lt;='Paramètres'!$E$9,"Dans le délai","Hors délai"),IF('Tableau de bord'!$F$5-G231&gt;'Paramètres'!$E$9,"Retard","En attente"))))))</x:f>
      </x:c>
      <x:c r="O231" s="9"/>
    </x:row>
    <x:row r="232" ht="23" customHeight="1">
      <x:c r="A232" s="9"/>
      <x:c r="B232" s="9"/>
      <x:c r="C232" s="9"/>
      <x:c r="D232" s="9"/>
      <x:c r="E232" s="9"/>
      <x:c r="F232" s="11"/>
      <x:c r="G232" s="11"/>
      <x:c r="H232" s="11"/>
      <x:c r="I232" s="9"/>
      <x:c r="J232" s="9"/>
      <x:c r="K232" s="9"/>
      <x:c r="L232" s="9"/>
      <x:c r="M232" s="12" t="str">
        <x:f>IF(A232="","",IF(AND(ISNUMBER(G232),ISNUMBER(H232)),H232-G232,""))</x:f>
      </x:c>
      <x:c r="N232" s="12" t="str">
        <x:f>IF(A232="","",IF(NOT(ISNUMBER(G232)),"Réception manquante",IF(AND(ISNUMBER(H232),H232&lt;G232),"Incohérent",IF('Paramètres'!$E$9="",IF(ISNUMBER(H232),"Répondue / cible absente","Sans réponse / cible absente"),IF(ISNUMBER(H232),IF(M232&lt;='Paramètres'!$E$9,"Dans le délai","Hors délai"),IF('Tableau de bord'!$F$5-G232&gt;'Paramètres'!$E$9,"Retard","En attente"))))))</x:f>
      </x:c>
      <x:c r="O232" s="9"/>
    </x:row>
    <x:row r="233" ht="23" customHeight="1">
      <x:c r="A233" s="9"/>
      <x:c r="B233" s="9"/>
      <x:c r="C233" s="9"/>
      <x:c r="D233" s="9"/>
      <x:c r="E233" s="9"/>
      <x:c r="F233" s="11"/>
      <x:c r="G233" s="11"/>
      <x:c r="H233" s="11"/>
      <x:c r="I233" s="9"/>
      <x:c r="J233" s="9"/>
      <x:c r="K233" s="9"/>
      <x:c r="L233" s="9"/>
      <x:c r="M233" s="12" t="str">
        <x:f>IF(A233="","",IF(AND(ISNUMBER(G233),ISNUMBER(H233)),H233-G233,""))</x:f>
      </x:c>
      <x:c r="N233" s="12" t="str">
        <x:f>IF(A233="","",IF(NOT(ISNUMBER(G233)),"Réception manquante",IF(AND(ISNUMBER(H233),H233&lt;G233),"Incohérent",IF('Paramètres'!$E$9="",IF(ISNUMBER(H233),"Répondue / cible absente","Sans réponse / cible absente"),IF(ISNUMBER(H233),IF(M233&lt;='Paramètres'!$E$9,"Dans le délai","Hors délai"),IF('Tableau de bord'!$F$5-G233&gt;'Paramètres'!$E$9,"Retard","En attente"))))))</x:f>
      </x:c>
      <x:c r="O233" s="9"/>
    </x:row>
    <x:row r="234" ht="23" customHeight="1">
      <x:c r="A234" s="9"/>
      <x:c r="B234" s="9"/>
      <x:c r="C234" s="9"/>
      <x:c r="D234" s="9"/>
      <x:c r="E234" s="9"/>
      <x:c r="F234" s="11"/>
      <x:c r="G234" s="11"/>
      <x:c r="H234" s="11"/>
      <x:c r="I234" s="9"/>
      <x:c r="J234" s="9"/>
      <x:c r="K234" s="9"/>
      <x:c r="L234" s="9"/>
      <x:c r="M234" s="12" t="str">
        <x:f>IF(A234="","",IF(AND(ISNUMBER(G234),ISNUMBER(H234)),H234-G234,""))</x:f>
      </x:c>
      <x:c r="N234" s="12" t="str">
        <x:f>IF(A234="","",IF(NOT(ISNUMBER(G234)),"Réception manquante",IF(AND(ISNUMBER(H234),H234&lt;G234),"Incohérent",IF('Paramètres'!$E$9="",IF(ISNUMBER(H234),"Répondue / cible absente","Sans réponse / cible absente"),IF(ISNUMBER(H234),IF(M234&lt;='Paramètres'!$E$9,"Dans le délai","Hors délai"),IF('Tableau de bord'!$F$5-G234&gt;'Paramètres'!$E$9,"Retard","En attente"))))))</x:f>
      </x:c>
      <x:c r="O234" s="9"/>
    </x:row>
    <x:row r="235" ht="23" customHeight="1">
      <x:c r="A235" s="9"/>
      <x:c r="B235" s="9"/>
      <x:c r="C235" s="9"/>
      <x:c r="D235" s="9"/>
      <x:c r="E235" s="9"/>
      <x:c r="F235" s="11"/>
      <x:c r="G235" s="11"/>
      <x:c r="H235" s="11"/>
      <x:c r="I235" s="9"/>
      <x:c r="J235" s="9"/>
      <x:c r="K235" s="9"/>
      <x:c r="L235" s="9"/>
      <x:c r="M235" s="12" t="str">
        <x:f>IF(A235="","",IF(AND(ISNUMBER(G235),ISNUMBER(H235)),H235-G235,""))</x:f>
      </x:c>
      <x:c r="N235" s="12" t="str">
        <x:f>IF(A235="","",IF(NOT(ISNUMBER(G235)),"Réception manquante",IF(AND(ISNUMBER(H235),H235&lt;G235),"Incohérent",IF('Paramètres'!$E$9="",IF(ISNUMBER(H235),"Répondue / cible absente","Sans réponse / cible absente"),IF(ISNUMBER(H235),IF(M235&lt;='Paramètres'!$E$9,"Dans le délai","Hors délai"),IF('Tableau de bord'!$F$5-G235&gt;'Paramètres'!$E$9,"Retard","En attente"))))))</x:f>
      </x:c>
      <x:c r="O235" s="9"/>
    </x:row>
    <x:row r="236" ht="23" customHeight="1">
      <x:c r="A236" s="9"/>
      <x:c r="B236" s="9"/>
      <x:c r="C236" s="9"/>
      <x:c r="D236" s="9"/>
      <x:c r="E236" s="9"/>
      <x:c r="F236" s="11"/>
      <x:c r="G236" s="11"/>
      <x:c r="H236" s="11"/>
      <x:c r="I236" s="9"/>
      <x:c r="J236" s="9"/>
      <x:c r="K236" s="9"/>
      <x:c r="L236" s="9"/>
      <x:c r="M236" s="12" t="str">
        <x:f>IF(A236="","",IF(AND(ISNUMBER(G236),ISNUMBER(H236)),H236-G236,""))</x:f>
      </x:c>
      <x:c r="N236" s="12" t="str">
        <x:f>IF(A236="","",IF(NOT(ISNUMBER(G236)),"Réception manquante",IF(AND(ISNUMBER(H236),H236&lt;G236),"Incohérent",IF('Paramètres'!$E$9="",IF(ISNUMBER(H236),"Répondue / cible absente","Sans réponse / cible absente"),IF(ISNUMBER(H236),IF(M236&lt;='Paramètres'!$E$9,"Dans le délai","Hors délai"),IF('Tableau de bord'!$F$5-G236&gt;'Paramètres'!$E$9,"Retard","En attente"))))))</x:f>
      </x:c>
      <x:c r="O236" s="9"/>
    </x:row>
    <x:row r="237" ht="23" customHeight="1">
      <x:c r="A237" s="9"/>
      <x:c r="B237" s="9"/>
      <x:c r="C237" s="9"/>
      <x:c r="D237" s="9"/>
      <x:c r="E237" s="9"/>
      <x:c r="F237" s="11"/>
      <x:c r="G237" s="11"/>
      <x:c r="H237" s="11"/>
      <x:c r="I237" s="9"/>
      <x:c r="J237" s="9"/>
      <x:c r="K237" s="9"/>
      <x:c r="L237" s="9"/>
      <x:c r="M237" s="12" t="str">
        <x:f>IF(A237="","",IF(AND(ISNUMBER(G237),ISNUMBER(H237)),H237-G237,""))</x:f>
      </x:c>
      <x:c r="N237" s="12" t="str">
        <x:f>IF(A237="","",IF(NOT(ISNUMBER(G237)),"Réception manquante",IF(AND(ISNUMBER(H237),H237&lt;G237),"Incohérent",IF('Paramètres'!$E$9="",IF(ISNUMBER(H237),"Répondue / cible absente","Sans réponse / cible absente"),IF(ISNUMBER(H237),IF(M237&lt;='Paramètres'!$E$9,"Dans le délai","Hors délai"),IF('Tableau de bord'!$F$5-G237&gt;'Paramètres'!$E$9,"Retard","En attente"))))))</x:f>
      </x:c>
      <x:c r="O237" s="9"/>
    </x:row>
    <x:row r="238" ht="23" customHeight="1">
      <x:c r="A238" s="9"/>
      <x:c r="B238" s="9"/>
      <x:c r="C238" s="9"/>
      <x:c r="D238" s="9"/>
      <x:c r="E238" s="9"/>
      <x:c r="F238" s="11"/>
      <x:c r="G238" s="11"/>
      <x:c r="H238" s="11"/>
      <x:c r="I238" s="9"/>
      <x:c r="J238" s="9"/>
      <x:c r="K238" s="9"/>
      <x:c r="L238" s="9"/>
      <x:c r="M238" s="12" t="str">
        <x:f>IF(A238="","",IF(AND(ISNUMBER(G238),ISNUMBER(H238)),H238-G238,""))</x:f>
      </x:c>
      <x:c r="N238" s="12" t="str">
        <x:f>IF(A238="","",IF(NOT(ISNUMBER(G238)),"Réception manquante",IF(AND(ISNUMBER(H238),H238&lt;G238),"Incohérent",IF('Paramètres'!$E$9="",IF(ISNUMBER(H238),"Répondue / cible absente","Sans réponse / cible absente"),IF(ISNUMBER(H238),IF(M238&lt;='Paramètres'!$E$9,"Dans le délai","Hors délai"),IF('Tableau de bord'!$F$5-G238&gt;'Paramètres'!$E$9,"Retard","En attente"))))))</x:f>
      </x:c>
      <x:c r="O238" s="9"/>
    </x:row>
    <x:row r="239" ht="23" customHeight="1">
      <x:c r="A239" s="9"/>
      <x:c r="B239" s="9"/>
      <x:c r="C239" s="9"/>
      <x:c r="D239" s="9"/>
      <x:c r="E239" s="9"/>
      <x:c r="F239" s="11"/>
      <x:c r="G239" s="11"/>
      <x:c r="H239" s="11"/>
      <x:c r="I239" s="9"/>
      <x:c r="J239" s="9"/>
      <x:c r="K239" s="9"/>
      <x:c r="L239" s="9"/>
      <x:c r="M239" s="12" t="str">
        <x:f>IF(A239="","",IF(AND(ISNUMBER(G239),ISNUMBER(H239)),H239-G239,""))</x:f>
      </x:c>
      <x:c r="N239" s="12" t="str">
        <x:f>IF(A239="","",IF(NOT(ISNUMBER(G239)),"Réception manquante",IF(AND(ISNUMBER(H239),H239&lt;G239),"Incohérent",IF('Paramètres'!$E$9="",IF(ISNUMBER(H239),"Répondue / cible absente","Sans réponse / cible absente"),IF(ISNUMBER(H239),IF(M239&lt;='Paramètres'!$E$9,"Dans le délai","Hors délai"),IF('Tableau de bord'!$F$5-G239&gt;'Paramètres'!$E$9,"Retard","En attente"))))))</x:f>
      </x:c>
      <x:c r="O239" s="9"/>
    </x:row>
    <x:row r="240" ht="23" customHeight="1">
      <x:c r="A240" s="9"/>
      <x:c r="B240" s="9"/>
      <x:c r="C240" s="9"/>
      <x:c r="D240" s="9"/>
      <x:c r="E240" s="9"/>
      <x:c r="F240" s="11"/>
      <x:c r="G240" s="11"/>
      <x:c r="H240" s="11"/>
      <x:c r="I240" s="9"/>
      <x:c r="J240" s="9"/>
      <x:c r="K240" s="9"/>
      <x:c r="L240" s="9"/>
      <x:c r="M240" s="12" t="str">
        <x:f>IF(A240="","",IF(AND(ISNUMBER(G240),ISNUMBER(H240)),H240-G240,""))</x:f>
      </x:c>
      <x:c r="N240" s="12" t="str">
        <x:f>IF(A240="","",IF(NOT(ISNUMBER(G240)),"Réception manquante",IF(AND(ISNUMBER(H240),H240&lt;G240),"Incohérent",IF('Paramètres'!$E$9="",IF(ISNUMBER(H240),"Répondue / cible absente","Sans réponse / cible absente"),IF(ISNUMBER(H240),IF(M240&lt;='Paramètres'!$E$9,"Dans le délai","Hors délai"),IF('Tableau de bord'!$F$5-G240&gt;'Paramètres'!$E$9,"Retard","En attente"))))))</x:f>
      </x:c>
      <x:c r="O240" s="9"/>
    </x:row>
    <x:row r="241" ht="23" customHeight="1">
      <x:c r="A241" s="9"/>
      <x:c r="B241" s="9"/>
      <x:c r="C241" s="9"/>
      <x:c r="D241" s="9"/>
      <x:c r="E241" s="9"/>
      <x:c r="F241" s="11"/>
      <x:c r="G241" s="11"/>
      <x:c r="H241" s="11"/>
      <x:c r="I241" s="9"/>
      <x:c r="J241" s="9"/>
      <x:c r="K241" s="9"/>
      <x:c r="L241" s="9"/>
      <x:c r="M241" s="12" t="str">
        <x:f>IF(A241="","",IF(AND(ISNUMBER(G241),ISNUMBER(H241)),H241-G241,""))</x:f>
      </x:c>
      <x:c r="N241" s="12" t="str">
        <x:f>IF(A241="","",IF(NOT(ISNUMBER(G241)),"Réception manquante",IF(AND(ISNUMBER(H241),H241&lt;G241),"Incohérent",IF('Paramètres'!$E$9="",IF(ISNUMBER(H241),"Répondue / cible absente","Sans réponse / cible absente"),IF(ISNUMBER(H241),IF(M241&lt;='Paramètres'!$E$9,"Dans le délai","Hors délai"),IF('Tableau de bord'!$F$5-G241&gt;'Paramètres'!$E$9,"Retard","En attente"))))))</x:f>
      </x:c>
      <x:c r="O241" s="9"/>
    </x:row>
    <x:row r="242" ht="23" customHeight="1">
      <x:c r="A242" s="9"/>
      <x:c r="B242" s="9"/>
      <x:c r="C242" s="9"/>
      <x:c r="D242" s="9"/>
      <x:c r="E242" s="9"/>
      <x:c r="F242" s="11"/>
      <x:c r="G242" s="11"/>
      <x:c r="H242" s="11"/>
      <x:c r="I242" s="9"/>
      <x:c r="J242" s="9"/>
      <x:c r="K242" s="9"/>
      <x:c r="L242" s="9"/>
      <x:c r="M242" s="12" t="str">
        <x:f>IF(A242="","",IF(AND(ISNUMBER(G242),ISNUMBER(H242)),H242-G242,""))</x:f>
      </x:c>
      <x:c r="N242" s="12" t="str">
        <x:f>IF(A242="","",IF(NOT(ISNUMBER(G242)),"Réception manquante",IF(AND(ISNUMBER(H242),H242&lt;G242),"Incohérent",IF('Paramètres'!$E$9="",IF(ISNUMBER(H242),"Répondue / cible absente","Sans réponse / cible absente"),IF(ISNUMBER(H242),IF(M242&lt;='Paramètres'!$E$9,"Dans le délai","Hors délai"),IF('Tableau de bord'!$F$5-G242&gt;'Paramètres'!$E$9,"Retard","En attente"))))))</x:f>
      </x:c>
      <x:c r="O242" s="9"/>
    </x:row>
    <x:row r="243" ht="23" customHeight="1">
      <x:c r="A243" s="9"/>
      <x:c r="B243" s="9"/>
      <x:c r="C243" s="9"/>
      <x:c r="D243" s="9"/>
      <x:c r="E243" s="9"/>
      <x:c r="F243" s="11"/>
      <x:c r="G243" s="11"/>
      <x:c r="H243" s="11"/>
      <x:c r="I243" s="9"/>
      <x:c r="J243" s="9"/>
      <x:c r="K243" s="9"/>
      <x:c r="L243" s="9"/>
      <x:c r="M243" s="12" t="str">
        <x:f>IF(A243="","",IF(AND(ISNUMBER(G243),ISNUMBER(H243)),H243-G243,""))</x:f>
      </x:c>
      <x:c r="N243" s="12" t="str">
        <x:f>IF(A243="","",IF(NOT(ISNUMBER(G243)),"Réception manquante",IF(AND(ISNUMBER(H243),H243&lt;G243),"Incohérent",IF('Paramètres'!$E$9="",IF(ISNUMBER(H243),"Répondue / cible absente","Sans réponse / cible absente"),IF(ISNUMBER(H243),IF(M243&lt;='Paramètres'!$E$9,"Dans le délai","Hors délai"),IF('Tableau de bord'!$F$5-G243&gt;'Paramètres'!$E$9,"Retard","En attente"))))))</x:f>
      </x:c>
      <x:c r="O243" s="9"/>
    </x:row>
    <x:row r="244" ht="23" customHeight="1">
      <x:c r="A244" s="9"/>
      <x:c r="B244" s="9"/>
      <x:c r="C244" s="9"/>
      <x:c r="D244" s="9"/>
      <x:c r="E244" s="9"/>
      <x:c r="F244" s="11"/>
      <x:c r="G244" s="11"/>
      <x:c r="H244" s="11"/>
      <x:c r="I244" s="9"/>
      <x:c r="J244" s="9"/>
      <x:c r="K244" s="9"/>
      <x:c r="L244" s="9"/>
      <x:c r="M244" s="12" t="str">
        <x:f>IF(A244="","",IF(AND(ISNUMBER(G244),ISNUMBER(H244)),H244-G244,""))</x:f>
      </x:c>
      <x:c r="N244" s="12" t="str">
        <x:f>IF(A244="","",IF(NOT(ISNUMBER(G244)),"Réception manquante",IF(AND(ISNUMBER(H244),H244&lt;G244),"Incohérent",IF('Paramètres'!$E$9="",IF(ISNUMBER(H244),"Répondue / cible absente","Sans réponse / cible absente"),IF(ISNUMBER(H244),IF(M244&lt;='Paramètres'!$E$9,"Dans le délai","Hors délai"),IF('Tableau de bord'!$F$5-G244&gt;'Paramètres'!$E$9,"Retard","En attente"))))))</x:f>
      </x:c>
      <x:c r="O244" s="9"/>
    </x:row>
    <x:row r="245" ht="23" customHeight="1">
      <x:c r="A245" s="9"/>
      <x:c r="B245" s="9"/>
      <x:c r="C245" s="9"/>
      <x:c r="D245" s="9"/>
      <x:c r="E245" s="9"/>
      <x:c r="F245" s="11"/>
      <x:c r="G245" s="11"/>
      <x:c r="H245" s="11"/>
      <x:c r="I245" s="9"/>
      <x:c r="J245" s="9"/>
      <x:c r="K245" s="9"/>
      <x:c r="L245" s="9"/>
      <x:c r="M245" s="12" t="str">
        <x:f>IF(A245="","",IF(AND(ISNUMBER(G245),ISNUMBER(H245)),H245-G245,""))</x:f>
      </x:c>
      <x:c r="N245" s="12" t="str">
        <x:f>IF(A245="","",IF(NOT(ISNUMBER(G245)),"Réception manquante",IF(AND(ISNUMBER(H245),H245&lt;G245),"Incohérent",IF('Paramètres'!$E$9="",IF(ISNUMBER(H245),"Répondue / cible absente","Sans réponse / cible absente"),IF(ISNUMBER(H245),IF(M245&lt;='Paramètres'!$E$9,"Dans le délai","Hors délai"),IF('Tableau de bord'!$F$5-G245&gt;'Paramètres'!$E$9,"Retard","En attente"))))))</x:f>
      </x:c>
      <x:c r="O245" s="9"/>
    </x:row>
    <x:row r="246" ht="23" customHeight="1">
      <x:c r="A246" s="9"/>
      <x:c r="B246" s="9"/>
      <x:c r="C246" s="9"/>
      <x:c r="D246" s="9"/>
      <x:c r="E246" s="9"/>
      <x:c r="F246" s="11"/>
      <x:c r="G246" s="11"/>
      <x:c r="H246" s="11"/>
      <x:c r="I246" s="9"/>
      <x:c r="J246" s="9"/>
      <x:c r="K246" s="9"/>
      <x:c r="L246" s="9"/>
      <x:c r="M246" s="12" t="str">
        <x:f>IF(A246="","",IF(AND(ISNUMBER(G246),ISNUMBER(H246)),H246-G246,""))</x:f>
      </x:c>
      <x:c r="N246" s="12" t="str">
        <x:f>IF(A246="","",IF(NOT(ISNUMBER(G246)),"Réception manquante",IF(AND(ISNUMBER(H246),H246&lt;G246),"Incohérent",IF('Paramètres'!$E$9="",IF(ISNUMBER(H246),"Répondue / cible absente","Sans réponse / cible absente"),IF(ISNUMBER(H246),IF(M246&lt;='Paramètres'!$E$9,"Dans le délai","Hors délai"),IF('Tableau de bord'!$F$5-G246&gt;'Paramètres'!$E$9,"Retard","En attente"))))))</x:f>
      </x:c>
      <x:c r="O246" s="9"/>
    </x:row>
    <x:row r="247" ht="23" customHeight="1">
      <x:c r="A247" s="9"/>
      <x:c r="B247" s="9"/>
      <x:c r="C247" s="9"/>
      <x:c r="D247" s="9"/>
      <x:c r="E247" s="9"/>
      <x:c r="F247" s="11"/>
      <x:c r="G247" s="11"/>
      <x:c r="H247" s="11"/>
      <x:c r="I247" s="9"/>
      <x:c r="J247" s="9"/>
      <x:c r="K247" s="9"/>
      <x:c r="L247" s="9"/>
      <x:c r="M247" s="12" t="str">
        <x:f>IF(A247="","",IF(AND(ISNUMBER(G247),ISNUMBER(H247)),H247-G247,""))</x:f>
      </x:c>
      <x:c r="N247" s="12" t="str">
        <x:f>IF(A247="","",IF(NOT(ISNUMBER(G247)),"Réception manquante",IF(AND(ISNUMBER(H247),H247&lt;G247),"Incohérent",IF('Paramètres'!$E$9="",IF(ISNUMBER(H247),"Répondue / cible absente","Sans réponse / cible absente"),IF(ISNUMBER(H247),IF(M247&lt;='Paramètres'!$E$9,"Dans le délai","Hors délai"),IF('Tableau de bord'!$F$5-G247&gt;'Paramètres'!$E$9,"Retard","En attente"))))))</x:f>
      </x:c>
      <x:c r="O247" s="9"/>
    </x:row>
    <x:row r="248" ht="23" customHeight="1">
      <x:c r="A248" s="9"/>
      <x:c r="B248" s="9"/>
      <x:c r="C248" s="9"/>
      <x:c r="D248" s="9"/>
      <x:c r="E248" s="9"/>
      <x:c r="F248" s="11"/>
      <x:c r="G248" s="11"/>
      <x:c r="H248" s="11"/>
      <x:c r="I248" s="9"/>
      <x:c r="J248" s="9"/>
      <x:c r="K248" s="9"/>
      <x:c r="L248" s="9"/>
      <x:c r="M248" s="12" t="str">
        <x:f>IF(A248="","",IF(AND(ISNUMBER(G248),ISNUMBER(H248)),H248-G248,""))</x:f>
      </x:c>
      <x:c r="N248" s="12" t="str">
        <x:f>IF(A248="","",IF(NOT(ISNUMBER(G248)),"Réception manquante",IF(AND(ISNUMBER(H248),H248&lt;G248),"Incohérent",IF('Paramètres'!$E$9="",IF(ISNUMBER(H248),"Répondue / cible absente","Sans réponse / cible absente"),IF(ISNUMBER(H248),IF(M248&lt;='Paramètres'!$E$9,"Dans le délai","Hors délai"),IF('Tableau de bord'!$F$5-G248&gt;'Paramètres'!$E$9,"Retard","En attente"))))))</x:f>
      </x:c>
      <x:c r="O248" s="9"/>
    </x:row>
    <x:row r="249" ht="23" customHeight="1">
      <x:c r="A249" s="9"/>
      <x:c r="B249" s="9"/>
      <x:c r="C249" s="9"/>
      <x:c r="D249" s="9"/>
      <x:c r="E249" s="9"/>
      <x:c r="F249" s="11"/>
      <x:c r="G249" s="11"/>
      <x:c r="H249" s="11"/>
      <x:c r="I249" s="9"/>
      <x:c r="J249" s="9"/>
      <x:c r="K249" s="9"/>
      <x:c r="L249" s="9"/>
      <x:c r="M249" s="12" t="str">
        <x:f>IF(A249="","",IF(AND(ISNUMBER(G249),ISNUMBER(H249)),H249-G249,""))</x:f>
      </x:c>
      <x:c r="N249" s="12" t="str">
        <x:f>IF(A249="","",IF(NOT(ISNUMBER(G249)),"Réception manquante",IF(AND(ISNUMBER(H249),H249&lt;G249),"Incohérent",IF('Paramètres'!$E$9="",IF(ISNUMBER(H249),"Répondue / cible absente","Sans réponse / cible absente"),IF(ISNUMBER(H249),IF(M249&lt;='Paramètres'!$E$9,"Dans le délai","Hors délai"),IF('Tableau de bord'!$F$5-G249&gt;'Paramètres'!$E$9,"Retard","En attente"))))))</x:f>
      </x:c>
      <x:c r="O249" s="9"/>
    </x:row>
    <x:row r="250" ht="23" customHeight="1">
      <x:c r="A250" s="9"/>
      <x:c r="B250" s="9"/>
      <x:c r="C250" s="9"/>
      <x:c r="D250" s="9"/>
      <x:c r="E250" s="9"/>
      <x:c r="F250" s="11"/>
      <x:c r="G250" s="11"/>
      <x:c r="H250" s="11"/>
      <x:c r="I250" s="9"/>
      <x:c r="J250" s="9"/>
      <x:c r="K250" s="9"/>
      <x:c r="L250" s="9"/>
      <x:c r="M250" s="12" t="str">
        <x:f>IF(A250="","",IF(AND(ISNUMBER(G250),ISNUMBER(H250)),H250-G250,""))</x:f>
      </x:c>
      <x:c r="N250" s="12" t="str">
        <x:f>IF(A250="","",IF(NOT(ISNUMBER(G250)),"Réception manquante",IF(AND(ISNUMBER(H250),H250&lt;G250),"Incohérent",IF('Paramètres'!$E$9="",IF(ISNUMBER(H250),"Répondue / cible absente","Sans réponse / cible absente"),IF(ISNUMBER(H250),IF(M250&lt;='Paramètres'!$E$9,"Dans le délai","Hors délai"),IF('Tableau de bord'!$F$5-G250&gt;'Paramètres'!$E$9,"Retard","En attente"))))))</x:f>
      </x:c>
      <x:c r="O250" s="9"/>
    </x:row>
    <x:row r="251" ht="23" customHeight="1">
      <x:c r="A251" s="9"/>
      <x:c r="B251" s="9"/>
      <x:c r="C251" s="9"/>
      <x:c r="D251" s="9"/>
      <x:c r="E251" s="9"/>
      <x:c r="F251" s="11"/>
      <x:c r="G251" s="11"/>
      <x:c r="H251" s="11"/>
      <x:c r="I251" s="9"/>
      <x:c r="J251" s="9"/>
      <x:c r="K251" s="9"/>
      <x:c r="L251" s="9"/>
      <x:c r="M251" s="12" t="str">
        <x:f>IF(A251="","",IF(AND(ISNUMBER(G251),ISNUMBER(H251)),H251-G251,""))</x:f>
      </x:c>
      <x:c r="N251" s="12" t="str">
        <x:f>IF(A251="","",IF(NOT(ISNUMBER(G251)),"Réception manquante",IF(AND(ISNUMBER(H251),H251&lt;G251),"Incohérent",IF('Paramètres'!$E$9="",IF(ISNUMBER(H251),"Répondue / cible absente","Sans réponse / cible absente"),IF(ISNUMBER(H251),IF(M251&lt;='Paramètres'!$E$9,"Dans le délai","Hors délai"),IF('Tableau de bord'!$F$5-G251&gt;'Paramètres'!$E$9,"Retard","En attente"))))))</x:f>
      </x:c>
      <x:c r="O251" s="9"/>
    </x:row>
    <x:row r="252" ht="23" customHeight="1">
      <x:c r="A252" s="9"/>
      <x:c r="B252" s="9"/>
      <x:c r="C252" s="9"/>
      <x:c r="D252" s="9"/>
      <x:c r="E252" s="9"/>
      <x:c r="F252" s="11"/>
      <x:c r="G252" s="11"/>
      <x:c r="H252" s="11"/>
      <x:c r="I252" s="9"/>
      <x:c r="J252" s="9"/>
      <x:c r="K252" s="9"/>
      <x:c r="L252" s="9"/>
      <x:c r="M252" s="12" t="str">
        <x:f>IF(A252="","",IF(AND(ISNUMBER(G252),ISNUMBER(H252)),H252-G252,""))</x:f>
      </x:c>
      <x:c r="N252" s="12" t="str">
        <x:f>IF(A252="","",IF(NOT(ISNUMBER(G252)),"Réception manquante",IF(AND(ISNUMBER(H252),H252&lt;G252),"Incohérent",IF('Paramètres'!$E$9="",IF(ISNUMBER(H252),"Répondue / cible absente","Sans réponse / cible absente"),IF(ISNUMBER(H252),IF(M252&lt;='Paramètres'!$E$9,"Dans le délai","Hors délai"),IF('Tableau de bord'!$F$5-G252&gt;'Paramètres'!$E$9,"Retard","En attente"))))))</x:f>
      </x:c>
      <x:c r="O252" s="9"/>
    </x:row>
    <x:row r="253" ht="23" customHeight="1">
      <x:c r="A253" s="9"/>
      <x:c r="B253" s="9"/>
      <x:c r="C253" s="9"/>
      <x:c r="D253" s="9"/>
      <x:c r="E253" s="9"/>
      <x:c r="F253" s="11"/>
      <x:c r="G253" s="11"/>
      <x:c r="H253" s="11"/>
      <x:c r="I253" s="9"/>
      <x:c r="J253" s="9"/>
      <x:c r="K253" s="9"/>
      <x:c r="L253" s="9"/>
      <x:c r="M253" s="12" t="str">
        <x:f>IF(A253="","",IF(AND(ISNUMBER(G253),ISNUMBER(H253)),H253-G253,""))</x:f>
      </x:c>
      <x:c r="N253" s="12" t="str">
        <x:f>IF(A253="","",IF(NOT(ISNUMBER(G253)),"Réception manquante",IF(AND(ISNUMBER(H253),H253&lt;G253),"Incohérent",IF('Paramètres'!$E$9="",IF(ISNUMBER(H253),"Répondue / cible absente","Sans réponse / cible absente"),IF(ISNUMBER(H253),IF(M253&lt;='Paramètres'!$E$9,"Dans le délai","Hors délai"),IF('Tableau de bord'!$F$5-G253&gt;'Paramètres'!$E$9,"Retard","En attente"))))))</x:f>
      </x:c>
      <x:c r="O253" s="9"/>
    </x:row>
    <x:row r="254" ht="23" customHeight="1">
      <x:c r="A254" s="9"/>
      <x:c r="B254" s="9"/>
      <x:c r="C254" s="9"/>
      <x:c r="D254" s="9"/>
      <x:c r="E254" s="9"/>
      <x:c r="F254" s="11"/>
      <x:c r="G254" s="11"/>
      <x:c r="H254" s="11"/>
      <x:c r="I254" s="9"/>
      <x:c r="J254" s="9"/>
      <x:c r="K254" s="9"/>
      <x:c r="L254" s="9"/>
      <x:c r="M254" s="12" t="str">
        <x:f>IF(A254="","",IF(AND(ISNUMBER(G254),ISNUMBER(H254)),H254-G254,""))</x:f>
      </x:c>
      <x:c r="N254" s="12" t="str">
        <x:f>IF(A254="","",IF(NOT(ISNUMBER(G254)),"Réception manquante",IF(AND(ISNUMBER(H254),H254&lt;G254),"Incohérent",IF('Paramètres'!$E$9="",IF(ISNUMBER(H254),"Répondue / cible absente","Sans réponse / cible absente"),IF(ISNUMBER(H254),IF(M254&lt;='Paramètres'!$E$9,"Dans le délai","Hors délai"),IF('Tableau de bord'!$F$5-G254&gt;'Paramètres'!$E$9,"Retard","En attente"))))))</x:f>
      </x:c>
      <x:c r="O254" s="9"/>
    </x:row>
    <x:row r="255" ht="23" customHeight="1">
      <x:c r="A255" s="9"/>
      <x:c r="B255" s="9"/>
      <x:c r="C255" s="9"/>
      <x:c r="D255" s="9"/>
      <x:c r="E255" s="9"/>
      <x:c r="F255" s="11"/>
      <x:c r="G255" s="11"/>
      <x:c r="H255" s="11"/>
      <x:c r="I255" s="9"/>
      <x:c r="J255" s="9"/>
      <x:c r="K255" s="9"/>
      <x:c r="L255" s="9"/>
      <x:c r="M255" s="12" t="str">
        <x:f>IF(A255="","",IF(AND(ISNUMBER(G255),ISNUMBER(H255)),H255-G255,""))</x:f>
      </x:c>
      <x:c r="N255" s="12" t="str">
        <x:f>IF(A255="","",IF(NOT(ISNUMBER(G255)),"Réception manquante",IF(AND(ISNUMBER(H255),H255&lt;G255),"Incohérent",IF('Paramètres'!$E$9="",IF(ISNUMBER(H255),"Répondue / cible absente","Sans réponse / cible absente"),IF(ISNUMBER(H255),IF(M255&lt;='Paramètres'!$E$9,"Dans le délai","Hors délai"),IF('Tableau de bord'!$F$5-G255&gt;'Paramètres'!$E$9,"Retard","En attente"))))))</x:f>
      </x:c>
      <x:c r="O255" s="9"/>
    </x:row>
    <x:row r="256" ht="23" customHeight="1">
      <x:c r="A256" s="9"/>
      <x:c r="B256" s="9"/>
      <x:c r="C256" s="9"/>
      <x:c r="D256" s="9"/>
      <x:c r="E256" s="9"/>
      <x:c r="F256" s="11"/>
      <x:c r="G256" s="11"/>
      <x:c r="H256" s="11"/>
      <x:c r="I256" s="9"/>
      <x:c r="J256" s="9"/>
      <x:c r="K256" s="9"/>
      <x:c r="L256" s="9"/>
      <x:c r="M256" s="12" t="str">
        <x:f>IF(A256="","",IF(AND(ISNUMBER(G256),ISNUMBER(H256)),H256-G256,""))</x:f>
      </x:c>
      <x:c r="N256" s="12" t="str">
        <x:f>IF(A256="","",IF(NOT(ISNUMBER(G256)),"Réception manquante",IF(AND(ISNUMBER(H256),H256&lt;G256),"Incohérent",IF('Paramètres'!$E$9="",IF(ISNUMBER(H256),"Répondue / cible absente","Sans réponse / cible absente"),IF(ISNUMBER(H256),IF(M256&lt;='Paramètres'!$E$9,"Dans le délai","Hors délai"),IF('Tableau de bord'!$F$5-G256&gt;'Paramètres'!$E$9,"Retard","En attente"))))))</x:f>
      </x:c>
      <x:c r="O256" s="9"/>
    </x:row>
    <x:row r="257" ht="23" customHeight="1">
      <x:c r="A257" s="9"/>
      <x:c r="B257" s="9"/>
      <x:c r="C257" s="9"/>
      <x:c r="D257" s="9"/>
      <x:c r="E257" s="9"/>
      <x:c r="F257" s="11"/>
      <x:c r="G257" s="11"/>
      <x:c r="H257" s="11"/>
      <x:c r="I257" s="9"/>
      <x:c r="J257" s="9"/>
      <x:c r="K257" s="9"/>
      <x:c r="L257" s="9"/>
      <x:c r="M257" s="12" t="str">
        <x:f>IF(A257="","",IF(AND(ISNUMBER(G257),ISNUMBER(H257)),H257-G257,""))</x:f>
      </x:c>
      <x:c r="N257" s="12" t="str">
        <x:f>IF(A257="","",IF(NOT(ISNUMBER(G257)),"Réception manquante",IF(AND(ISNUMBER(H257),H257&lt;G257),"Incohérent",IF('Paramètres'!$E$9="",IF(ISNUMBER(H257),"Répondue / cible absente","Sans réponse / cible absente"),IF(ISNUMBER(H257),IF(M257&lt;='Paramètres'!$E$9,"Dans le délai","Hors délai"),IF('Tableau de bord'!$F$5-G257&gt;'Paramètres'!$E$9,"Retard","En attente"))))))</x:f>
      </x:c>
      <x:c r="O257" s="9"/>
    </x:row>
    <x:row r="258" ht="23" customHeight="1">
      <x:c r="A258" s="9"/>
      <x:c r="B258" s="9"/>
      <x:c r="C258" s="9"/>
      <x:c r="D258" s="9"/>
      <x:c r="E258" s="9"/>
      <x:c r="F258" s="11"/>
      <x:c r="G258" s="11"/>
      <x:c r="H258" s="11"/>
      <x:c r="I258" s="9"/>
      <x:c r="J258" s="9"/>
      <x:c r="K258" s="9"/>
      <x:c r="L258" s="9"/>
      <x:c r="M258" s="12" t="str">
        <x:f>IF(A258="","",IF(AND(ISNUMBER(G258),ISNUMBER(H258)),H258-G258,""))</x:f>
      </x:c>
      <x:c r="N258" s="12" t="str">
        <x:f>IF(A258="","",IF(NOT(ISNUMBER(G258)),"Réception manquante",IF(AND(ISNUMBER(H258),H258&lt;G258),"Incohérent",IF('Paramètres'!$E$9="",IF(ISNUMBER(H258),"Répondue / cible absente","Sans réponse / cible absente"),IF(ISNUMBER(H258),IF(M258&lt;='Paramètres'!$E$9,"Dans le délai","Hors délai"),IF('Tableau de bord'!$F$5-G258&gt;'Paramètres'!$E$9,"Retard","En attente"))))))</x:f>
      </x:c>
      <x:c r="O258" s="9"/>
    </x:row>
    <x:row r="259" ht="23" customHeight="1">
      <x:c r="A259" s="9"/>
      <x:c r="B259" s="9"/>
      <x:c r="C259" s="9"/>
      <x:c r="D259" s="9"/>
      <x:c r="E259" s="9"/>
      <x:c r="F259" s="11"/>
      <x:c r="G259" s="11"/>
      <x:c r="H259" s="11"/>
      <x:c r="I259" s="9"/>
      <x:c r="J259" s="9"/>
      <x:c r="K259" s="9"/>
      <x:c r="L259" s="9"/>
      <x:c r="M259" s="12" t="str">
        <x:f>IF(A259="","",IF(AND(ISNUMBER(G259),ISNUMBER(H259)),H259-G259,""))</x:f>
      </x:c>
      <x:c r="N259" s="12" t="str">
        <x:f>IF(A259="","",IF(NOT(ISNUMBER(G259)),"Réception manquante",IF(AND(ISNUMBER(H259),H259&lt;G259),"Incohérent",IF('Paramètres'!$E$9="",IF(ISNUMBER(H259),"Répondue / cible absente","Sans réponse / cible absente"),IF(ISNUMBER(H259),IF(M259&lt;='Paramètres'!$E$9,"Dans le délai","Hors délai"),IF('Tableau de bord'!$F$5-G259&gt;'Paramètres'!$E$9,"Retard","En attente"))))))</x:f>
      </x:c>
      <x:c r="O259" s="9"/>
    </x:row>
    <x:row r="260" ht="23" customHeight="1">
      <x:c r="A260" s="9"/>
      <x:c r="B260" s="9"/>
      <x:c r="C260" s="9"/>
      <x:c r="D260" s="9"/>
      <x:c r="E260" s="9"/>
      <x:c r="F260" s="11"/>
      <x:c r="G260" s="11"/>
      <x:c r="H260" s="11"/>
      <x:c r="I260" s="9"/>
      <x:c r="J260" s="9"/>
      <x:c r="K260" s="9"/>
      <x:c r="L260" s="9"/>
      <x:c r="M260" s="12" t="str">
        <x:f>IF(A260="","",IF(AND(ISNUMBER(G260),ISNUMBER(H260)),H260-G260,""))</x:f>
      </x:c>
      <x:c r="N260" s="12" t="str">
        <x:f>IF(A260="","",IF(NOT(ISNUMBER(G260)),"Réception manquante",IF(AND(ISNUMBER(H260),H260&lt;G260),"Incohérent",IF('Paramètres'!$E$9="",IF(ISNUMBER(H260),"Répondue / cible absente","Sans réponse / cible absente"),IF(ISNUMBER(H260),IF(M260&lt;='Paramètres'!$E$9,"Dans le délai","Hors délai"),IF('Tableau de bord'!$F$5-G260&gt;'Paramètres'!$E$9,"Retard","En attente"))))))</x:f>
      </x:c>
      <x:c r="O260" s="9"/>
    </x:row>
    <x:row r="261" ht="23" customHeight="1">
      <x:c r="A261" s="9"/>
      <x:c r="B261" s="9"/>
      <x:c r="C261" s="9"/>
      <x:c r="D261" s="9"/>
      <x:c r="E261" s="9"/>
      <x:c r="F261" s="11"/>
      <x:c r="G261" s="11"/>
      <x:c r="H261" s="11"/>
      <x:c r="I261" s="9"/>
      <x:c r="J261" s="9"/>
      <x:c r="K261" s="9"/>
      <x:c r="L261" s="9"/>
      <x:c r="M261" s="12" t="str">
        <x:f>IF(A261="","",IF(AND(ISNUMBER(G261),ISNUMBER(H261)),H261-G261,""))</x:f>
      </x:c>
      <x:c r="N261" s="12" t="str">
        <x:f>IF(A261="","",IF(NOT(ISNUMBER(G261)),"Réception manquante",IF(AND(ISNUMBER(H261),H261&lt;G261),"Incohérent",IF('Paramètres'!$E$9="",IF(ISNUMBER(H261),"Répondue / cible absente","Sans réponse / cible absente"),IF(ISNUMBER(H261),IF(M261&lt;='Paramètres'!$E$9,"Dans le délai","Hors délai"),IF('Tableau de bord'!$F$5-G261&gt;'Paramètres'!$E$9,"Retard","En attente"))))))</x:f>
      </x:c>
      <x:c r="O261" s="9"/>
    </x:row>
    <x:row r="262" ht="23" customHeight="1">
      <x:c r="A262" s="9"/>
      <x:c r="B262" s="9"/>
      <x:c r="C262" s="9"/>
      <x:c r="D262" s="9"/>
      <x:c r="E262" s="9"/>
      <x:c r="F262" s="11"/>
      <x:c r="G262" s="11"/>
      <x:c r="H262" s="11"/>
      <x:c r="I262" s="9"/>
      <x:c r="J262" s="9"/>
      <x:c r="K262" s="9"/>
      <x:c r="L262" s="9"/>
      <x:c r="M262" s="12" t="str">
        <x:f>IF(A262="","",IF(AND(ISNUMBER(G262),ISNUMBER(H262)),H262-G262,""))</x:f>
      </x:c>
      <x:c r="N262" s="12" t="str">
        <x:f>IF(A262="","",IF(NOT(ISNUMBER(G262)),"Réception manquante",IF(AND(ISNUMBER(H262),H262&lt;G262),"Incohérent",IF('Paramètres'!$E$9="",IF(ISNUMBER(H262),"Répondue / cible absente","Sans réponse / cible absente"),IF(ISNUMBER(H262),IF(M262&lt;='Paramètres'!$E$9,"Dans le délai","Hors délai"),IF('Tableau de bord'!$F$5-G262&gt;'Paramètres'!$E$9,"Retard","En attente"))))))</x:f>
      </x:c>
      <x:c r="O262" s="9"/>
    </x:row>
    <x:row r="263" ht="23" customHeight="1">
      <x:c r="A263" s="9"/>
      <x:c r="B263" s="9"/>
      <x:c r="C263" s="9"/>
      <x:c r="D263" s="9"/>
      <x:c r="E263" s="9"/>
      <x:c r="F263" s="11"/>
      <x:c r="G263" s="11"/>
      <x:c r="H263" s="11"/>
      <x:c r="I263" s="9"/>
      <x:c r="J263" s="9"/>
      <x:c r="K263" s="9"/>
      <x:c r="L263" s="9"/>
      <x:c r="M263" s="12" t="str">
        <x:f>IF(A263="","",IF(AND(ISNUMBER(G263),ISNUMBER(H263)),H263-G263,""))</x:f>
      </x:c>
      <x:c r="N263" s="12" t="str">
        <x:f>IF(A263="","",IF(NOT(ISNUMBER(G263)),"Réception manquante",IF(AND(ISNUMBER(H263),H263&lt;G263),"Incohérent",IF('Paramètres'!$E$9="",IF(ISNUMBER(H263),"Répondue / cible absente","Sans réponse / cible absente"),IF(ISNUMBER(H263),IF(M263&lt;='Paramètres'!$E$9,"Dans le délai","Hors délai"),IF('Tableau de bord'!$F$5-G263&gt;'Paramètres'!$E$9,"Retard","En attente"))))))</x:f>
      </x:c>
      <x:c r="O263" s="9"/>
    </x:row>
    <x:row r="264" ht="23" customHeight="1">
      <x:c r="A264" s="9"/>
      <x:c r="B264" s="9"/>
      <x:c r="C264" s="9"/>
      <x:c r="D264" s="9"/>
      <x:c r="E264" s="9"/>
      <x:c r="F264" s="11"/>
      <x:c r="G264" s="11"/>
      <x:c r="H264" s="11"/>
      <x:c r="I264" s="9"/>
      <x:c r="J264" s="9"/>
      <x:c r="K264" s="9"/>
      <x:c r="L264" s="9"/>
      <x:c r="M264" s="12" t="str">
        <x:f>IF(A264="","",IF(AND(ISNUMBER(G264),ISNUMBER(H264)),H264-G264,""))</x:f>
      </x:c>
      <x:c r="N264" s="12" t="str">
        <x:f>IF(A264="","",IF(NOT(ISNUMBER(G264)),"Réception manquante",IF(AND(ISNUMBER(H264),H264&lt;G264),"Incohérent",IF('Paramètres'!$E$9="",IF(ISNUMBER(H264),"Répondue / cible absente","Sans réponse / cible absente"),IF(ISNUMBER(H264),IF(M264&lt;='Paramètres'!$E$9,"Dans le délai","Hors délai"),IF('Tableau de bord'!$F$5-G264&gt;'Paramètres'!$E$9,"Retard","En attente"))))))</x:f>
      </x:c>
      <x:c r="O264" s="9"/>
    </x:row>
    <x:row r="265" ht="23" customHeight="1">
      <x:c r="A265" s="9"/>
      <x:c r="B265" s="9"/>
      <x:c r="C265" s="9"/>
      <x:c r="D265" s="9"/>
      <x:c r="E265" s="9"/>
      <x:c r="F265" s="11"/>
      <x:c r="G265" s="11"/>
      <x:c r="H265" s="11"/>
      <x:c r="I265" s="9"/>
      <x:c r="J265" s="9"/>
      <x:c r="K265" s="9"/>
      <x:c r="L265" s="9"/>
      <x:c r="M265" s="12" t="str">
        <x:f>IF(A265="","",IF(AND(ISNUMBER(G265),ISNUMBER(H265)),H265-G265,""))</x:f>
      </x:c>
      <x:c r="N265" s="12" t="str">
        <x:f>IF(A265="","",IF(NOT(ISNUMBER(G265)),"Réception manquante",IF(AND(ISNUMBER(H265),H265&lt;G265),"Incohérent",IF('Paramètres'!$E$9="",IF(ISNUMBER(H265),"Répondue / cible absente","Sans réponse / cible absente"),IF(ISNUMBER(H265),IF(M265&lt;='Paramètres'!$E$9,"Dans le délai","Hors délai"),IF('Tableau de bord'!$F$5-G265&gt;'Paramètres'!$E$9,"Retard","En attente"))))))</x:f>
      </x:c>
      <x:c r="O265" s="9"/>
    </x:row>
    <x:row r="266" ht="23" customHeight="1">
      <x:c r="A266" s="9"/>
      <x:c r="B266" s="9"/>
      <x:c r="C266" s="9"/>
      <x:c r="D266" s="9"/>
      <x:c r="E266" s="9"/>
      <x:c r="F266" s="11"/>
      <x:c r="G266" s="11"/>
      <x:c r="H266" s="11"/>
      <x:c r="I266" s="9"/>
      <x:c r="J266" s="9"/>
      <x:c r="K266" s="9"/>
      <x:c r="L266" s="9"/>
      <x:c r="M266" s="12" t="str">
        <x:f>IF(A266="","",IF(AND(ISNUMBER(G266),ISNUMBER(H266)),H266-G266,""))</x:f>
      </x:c>
      <x:c r="N266" s="12" t="str">
        <x:f>IF(A266="","",IF(NOT(ISNUMBER(G266)),"Réception manquante",IF(AND(ISNUMBER(H266),H266&lt;G266),"Incohérent",IF('Paramètres'!$E$9="",IF(ISNUMBER(H266),"Répondue / cible absente","Sans réponse / cible absente"),IF(ISNUMBER(H266),IF(M266&lt;='Paramètres'!$E$9,"Dans le délai","Hors délai"),IF('Tableau de bord'!$F$5-G266&gt;'Paramètres'!$E$9,"Retard","En attente"))))))</x:f>
      </x:c>
      <x:c r="O266" s="9"/>
    </x:row>
    <x:row r="267" ht="23" customHeight="1">
      <x:c r="A267" s="9"/>
      <x:c r="B267" s="9"/>
      <x:c r="C267" s="9"/>
      <x:c r="D267" s="9"/>
      <x:c r="E267" s="9"/>
      <x:c r="F267" s="11"/>
      <x:c r="G267" s="11"/>
      <x:c r="H267" s="11"/>
      <x:c r="I267" s="9"/>
      <x:c r="J267" s="9"/>
      <x:c r="K267" s="9"/>
      <x:c r="L267" s="9"/>
      <x:c r="M267" s="12" t="str">
        <x:f>IF(A267="","",IF(AND(ISNUMBER(G267),ISNUMBER(H267)),H267-G267,""))</x:f>
      </x:c>
      <x:c r="N267" s="12" t="str">
        <x:f>IF(A267="","",IF(NOT(ISNUMBER(G267)),"Réception manquante",IF(AND(ISNUMBER(H267),H267&lt;G267),"Incohérent",IF('Paramètres'!$E$9="",IF(ISNUMBER(H267),"Répondue / cible absente","Sans réponse / cible absente"),IF(ISNUMBER(H267),IF(M267&lt;='Paramètres'!$E$9,"Dans le délai","Hors délai"),IF('Tableau de bord'!$F$5-G267&gt;'Paramètres'!$E$9,"Retard","En attente"))))))</x:f>
      </x:c>
      <x:c r="O267" s="9"/>
    </x:row>
    <x:row r="268" ht="23" customHeight="1">
      <x:c r="A268" s="9"/>
      <x:c r="B268" s="9"/>
      <x:c r="C268" s="9"/>
      <x:c r="D268" s="9"/>
      <x:c r="E268" s="9"/>
      <x:c r="F268" s="11"/>
      <x:c r="G268" s="11"/>
      <x:c r="H268" s="11"/>
      <x:c r="I268" s="9"/>
      <x:c r="J268" s="9"/>
      <x:c r="K268" s="9"/>
      <x:c r="L268" s="9"/>
      <x:c r="M268" s="12" t="str">
        <x:f>IF(A268="","",IF(AND(ISNUMBER(G268),ISNUMBER(H268)),H268-G268,""))</x:f>
      </x:c>
      <x:c r="N268" s="12" t="str">
        <x:f>IF(A268="","",IF(NOT(ISNUMBER(G268)),"Réception manquante",IF(AND(ISNUMBER(H268),H268&lt;G268),"Incohérent",IF('Paramètres'!$E$9="",IF(ISNUMBER(H268),"Répondue / cible absente","Sans réponse / cible absente"),IF(ISNUMBER(H268),IF(M268&lt;='Paramètres'!$E$9,"Dans le délai","Hors délai"),IF('Tableau de bord'!$F$5-G268&gt;'Paramètres'!$E$9,"Retard","En attente"))))))</x:f>
      </x:c>
      <x:c r="O268" s="9"/>
    </x:row>
    <x:row r="269" ht="23" customHeight="1">
      <x:c r="A269" s="9"/>
      <x:c r="B269" s="9"/>
      <x:c r="C269" s="9"/>
      <x:c r="D269" s="9"/>
      <x:c r="E269" s="9"/>
      <x:c r="F269" s="11"/>
      <x:c r="G269" s="11"/>
      <x:c r="H269" s="11"/>
      <x:c r="I269" s="9"/>
      <x:c r="J269" s="9"/>
      <x:c r="K269" s="9"/>
      <x:c r="L269" s="9"/>
      <x:c r="M269" s="12" t="str">
        <x:f>IF(A269="","",IF(AND(ISNUMBER(G269),ISNUMBER(H269)),H269-G269,""))</x:f>
      </x:c>
      <x:c r="N269" s="12" t="str">
        <x:f>IF(A269="","",IF(NOT(ISNUMBER(G269)),"Réception manquante",IF(AND(ISNUMBER(H269),H269&lt;G269),"Incohérent",IF('Paramètres'!$E$9="",IF(ISNUMBER(H269),"Répondue / cible absente","Sans réponse / cible absente"),IF(ISNUMBER(H269),IF(M269&lt;='Paramètres'!$E$9,"Dans le délai","Hors délai"),IF('Tableau de bord'!$F$5-G269&gt;'Paramètres'!$E$9,"Retard","En attente"))))))</x:f>
      </x:c>
      <x:c r="O269" s="9"/>
    </x:row>
    <x:row r="270" ht="23" customHeight="1">
      <x:c r="A270" s="9"/>
      <x:c r="B270" s="9"/>
      <x:c r="C270" s="9"/>
      <x:c r="D270" s="9"/>
      <x:c r="E270" s="9"/>
      <x:c r="F270" s="11"/>
      <x:c r="G270" s="11"/>
      <x:c r="H270" s="11"/>
      <x:c r="I270" s="9"/>
      <x:c r="J270" s="9"/>
      <x:c r="K270" s="9"/>
      <x:c r="L270" s="9"/>
      <x:c r="M270" s="12" t="str">
        <x:f>IF(A270="","",IF(AND(ISNUMBER(G270),ISNUMBER(H270)),H270-G270,""))</x:f>
      </x:c>
      <x:c r="N270" s="12" t="str">
        <x:f>IF(A270="","",IF(NOT(ISNUMBER(G270)),"Réception manquante",IF(AND(ISNUMBER(H270),H270&lt;G270),"Incohérent",IF('Paramètres'!$E$9="",IF(ISNUMBER(H270),"Répondue / cible absente","Sans réponse / cible absente"),IF(ISNUMBER(H270),IF(M270&lt;='Paramètres'!$E$9,"Dans le délai","Hors délai"),IF('Tableau de bord'!$F$5-G270&gt;'Paramètres'!$E$9,"Retard","En attente"))))))</x:f>
      </x:c>
      <x:c r="O270" s="9"/>
    </x:row>
    <x:row r="271" ht="23" customHeight="1">
      <x:c r="A271" s="9"/>
      <x:c r="B271" s="9"/>
      <x:c r="C271" s="9"/>
      <x:c r="D271" s="9"/>
      <x:c r="E271" s="9"/>
      <x:c r="F271" s="11"/>
      <x:c r="G271" s="11"/>
      <x:c r="H271" s="11"/>
      <x:c r="I271" s="9"/>
      <x:c r="J271" s="9"/>
      <x:c r="K271" s="9"/>
      <x:c r="L271" s="9"/>
      <x:c r="M271" s="12" t="str">
        <x:f>IF(A271="","",IF(AND(ISNUMBER(G271),ISNUMBER(H271)),H271-G271,""))</x:f>
      </x:c>
      <x:c r="N271" s="12" t="str">
        <x:f>IF(A271="","",IF(NOT(ISNUMBER(G271)),"Réception manquante",IF(AND(ISNUMBER(H271),H271&lt;G271),"Incohérent",IF('Paramètres'!$E$9="",IF(ISNUMBER(H271),"Répondue / cible absente","Sans réponse / cible absente"),IF(ISNUMBER(H271),IF(M271&lt;='Paramètres'!$E$9,"Dans le délai","Hors délai"),IF('Tableau de bord'!$F$5-G271&gt;'Paramètres'!$E$9,"Retard","En attente"))))))</x:f>
      </x:c>
      <x:c r="O271" s="9"/>
    </x:row>
    <x:row r="272" ht="23" customHeight="1">
      <x:c r="A272" s="9"/>
      <x:c r="B272" s="9"/>
      <x:c r="C272" s="9"/>
      <x:c r="D272" s="9"/>
      <x:c r="E272" s="9"/>
      <x:c r="F272" s="11"/>
      <x:c r="G272" s="11"/>
      <x:c r="H272" s="11"/>
      <x:c r="I272" s="9"/>
      <x:c r="J272" s="9"/>
      <x:c r="K272" s="9"/>
      <x:c r="L272" s="9"/>
      <x:c r="M272" s="12" t="str">
        <x:f>IF(A272="","",IF(AND(ISNUMBER(G272),ISNUMBER(H272)),H272-G272,""))</x:f>
      </x:c>
      <x:c r="N272" s="12" t="str">
        <x:f>IF(A272="","",IF(NOT(ISNUMBER(G272)),"Réception manquante",IF(AND(ISNUMBER(H272),H272&lt;G272),"Incohérent",IF('Paramètres'!$E$9="",IF(ISNUMBER(H272),"Répondue / cible absente","Sans réponse / cible absente"),IF(ISNUMBER(H272),IF(M272&lt;='Paramètres'!$E$9,"Dans le délai","Hors délai"),IF('Tableau de bord'!$F$5-G272&gt;'Paramètres'!$E$9,"Retard","En attente"))))))</x:f>
      </x:c>
      <x:c r="O272" s="9"/>
    </x:row>
    <x:row r="273" ht="23" customHeight="1">
      <x:c r="A273" s="9"/>
      <x:c r="B273" s="9"/>
      <x:c r="C273" s="9"/>
      <x:c r="D273" s="9"/>
      <x:c r="E273" s="9"/>
      <x:c r="F273" s="11"/>
      <x:c r="G273" s="11"/>
      <x:c r="H273" s="11"/>
      <x:c r="I273" s="9"/>
      <x:c r="J273" s="9"/>
      <x:c r="K273" s="9"/>
      <x:c r="L273" s="9"/>
      <x:c r="M273" s="12" t="str">
        <x:f>IF(A273="","",IF(AND(ISNUMBER(G273),ISNUMBER(H273)),H273-G273,""))</x:f>
      </x:c>
      <x:c r="N273" s="12" t="str">
        <x:f>IF(A273="","",IF(NOT(ISNUMBER(G273)),"Réception manquante",IF(AND(ISNUMBER(H273),H273&lt;G273),"Incohérent",IF('Paramètres'!$E$9="",IF(ISNUMBER(H273),"Répondue / cible absente","Sans réponse / cible absente"),IF(ISNUMBER(H273),IF(M273&lt;='Paramètres'!$E$9,"Dans le délai","Hors délai"),IF('Tableau de bord'!$F$5-G273&gt;'Paramètres'!$E$9,"Retard","En attente"))))))</x:f>
      </x:c>
      <x:c r="O273" s="9"/>
    </x:row>
    <x:row r="274" ht="23" customHeight="1">
      <x:c r="A274" s="9"/>
      <x:c r="B274" s="9"/>
      <x:c r="C274" s="9"/>
      <x:c r="D274" s="9"/>
      <x:c r="E274" s="9"/>
      <x:c r="F274" s="11"/>
      <x:c r="G274" s="11"/>
      <x:c r="H274" s="11"/>
      <x:c r="I274" s="9"/>
      <x:c r="J274" s="9"/>
      <x:c r="K274" s="9"/>
      <x:c r="L274" s="9"/>
      <x:c r="M274" s="12" t="str">
        <x:f>IF(A274="","",IF(AND(ISNUMBER(G274),ISNUMBER(H274)),H274-G274,""))</x:f>
      </x:c>
      <x:c r="N274" s="12" t="str">
        <x:f>IF(A274="","",IF(NOT(ISNUMBER(G274)),"Réception manquante",IF(AND(ISNUMBER(H274),H274&lt;G274),"Incohérent",IF('Paramètres'!$E$9="",IF(ISNUMBER(H274),"Répondue / cible absente","Sans réponse / cible absente"),IF(ISNUMBER(H274),IF(M274&lt;='Paramètres'!$E$9,"Dans le délai","Hors délai"),IF('Tableau de bord'!$F$5-G274&gt;'Paramètres'!$E$9,"Retard","En attente"))))))</x:f>
      </x:c>
      <x:c r="O274" s="9"/>
    </x:row>
    <x:row r="275" ht="23" customHeight="1">
      <x:c r="A275" s="9"/>
      <x:c r="B275" s="9"/>
      <x:c r="C275" s="9"/>
      <x:c r="D275" s="9"/>
      <x:c r="E275" s="9"/>
      <x:c r="F275" s="11"/>
      <x:c r="G275" s="11"/>
      <x:c r="H275" s="11"/>
      <x:c r="I275" s="9"/>
      <x:c r="J275" s="9"/>
      <x:c r="K275" s="9"/>
      <x:c r="L275" s="9"/>
      <x:c r="M275" s="12" t="str">
        <x:f>IF(A275="","",IF(AND(ISNUMBER(G275),ISNUMBER(H275)),H275-G275,""))</x:f>
      </x:c>
      <x:c r="N275" s="12" t="str">
        <x:f>IF(A275="","",IF(NOT(ISNUMBER(G275)),"Réception manquante",IF(AND(ISNUMBER(H275),H275&lt;G275),"Incohérent",IF('Paramètres'!$E$9="",IF(ISNUMBER(H275),"Répondue / cible absente","Sans réponse / cible absente"),IF(ISNUMBER(H275),IF(M275&lt;='Paramètres'!$E$9,"Dans le délai","Hors délai"),IF('Tableau de bord'!$F$5-G275&gt;'Paramètres'!$E$9,"Retard","En attente"))))))</x:f>
      </x:c>
      <x:c r="O275" s="9"/>
    </x:row>
    <x:row r="276" ht="23" customHeight="1">
      <x:c r="A276" s="9"/>
      <x:c r="B276" s="9"/>
      <x:c r="C276" s="9"/>
      <x:c r="D276" s="9"/>
      <x:c r="E276" s="9"/>
      <x:c r="F276" s="11"/>
      <x:c r="G276" s="11"/>
      <x:c r="H276" s="11"/>
      <x:c r="I276" s="9"/>
      <x:c r="J276" s="9"/>
      <x:c r="K276" s="9"/>
      <x:c r="L276" s="9"/>
      <x:c r="M276" s="12" t="str">
        <x:f>IF(A276="","",IF(AND(ISNUMBER(G276),ISNUMBER(H276)),H276-G276,""))</x:f>
      </x:c>
      <x:c r="N276" s="12" t="str">
        <x:f>IF(A276="","",IF(NOT(ISNUMBER(G276)),"Réception manquante",IF(AND(ISNUMBER(H276),H276&lt;G276),"Incohérent",IF('Paramètres'!$E$9="",IF(ISNUMBER(H276),"Répondue / cible absente","Sans réponse / cible absente"),IF(ISNUMBER(H276),IF(M276&lt;='Paramètres'!$E$9,"Dans le délai","Hors délai"),IF('Tableau de bord'!$F$5-G276&gt;'Paramètres'!$E$9,"Retard","En attente"))))))</x:f>
      </x:c>
      <x:c r="O276" s="9"/>
    </x:row>
    <x:row r="277" ht="23" customHeight="1">
      <x:c r="A277" s="9"/>
      <x:c r="B277" s="9"/>
      <x:c r="C277" s="9"/>
      <x:c r="D277" s="9"/>
      <x:c r="E277" s="9"/>
      <x:c r="F277" s="11"/>
      <x:c r="G277" s="11"/>
      <x:c r="H277" s="11"/>
      <x:c r="I277" s="9"/>
      <x:c r="J277" s="9"/>
      <x:c r="K277" s="9"/>
      <x:c r="L277" s="9"/>
      <x:c r="M277" s="12" t="str">
        <x:f>IF(A277="","",IF(AND(ISNUMBER(G277),ISNUMBER(H277)),H277-G277,""))</x:f>
      </x:c>
      <x:c r="N277" s="12" t="str">
        <x:f>IF(A277="","",IF(NOT(ISNUMBER(G277)),"Réception manquante",IF(AND(ISNUMBER(H277),H277&lt;G277),"Incohérent",IF('Paramètres'!$E$9="",IF(ISNUMBER(H277),"Répondue / cible absente","Sans réponse / cible absente"),IF(ISNUMBER(H277),IF(M277&lt;='Paramètres'!$E$9,"Dans le délai","Hors délai"),IF('Tableau de bord'!$F$5-G277&gt;'Paramètres'!$E$9,"Retard","En attente"))))))</x:f>
      </x:c>
      <x:c r="O277" s="9"/>
    </x:row>
    <x:row r="278" ht="23" customHeight="1">
      <x:c r="A278" s="9"/>
      <x:c r="B278" s="9"/>
      <x:c r="C278" s="9"/>
      <x:c r="D278" s="9"/>
      <x:c r="E278" s="9"/>
      <x:c r="F278" s="11"/>
      <x:c r="G278" s="11"/>
      <x:c r="H278" s="11"/>
      <x:c r="I278" s="9"/>
      <x:c r="J278" s="9"/>
      <x:c r="K278" s="9"/>
      <x:c r="L278" s="9"/>
      <x:c r="M278" s="12" t="str">
        <x:f>IF(A278="","",IF(AND(ISNUMBER(G278),ISNUMBER(H278)),H278-G278,""))</x:f>
      </x:c>
      <x:c r="N278" s="12" t="str">
        <x:f>IF(A278="","",IF(NOT(ISNUMBER(G278)),"Réception manquante",IF(AND(ISNUMBER(H278),H278&lt;G278),"Incohérent",IF('Paramètres'!$E$9="",IF(ISNUMBER(H278),"Répondue / cible absente","Sans réponse / cible absente"),IF(ISNUMBER(H278),IF(M278&lt;='Paramètres'!$E$9,"Dans le délai","Hors délai"),IF('Tableau de bord'!$F$5-G278&gt;'Paramètres'!$E$9,"Retard","En attente"))))))</x:f>
      </x:c>
      <x:c r="O278" s="9"/>
    </x:row>
    <x:row r="279" ht="23" customHeight="1">
      <x:c r="A279" s="9"/>
      <x:c r="B279" s="9"/>
      <x:c r="C279" s="9"/>
      <x:c r="D279" s="9"/>
      <x:c r="E279" s="9"/>
      <x:c r="F279" s="11"/>
      <x:c r="G279" s="11"/>
      <x:c r="H279" s="11"/>
      <x:c r="I279" s="9"/>
      <x:c r="J279" s="9"/>
      <x:c r="K279" s="9"/>
      <x:c r="L279" s="9"/>
      <x:c r="M279" s="12" t="str">
        <x:f>IF(A279="","",IF(AND(ISNUMBER(G279),ISNUMBER(H279)),H279-G279,""))</x:f>
      </x:c>
      <x:c r="N279" s="12" t="str">
        <x:f>IF(A279="","",IF(NOT(ISNUMBER(G279)),"Réception manquante",IF(AND(ISNUMBER(H279),H279&lt;G279),"Incohérent",IF('Paramètres'!$E$9="",IF(ISNUMBER(H279),"Répondue / cible absente","Sans réponse / cible absente"),IF(ISNUMBER(H279),IF(M279&lt;='Paramètres'!$E$9,"Dans le délai","Hors délai"),IF('Tableau de bord'!$F$5-G279&gt;'Paramètres'!$E$9,"Retard","En attente"))))))</x:f>
      </x:c>
      <x:c r="O279" s="9"/>
    </x:row>
    <x:row r="280" ht="23" customHeight="1">
      <x:c r="A280" s="9"/>
      <x:c r="B280" s="9"/>
      <x:c r="C280" s="9"/>
      <x:c r="D280" s="9"/>
      <x:c r="E280" s="9"/>
      <x:c r="F280" s="11"/>
      <x:c r="G280" s="11"/>
      <x:c r="H280" s="11"/>
      <x:c r="I280" s="9"/>
      <x:c r="J280" s="9"/>
      <x:c r="K280" s="9"/>
      <x:c r="L280" s="9"/>
      <x:c r="M280" s="12" t="str">
        <x:f>IF(A280="","",IF(AND(ISNUMBER(G280),ISNUMBER(H280)),H280-G280,""))</x:f>
      </x:c>
      <x:c r="N280" s="12" t="str">
        <x:f>IF(A280="","",IF(NOT(ISNUMBER(G280)),"Réception manquante",IF(AND(ISNUMBER(H280),H280&lt;G280),"Incohérent",IF('Paramètres'!$E$9="",IF(ISNUMBER(H280),"Répondue / cible absente","Sans réponse / cible absente"),IF(ISNUMBER(H280),IF(M280&lt;='Paramètres'!$E$9,"Dans le délai","Hors délai"),IF('Tableau de bord'!$F$5-G280&gt;'Paramètres'!$E$9,"Retard","En attente"))))))</x:f>
      </x:c>
      <x:c r="O280" s="9"/>
    </x:row>
    <x:row r="281" ht="23" customHeight="1">
      <x:c r="A281" s="9"/>
      <x:c r="B281" s="9"/>
      <x:c r="C281" s="9"/>
      <x:c r="D281" s="9"/>
      <x:c r="E281" s="9"/>
      <x:c r="F281" s="11"/>
      <x:c r="G281" s="11"/>
      <x:c r="H281" s="11"/>
      <x:c r="I281" s="9"/>
      <x:c r="J281" s="9"/>
      <x:c r="K281" s="9"/>
      <x:c r="L281" s="9"/>
      <x:c r="M281" s="12" t="str">
        <x:f>IF(A281="","",IF(AND(ISNUMBER(G281),ISNUMBER(H281)),H281-G281,""))</x:f>
      </x:c>
      <x:c r="N281" s="12" t="str">
        <x:f>IF(A281="","",IF(NOT(ISNUMBER(G281)),"Réception manquante",IF(AND(ISNUMBER(H281),H281&lt;G281),"Incohérent",IF('Paramètres'!$E$9="",IF(ISNUMBER(H281),"Répondue / cible absente","Sans réponse / cible absente"),IF(ISNUMBER(H281),IF(M281&lt;='Paramètres'!$E$9,"Dans le délai","Hors délai"),IF('Tableau de bord'!$F$5-G281&gt;'Paramètres'!$E$9,"Retard","En attente"))))))</x:f>
      </x:c>
      <x:c r="O281" s="9"/>
    </x:row>
    <x:row r="282" ht="23" customHeight="1">
      <x:c r="A282" s="9"/>
      <x:c r="B282" s="9"/>
      <x:c r="C282" s="9"/>
      <x:c r="D282" s="9"/>
      <x:c r="E282" s="9"/>
      <x:c r="F282" s="11"/>
      <x:c r="G282" s="11"/>
      <x:c r="H282" s="11"/>
      <x:c r="I282" s="9"/>
      <x:c r="J282" s="9"/>
      <x:c r="K282" s="9"/>
      <x:c r="L282" s="9"/>
      <x:c r="M282" s="12" t="str">
        <x:f>IF(A282="","",IF(AND(ISNUMBER(G282),ISNUMBER(H282)),H282-G282,""))</x:f>
      </x:c>
      <x:c r="N282" s="12" t="str">
        <x:f>IF(A282="","",IF(NOT(ISNUMBER(G282)),"Réception manquante",IF(AND(ISNUMBER(H282),H282&lt;G282),"Incohérent",IF('Paramètres'!$E$9="",IF(ISNUMBER(H282),"Répondue / cible absente","Sans réponse / cible absente"),IF(ISNUMBER(H282),IF(M282&lt;='Paramètres'!$E$9,"Dans le délai","Hors délai"),IF('Tableau de bord'!$F$5-G282&gt;'Paramètres'!$E$9,"Retard","En attente"))))))</x:f>
      </x:c>
      <x:c r="O282" s="9"/>
    </x:row>
    <x:row r="283" ht="23" customHeight="1">
      <x:c r="A283" s="9"/>
      <x:c r="B283" s="9"/>
      <x:c r="C283" s="9"/>
      <x:c r="D283" s="9"/>
      <x:c r="E283" s="9"/>
      <x:c r="F283" s="11"/>
      <x:c r="G283" s="11"/>
      <x:c r="H283" s="11"/>
      <x:c r="I283" s="9"/>
      <x:c r="J283" s="9"/>
      <x:c r="K283" s="9"/>
      <x:c r="L283" s="9"/>
      <x:c r="M283" s="12" t="str">
        <x:f>IF(A283="","",IF(AND(ISNUMBER(G283),ISNUMBER(H283)),H283-G283,""))</x:f>
      </x:c>
      <x:c r="N283" s="12" t="str">
        <x:f>IF(A283="","",IF(NOT(ISNUMBER(G283)),"Réception manquante",IF(AND(ISNUMBER(H283),H283&lt;G283),"Incohérent",IF('Paramètres'!$E$9="",IF(ISNUMBER(H283),"Répondue / cible absente","Sans réponse / cible absente"),IF(ISNUMBER(H283),IF(M283&lt;='Paramètres'!$E$9,"Dans le délai","Hors délai"),IF('Tableau de bord'!$F$5-G283&gt;'Paramètres'!$E$9,"Retard","En attente"))))))</x:f>
      </x:c>
      <x:c r="O283" s="9"/>
    </x:row>
    <x:row r="284" ht="23" customHeight="1">
      <x:c r="A284" s="9"/>
      <x:c r="B284" s="9"/>
      <x:c r="C284" s="9"/>
      <x:c r="D284" s="9"/>
      <x:c r="E284" s="9"/>
      <x:c r="F284" s="11"/>
      <x:c r="G284" s="11"/>
      <x:c r="H284" s="11"/>
      <x:c r="I284" s="9"/>
      <x:c r="J284" s="9"/>
      <x:c r="K284" s="9"/>
      <x:c r="L284" s="9"/>
      <x:c r="M284" s="12" t="str">
        <x:f>IF(A284="","",IF(AND(ISNUMBER(G284),ISNUMBER(H284)),H284-G284,""))</x:f>
      </x:c>
      <x:c r="N284" s="12" t="str">
        <x:f>IF(A284="","",IF(NOT(ISNUMBER(G284)),"Réception manquante",IF(AND(ISNUMBER(H284),H284&lt;G284),"Incohérent",IF('Paramètres'!$E$9="",IF(ISNUMBER(H284),"Répondue / cible absente","Sans réponse / cible absente"),IF(ISNUMBER(H284),IF(M284&lt;='Paramètres'!$E$9,"Dans le délai","Hors délai"),IF('Tableau de bord'!$F$5-G284&gt;'Paramètres'!$E$9,"Retard","En attente"))))))</x:f>
      </x:c>
      <x:c r="O284" s="9"/>
    </x:row>
    <x:row r="285" ht="23" customHeight="1">
      <x:c r="A285" s="9"/>
      <x:c r="B285" s="9"/>
      <x:c r="C285" s="9"/>
      <x:c r="D285" s="9"/>
      <x:c r="E285" s="9"/>
      <x:c r="F285" s="11"/>
      <x:c r="G285" s="11"/>
      <x:c r="H285" s="11"/>
      <x:c r="I285" s="9"/>
      <x:c r="J285" s="9"/>
      <x:c r="K285" s="9"/>
      <x:c r="L285" s="9"/>
      <x:c r="M285" s="12" t="str">
        <x:f>IF(A285="","",IF(AND(ISNUMBER(G285),ISNUMBER(H285)),H285-G285,""))</x:f>
      </x:c>
      <x:c r="N285" s="12" t="str">
        <x:f>IF(A285="","",IF(NOT(ISNUMBER(G285)),"Réception manquante",IF(AND(ISNUMBER(H285),H285&lt;G285),"Incohérent",IF('Paramètres'!$E$9="",IF(ISNUMBER(H285),"Répondue / cible absente","Sans réponse / cible absente"),IF(ISNUMBER(H285),IF(M285&lt;='Paramètres'!$E$9,"Dans le délai","Hors délai"),IF('Tableau de bord'!$F$5-G285&gt;'Paramètres'!$E$9,"Retard","En attente"))))))</x:f>
      </x:c>
      <x:c r="O285" s="9"/>
    </x:row>
    <x:row r="286" ht="23" customHeight="1">
      <x:c r="A286" s="9"/>
      <x:c r="B286" s="9"/>
      <x:c r="C286" s="9"/>
      <x:c r="D286" s="9"/>
      <x:c r="E286" s="9"/>
      <x:c r="F286" s="11"/>
      <x:c r="G286" s="11"/>
      <x:c r="H286" s="11"/>
      <x:c r="I286" s="9"/>
      <x:c r="J286" s="9"/>
      <x:c r="K286" s="9"/>
      <x:c r="L286" s="9"/>
      <x:c r="M286" s="12" t="str">
        <x:f>IF(A286="","",IF(AND(ISNUMBER(G286),ISNUMBER(H286)),H286-G286,""))</x:f>
      </x:c>
      <x:c r="N286" s="12" t="str">
        <x:f>IF(A286="","",IF(NOT(ISNUMBER(G286)),"Réception manquante",IF(AND(ISNUMBER(H286),H286&lt;G286),"Incohérent",IF('Paramètres'!$E$9="",IF(ISNUMBER(H286),"Répondue / cible absente","Sans réponse / cible absente"),IF(ISNUMBER(H286),IF(M286&lt;='Paramètres'!$E$9,"Dans le délai","Hors délai"),IF('Tableau de bord'!$F$5-G286&gt;'Paramètres'!$E$9,"Retard","En attente"))))))</x:f>
      </x:c>
      <x:c r="O286" s="9"/>
    </x:row>
    <x:row r="287" ht="23" customHeight="1">
      <x:c r="A287" s="9"/>
      <x:c r="B287" s="9"/>
      <x:c r="C287" s="9"/>
      <x:c r="D287" s="9"/>
      <x:c r="E287" s="9"/>
      <x:c r="F287" s="11"/>
      <x:c r="G287" s="11"/>
      <x:c r="H287" s="11"/>
      <x:c r="I287" s="9"/>
      <x:c r="J287" s="9"/>
      <x:c r="K287" s="9"/>
      <x:c r="L287" s="9"/>
      <x:c r="M287" s="12" t="str">
        <x:f>IF(A287="","",IF(AND(ISNUMBER(G287),ISNUMBER(H287)),H287-G287,""))</x:f>
      </x:c>
      <x:c r="N287" s="12" t="str">
        <x:f>IF(A287="","",IF(NOT(ISNUMBER(G287)),"Réception manquante",IF(AND(ISNUMBER(H287),H287&lt;G287),"Incohérent",IF('Paramètres'!$E$9="",IF(ISNUMBER(H287),"Répondue / cible absente","Sans réponse / cible absente"),IF(ISNUMBER(H287),IF(M287&lt;='Paramètres'!$E$9,"Dans le délai","Hors délai"),IF('Tableau de bord'!$F$5-G287&gt;'Paramètres'!$E$9,"Retard","En attente"))))))</x:f>
      </x:c>
      <x:c r="O287" s="9"/>
    </x:row>
    <x:row r="288" ht="23" customHeight="1">
      <x:c r="A288" s="9"/>
      <x:c r="B288" s="9"/>
      <x:c r="C288" s="9"/>
      <x:c r="D288" s="9"/>
      <x:c r="E288" s="9"/>
      <x:c r="F288" s="11"/>
      <x:c r="G288" s="11"/>
      <x:c r="H288" s="11"/>
      <x:c r="I288" s="9"/>
      <x:c r="J288" s="9"/>
      <x:c r="K288" s="9"/>
      <x:c r="L288" s="9"/>
      <x:c r="M288" s="12" t="str">
        <x:f>IF(A288="","",IF(AND(ISNUMBER(G288),ISNUMBER(H288)),H288-G288,""))</x:f>
      </x:c>
      <x:c r="N288" s="12" t="str">
        <x:f>IF(A288="","",IF(NOT(ISNUMBER(G288)),"Réception manquante",IF(AND(ISNUMBER(H288),H288&lt;G288),"Incohérent",IF('Paramètres'!$E$9="",IF(ISNUMBER(H288),"Répondue / cible absente","Sans réponse / cible absente"),IF(ISNUMBER(H288),IF(M288&lt;='Paramètres'!$E$9,"Dans le délai","Hors délai"),IF('Tableau de bord'!$F$5-G288&gt;'Paramètres'!$E$9,"Retard","En attente"))))))</x:f>
      </x:c>
      <x:c r="O288" s="9"/>
    </x:row>
    <x:row r="289" ht="23" customHeight="1">
      <x:c r="A289" s="9"/>
      <x:c r="B289" s="9"/>
      <x:c r="C289" s="9"/>
      <x:c r="D289" s="9"/>
      <x:c r="E289" s="9"/>
      <x:c r="F289" s="11"/>
      <x:c r="G289" s="11"/>
      <x:c r="H289" s="11"/>
      <x:c r="I289" s="9"/>
      <x:c r="J289" s="9"/>
      <x:c r="K289" s="9"/>
      <x:c r="L289" s="9"/>
      <x:c r="M289" s="12" t="str">
        <x:f>IF(A289="","",IF(AND(ISNUMBER(G289),ISNUMBER(H289)),H289-G289,""))</x:f>
      </x:c>
      <x:c r="N289" s="12" t="str">
        <x:f>IF(A289="","",IF(NOT(ISNUMBER(G289)),"Réception manquante",IF(AND(ISNUMBER(H289),H289&lt;G289),"Incohérent",IF('Paramètres'!$E$9="",IF(ISNUMBER(H289),"Répondue / cible absente","Sans réponse / cible absente"),IF(ISNUMBER(H289),IF(M289&lt;='Paramètres'!$E$9,"Dans le délai","Hors délai"),IF('Tableau de bord'!$F$5-G289&gt;'Paramètres'!$E$9,"Retard","En attente"))))))</x:f>
      </x:c>
      <x:c r="O289" s="9"/>
    </x:row>
    <x:row r="290" ht="23" customHeight="1">
      <x:c r="A290" s="9"/>
      <x:c r="B290" s="9"/>
      <x:c r="C290" s="9"/>
      <x:c r="D290" s="9"/>
      <x:c r="E290" s="9"/>
      <x:c r="F290" s="11"/>
      <x:c r="G290" s="11"/>
      <x:c r="H290" s="11"/>
      <x:c r="I290" s="9"/>
      <x:c r="J290" s="9"/>
      <x:c r="K290" s="9"/>
      <x:c r="L290" s="9"/>
      <x:c r="M290" s="12" t="str">
        <x:f>IF(A290="","",IF(AND(ISNUMBER(G290),ISNUMBER(H290)),H290-G290,""))</x:f>
      </x:c>
      <x:c r="N290" s="12" t="str">
        <x:f>IF(A290="","",IF(NOT(ISNUMBER(G290)),"Réception manquante",IF(AND(ISNUMBER(H290),H290&lt;G290),"Incohérent",IF('Paramètres'!$E$9="",IF(ISNUMBER(H290),"Répondue / cible absente","Sans réponse / cible absente"),IF(ISNUMBER(H290),IF(M290&lt;='Paramètres'!$E$9,"Dans le délai","Hors délai"),IF('Tableau de bord'!$F$5-G290&gt;'Paramètres'!$E$9,"Retard","En attente"))))))</x:f>
      </x:c>
      <x:c r="O290" s="9"/>
    </x:row>
    <x:row r="291" ht="23" customHeight="1">
      <x:c r="A291" s="9"/>
      <x:c r="B291" s="9"/>
      <x:c r="C291" s="9"/>
      <x:c r="D291" s="9"/>
      <x:c r="E291" s="9"/>
      <x:c r="F291" s="11"/>
      <x:c r="G291" s="11"/>
      <x:c r="H291" s="11"/>
      <x:c r="I291" s="9"/>
      <x:c r="J291" s="9"/>
      <x:c r="K291" s="9"/>
      <x:c r="L291" s="9"/>
      <x:c r="M291" s="12" t="str">
        <x:f>IF(A291="","",IF(AND(ISNUMBER(G291),ISNUMBER(H291)),H291-G291,""))</x:f>
      </x:c>
      <x:c r="N291" s="12" t="str">
        <x:f>IF(A291="","",IF(NOT(ISNUMBER(G291)),"Réception manquante",IF(AND(ISNUMBER(H291),H291&lt;G291),"Incohérent",IF('Paramètres'!$E$9="",IF(ISNUMBER(H291),"Répondue / cible absente","Sans réponse / cible absente"),IF(ISNUMBER(H291),IF(M291&lt;='Paramètres'!$E$9,"Dans le délai","Hors délai"),IF('Tableau de bord'!$F$5-G291&gt;'Paramètres'!$E$9,"Retard","En attente"))))))</x:f>
      </x:c>
      <x:c r="O291" s="9"/>
    </x:row>
    <x:row r="292" ht="23" customHeight="1">
      <x:c r="A292" s="9"/>
      <x:c r="B292" s="9"/>
      <x:c r="C292" s="9"/>
      <x:c r="D292" s="9"/>
      <x:c r="E292" s="9"/>
      <x:c r="F292" s="11"/>
      <x:c r="G292" s="11"/>
      <x:c r="H292" s="11"/>
      <x:c r="I292" s="9"/>
      <x:c r="J292" s="9"/>
      <x:c r="K292" s="9"/>
      <x:c r="L292" s="9"/>
      <x:c r="M292" s="12" t="str">
        <x:f>IF(A292="","",IF(AND(ISNUMBER(G292),ISNUMBER(H292)),H292-G292,""))</x:f>
      </x:c>
      <x:c r="N292" s="12" t="str">
        <x:f>IF(A292="","",IF(NOT(ISNUMBER(G292)),"Réception manquante",IF(AND(ISNUMBER(H292),H292&lt;G292),"Incohérent",IF('Paramètres'!$E$9="",IF(ISNUMBER(H292),"Répondue / cible absente","Sans réponse / cible absente"),IF(ISNUMBER(H292),IF(M292&lt;='Paramètres'!$E$9,"Dans le délai","Hors délai"),IF('Tableau de bord'!$F$5-G292&gt;'Paramètres'!$E$9,"Retard","En attente"))))))</x:f>
      </x:c>
      <x:c r="O292" s="9"/>
    </x:row>
    <x:row r="293" ht="23" customHeight="1">
      <x:c r="A293" s="9"/>
      <x:c r="B293" s="9"/>
      <x:c r="C293" s="9"/>
      <x:c r="D293" s="9"/>
      <x:c r="E293" s="9"/>
      <x:c r="F293" s="11"/>
      <x:c r="G293" s="11"/>
      <x:c r="H293" s="11"/>
      <x:c r="I293" s="9"/>
      <x:c r="J293" s="9"/>
      <x:c r="K293" s="9"/>
      <x:c r="L293" s="9"/>
      <x:c r="M293" s="12" t="str">
        <x:f>IF(A293="","",IF(AND(ISNUMBER(G293),ISNUMBER(H293)),H293-G293,""))</x:f>
      </x:c>
      <x:c r="N293" s="12" t="str">
        <x:f>IF(A293="","",IF(NOT(ISNUMBER(G293)),"Réception manquante",IF(AND(ISNUMBER(H293),H293&lt;G293),"Incohérent",IF('Paramètres'!$E$9="",IF(ISNUMBER(H293),"Répondue / cible absente","Sans réponse / cible absente"),IF(ISNUMBER(H293),IF(M293&lt;='Paramètres'!$E$9,"Dans le délai","Hors délai"),IF('Tableau de bord'!$F$5-G293&gt;'Paramètres'!$E$9,"Retard","En attente"))))))</x:f>
      </x:c>
      <x:c r="O293" s="9"/>
    </x:row>
    <x:row r="294" ht="23" customHeight="1">
      <x:c r="A294" s="9"/>
      <x:c r="B294" s="9"/>
      <x:c r="C294" s="9"/>
      <x:c r="D294" s="9"/>
      <x:c r="E294" s="9"/>
      <x:c r="F294" s="11"/>
      <x:c r="G294" s="11"/>
      <x:c r="H294" s="11"/>
      <x:c r="I294" s="9"/>
      <x:c r="J294" s="9"/>
      <x:c r="K294" s="9"/>
      <x:c r="L294" s="9"/>
      <x:c r="M294" s="12" t="str">
        <x:f>IF(A294="","",IF(AND(ISNUMBER(G294),ISNUMBER(H294)),H294-G294,""))</x:f>
      </x:c>
      <x:c r="N294" s="12" t="str">
        <x:f>IF(A294="","",IF(NOT(ISNUMBER(G294)),"Réception manquante",IF(AND(ISNUMBER(H294),H294&lt;G294),"Incohérent",IF('Paramètres'!$E$9="",IF(ISNUMBER(H294),"Répondue / cible absente","Sans réponse / cible absente"),IF(ISNUMBER(H294),IF(M294&lt;='Paramètres'!$E$9,"Dans le délai","Hors délai"),IF('Tableau de bord'!$F$5-G294&gt;'Paramètres'!$E$9,"Retard","En attente"))))))</x:f>
      </x:c>
      <x:c r="O294" s="9"/>
    </x:row>
    <x:row r="295" ht="23" customHeight="1">
      <x:c r="A295" s="9"/>
      <x:c r="B295" s="9"/>
      <x:c r="C295" s="9"/>
      <x:c r="D295" s="9"/>
      <x:c r="E295" s="9"/>
      <x:c r="F295" s="11"/>
      <x:c r="G295" s="11"/>
      <x:c r="H295" s="11"/>
      <x:c r="I295" s="9"/>
      <x:c r="J295" s="9"/>
      <x:c r="K295" s="9"/>
      <x:c r="L295" s="9"/>
      <x:c r="M295" s="12" t="str">
        <x:f>IF(A295="","",IF(AND(ISNUMBER(G295),ISNUMBER(H295)),H295-G295,""))</x:f>
      </x:c>
      <x:c r="N295" s="12" t="str">
        <x:f>IF(A295="","",IF(NOT(ISNUMBER(G295)),"Réception manquante",IF(AND(ISNUMBER(H295),H295&lt;G295),"Incohérent",IF('Paramètres'!$E$9="",IF(ISNUMBER(H295),"Répondue / cible absente","Sans réponse / cible absente"),IF(ISNUMBER(H295),IF(M295&lt;='Paramètres'!$E$9,"Dans le délai","Hors délai"),IF('Tableau de bord'!$F$5-G295&gt;'Paramètres'!$E$9,"Retard","En attente"))))))</x:f>
      </x:c>
      <x:c r="O295" s="9"/>
    </x:row>
    <x:row r="296" ht="23" customHeight="1">
      <x:c r="A296" s="9"/>
      <x:c r="B296" s="9"/>
      <x:c r="C296" s="9"/>
      <x:c r="D296" s="9"/>
      <x:c r="E296" s="9"/>
      <x:c r="F296" s="11"/>
      <x:c r="G296" s="11"/>
      <x:c r="H296" s="11"/>
      <x:c r="I296" s="9"/>
      <x:c r="J296" s="9"/>
      <x:c r="K296" s="9"/>
      <x:c r="L296" s="9"/>
      <x:c r="M296" s="12" t="str">
        <x:f>IF(A296="","",IF(AND(ISNUMBER(G296),ISNUMBER(H296)),H296-G296,""))</x:f>
      </x:c>
      <x:c r="N296" s="12" t="str">
        <x:f>IF(A296="","",IF(NOT(ISNUMBER(G296)),"Réception manquante",IF(AND(ISNUMBER(H296),H296&lt;G296),"Incohérent",IF('Paramètres'!$E$9="",IF(ISNUMBER(H296),"Répondue / cible absente","Sans réponse / cible absente"),IF(ISNUMBER(H296),IF(M296&lt;='Paramètres'!$E$9,"Dans le délai","Hors délai"),IF('Tableau de bord'!$F$5-G296&gt;'Paramètres'!$E$9,"Retard","En attente"))))))</x:f>
      </x:c>
      <x:c r="O296" s="9"/>
    </x:row>
    <x:row r="297" ht="23" customHeight="1">
      <x:c r="A297" s="9"/>
      <x:c r="B297" s="9"/>
      <x:c r="C297" s="9"/>
      <x:c r="D297" s="9"/>
      <x:c r="E297" s="9"/>
      <x:c r="F297" s="11"/>
      <x:c r="G297" s="11"/>
      <x:c r="H297" s="11"/>
      <x:c r="I297" s="9"/>
      <x:c r="J297" s="9"/>
      <x:c r="K297" s="9"/>
      <x:c r="L297" s="9"/>
      <x:c r="M297" s="12" t="str">
        <x:f>IF(A297="","",IF(AND(ISNUMBER(G297),ISNUMBER(H297)),H297-G297,""))</x:f>
      </x:c>
      <x:c r="N297" s="12" t="str">
        <x:f>IF(A297="","",IF(NOT(ISNUMBER(G297)),"Réception manquante",IF(AND(ISNUMBER(H297),H297&lt;G297),"Incohérent",IF('Paramètres'!$E$9="",IF(ISNUMBER(H297),"Répondue / cible absente","Sans réponse / cible absente"),IF(ISNUMBER(H297),IF(M297&lt;='Paramètres'!$E$9,"Dans le délai","Hors délai"),IF('Tableau de bord'!$F$5-G297&gt;'Paramètres'!$E$9,"Retard","En attente"))))))</x:f>
      </x:c>
      <x:c r="O297" s="9"/>
    </x:row>
    <x:row r="298" ht="23" customHeight="1">
      <x:c r="A298" s="9"/>
      <x:c r="B298" s="9"/>
      <x:c r="C298" s="9"/>
      <x:c r="D298" s="9"/>
      <x:c r="E298" s="9"/>
      <x:c r="F298" s="11"/>
      <x:c r="G298" s="11"/>
      <x:c r="H298" s="11"/>
      <x:c r="I298" s="9"/>
      <x:c r="J298" s="9"/>
      <x:c r="K298" s="9"/>
      <x:c r="L298" s="9"/>
      <x:c r="M298" s="12" t="str">
        <x:f>IF(A298="","",IF(AND(ISNUMBER(G298),ISNUMBER(H298)),H298-G298,""))</x:f>
      </x:c>
      <x:c r="N298" s="12" t="str">
        <x:f>IF(A298="","",IF(NOT(ISNUMBER(G298)),"Réception manquante",IF(AND(ISNUMBER(H298),H298&lt;G298),"Incohérent",IF('Paramètres'!$E$9="",IF(ISNUMBER(H298),"Répondue / cible absente","Sans réponse / cible absente"),IF(ISNUMBER(H298),IF(M298&lt;='Paramètres'!$E$9,"Dans le délai","Hors délai"),IF('Tableau de bord'!$F$5-G298&gt;'Paramètres'!$E$9,"Retard","En attente"))))))</x:f>
      </x:c>
      <x:c r="O298" s="9"/>
    </x:row>
    <x:row r="299" ht="23" customHeight="1">
      <x:c r="A299" s="9"/>
      <x:c r="B299" s="9"/>
      <x:c r="C299" s="9"/>
      <x:c r="D299" s="9"/>
      <x:c r="E299" s="9"/>
      <x:c r="F299" s="11"/>
      <x:c r="G299" s="11"/>
      <x:c r="H299" s="11"/>
      <x:c r="I299" s="9"/>
      <x:c r="J299" s="9"/>
      <x:c r="K299" s="9"/>
      <x:c r="L299" s="9"/>
      <x:c r="M299" s="12" t="str">
        <x:f>IF(A299="","",IF(AND(ISNUMBER(G299),ISNUMBER(H299)),H299-G299,""))</x:f>
      </x:c>
      <x:c r="N299" s="12" t="str">
        <x:f>IF(A299="","",IF(NOT(ISNUMBER(G299)),"Réception manquante",IF(AND(ISNUMBER(H299),H299&lt;G299),"Incohérent",IF('Paramètres'!$E$9="",IF(ISNUMBER(H299),"Répondue / cible absente","Sans réponse / cible absente"),IF(ISNUMBER(H299),IF(M299&lt;='Paramètres'!$E$9,"Dans le délai","Hors délai"),IF('Tableau de bord'!$F$5-G299&gt;'Paramètres'!$E$9,"Retard","En attente"))))))</x:f>
      </x:c>
      <x:c r="O299" s="9"/>
    </x:row>
    <x:row r="300" ht="23" customHeight="1">
      <x:c r="A300" s="9"/>
      <x:c r="B300" s="9"/>
      <x:c r="C300" s="9"/>
      <x:c r="D300" s="9"/>
      <x:c r="E300" s="9"/>
      <x:c r="F300" s="11"/>
      <x:c r="G300" s="11"/>
      <x:c r="H300" s="11"/>
      <x:c r="I300" s="9"/>
      <x:c r="J300" s="9"/>
      <x:c r="K300" s="9"/>
      <x:c r="L300" s="9"/>
      <x:c r="M300" s="12" t="str">
        <x:f>IF(A300="","",IF(AND(ISNUMBER(G300),ISNUMBER(H300)),H300-G300,""))</x:f>
      </x:c>
      <x:c r="N300" s="12" t="str">
        <x:f>IF(A300="","",IF(NOT(ISNUMBER(G300)),"Réception manquante",IF(AND(ISNUMBER(H300),H300&lt;G300),"Incohérent",IF('Paramètres'!$E$9="",IF(ISNUMBER(H300),"Répondue / cible absente","Sans réponse / cible absente"),IF(ISNUMBER(H300),IF(M300&lt;='Paramètres'!$E$9,"Dans le délai","Hors délai"),IF('Tableau de bord'!$F$5-G300&gt;'Paramètres'!$E$9,"Retard","En attente"))))))</x:f>
      </x:c>
      <x:c r="O300" s="9"/>
    </x:row>
    <x:row r="301" ht="23" customHeight="1">
      <x:c r="A301" s="9"/>
      <x:c r="B301" s="9"/>
      <x:c r="C301" s="9"/>
      <x:c r="D301" s="9"/>
      <x:c r="E301" s="9"/>
      <x:c r="F301" s="11"/>
      <x:c r="G301" s="11"/>
      <x:c r="H301" s="11"/>
      <x:c r="I301" s="9"/>
      <x:c r="J301" s="9"/>
      <x:c r="K301" s="9"/>
      <x:c r="L301" s="9"/>
      <x:c r="M301" s="12" t="str">
        <x:f>IF(A301="","",IF(AND(ISNUMBER(G301),ISNUMBER(H301)),H301-G301,""))</x:f>
      </x:c>
      <x:c r="N301" s="12" t="str">
        <x:f>IF(A301="","",IF(NOT(ISNUMBER(G301)),"Réception manquante",IF(AND(ISNUMBER(H301),H301&lt;G301),"Incohérent",IF('Paramètres'!$E$9="",IF(ISNUMBER(H301),"Répondue / cible absente","Sans réponse / cible absente"),IF(ISNUMBER(H301),IF(M301&lt;='Paramètres'!$E$9,"Dans le délai","Hors délai"),IF('Tableau de bord'!$F$5-G301&gt;'Paramètres'!$E$9,"Retard","En attente"))))))</x:f>
      </x:c>
      <x:c r="O301" s="9"/>
    </x:row>
    <x:row r="302" ht="23" customHeight="1">
      <x:c r="A302" s="9"/>
      <x:c r="B302" s="9"/>
      <x:c r="C302" s="9"/>
      <x:c r="D302" s="9"/>
      <x:c r="E302" s="9"/>
      <x:c r="F302" s="11"/>
      <x:c r="G302" s="11"/>
      <x:c r="H302" s="11"/>
      <x:c r="I302" s="9"/>
      <x:c r="J302" s="9"/>
      <x:c r="K302" s="9"/>
      <x:c r="L302" s="9"/>
      <x:c r="M302" s="12" t="str">
        <x:f>IF(A302="","",IF(AND(ISNUMBER(G302),ISNUMBER(H302)),H302-G302,""))</x:f>
      </x:c>
      <x:c r="N302" s="12" t="str">
        <x:f>IF(A302="","",IF(NOT(ISNUMBER(G302)),"Réception manquante",IF(AND(ISNUMBER(H302),H302&lt;G302),"Incohérent",IF('Paramètres'!$E$9="",IF(ISNUMBER(H302),"Répondue / cible absente","Sans réponse / cible absente"),IF(ISNUMBER(H302),IF(M302&lt;='Paramètres'!$E$9,"Dans le délai","Hors délai"),IF('Tableau de bord'!$F$5-G302&gt;'Paramètres'!$E$9,"Retard","En attente"))))))</x:f>
      </x:c>
      <x:c r="O302" s="9"/>
    </x:row>
    <x:row r="303" ht="23" customHeight="1">
      <x:c r="A303" s="9"/>
      <x:c r="B303" s="9"/>
      <x:c r="C303" s="9"/>
      <x:c r="D303" s="9"/>
      <x:c r="E303" s="9"/>
      <x:c r="F303" s="11"/>
      <x:c r="G303" s="11"/>
      <x:c r="H303" s="11"/>
      <x:c r="I303" s="9"/>
      <x:c r="J303" s="9"/>
      <x:c r="K303" s="9"/>
      <x:c r="L303" s="9"/>
      <x:c r="M303" s="12" t="str">
        <x:f>IF(A303="","",IF(AND(ISNUMBER(G303),ISNUMBER(H303)),H303-G303,""))</x:f>
      </x:c>
      <x:c r="N303" s="12" t="str">
        <x:f>IF(A303="","",IF(NOT(ISNUMBER(G303)),"Réception manquante",IF(AND(ISNUMBER(H303),H303&lt;G303),"Incohérent",IF('Paramètres'!$E$9="",IF(ISNUMBER(H303),"Répondue / cible absente","Sans réponse / cible absente"),IF(ISNUMBER(H303),IF(M303&lt;='Paramètres'!$E$9,"Dans le délai","Hors délai"),IF('Tableau de bord'!$F$5-G303&gt;'Paramètres'!$E$9,"Retard","En attente"))))))</x:f>
      </x:c>
      <x:c r="O303" s="9"/>
    </x:row>
    <x:row r="304" ht="23" customHeight="1">
      <x:c r="A304" s="9"/>
      <x:c r="B304" s="9"/>
      <x:c r="C304" s="9"/>
      <x:c r="D304" s="9"/>
      <x:c r="E304" s="9"/>
      <x:c r="F304" s="11"/>
      <x:c r="G304" s="11"/>
      <x:c r="H304" s="11"/>
      <x:c r="I304" s="9"/>
      <x:c r="J304" s="9"/>
      <x:c r="K304" s="9"/>
      <x:c r="L304" s="9"/>
      <x:c r="M304" s="12" t="str">
        <x:f>IF(A304="","",IF(AND(ISNUMBER(G304),ISNUMBER(H304)),H304-G304,""))</x:f>
      </x:c>
      <x:c r="N304" s="12" t="str">
        <x:f>IF(A304="","",IF(NOT(ISNUMBER(G304)),"Réception manquante",IF(AND(ISNUMBER(H304),H304&lt;G304),"Incohérent",IF('Paramètres'!$E$9="",IF(ISNUMBER(H304),"Répondue / cible absente","Sans réponse / cible absente"),IF(ISNUMBER(H304),IF(M304&lt;='Paramètres'!$E$9,"Dans le délai","Hors délai"),IF('Tableau de bord'!$F$5-G304&gt;'Paramètres'!$E$9,"Retard","En attente"))))))</x:f>
      </x:c>
      <x:c r="O304" s="9"/>
    </x:row>
    <x:row r="305" ht="23" customHeight="1">
      <x:c r="A305" s="9"/>
      <x:c r="B305" s="9"/>
      <x:c r="C305" s="9"/>
      <x:c r="D305" s="9"/>
      <x:c r="E305" s="9"/>
      <x:c r="F305" s="11"/>
      <x:c r="G305" s="11"/>
      <x:c r="H305" s="11"/>
      <x:c r="I305" s="9"/>
      <x:c r="J305" s="9"/>
      <x:c r="K305" s="9"/>
      <x:c r="L305" s="9"/>
      <x:c r="M305" s="12" t="str">
        <x:f>IF(A305="","",IF(AND(ISNUMBER(G305),ISNUMBER(H305)),H305-G305,""))</x:f>
      </x:c>
      <x:c r="N305" s="12" t="str">
        <x:f>IF(A305="","",IF(NOT(ISNUMBER(G305)),"Réception manquante",IF(AND(ISNUMBER(H305),H305&lt;G305),"Incohérent",IF('Paramètres'!$E$9="",IF(ISNUMBER(H305),"Répondue / cible absente","Sans réponse / cible absente"),IF(ISNUMBER(H305),IF(M305&lt;='Paramètres'!$E$9,"Dans le délai","Hors délai"),IF('Tableau de bord'!$F$5-G305&gt;'Paramètres'!$E$9,"Retard","En attente"))))))</x:f>
      </x:c>
      <x:c r="O305" s="9"/>
    </x:row>
    <x:row r="306" ht="23" customHeight="1">
      <x:c r="A306" s="9"/>
      <x:c r="B306" s="9"/>
      <x:c r="C306" s="9"/>
      <x:c r="D306" s="9"/>
      <x:c r="E306" s="9"/>
      <x:c r="F306" s="11"/>
      <x:c r="G306" s="11"/>
      <x:c r="H306" s="11"/>
      <x:c r="I306" s="9"/>
      <x:c r="J306" s="9"/>
      <x:c r="K306" s="9"/>
      <x:c r="L306" s="9"/>
      <x:c r="M306" s="12" t="str">
        <x:f>IF(A306="","",IF(AND(ISNUMBER(G306),ISNUMBER(H306)),H306-G306,""))</x:f>
      </x:c>
      <x:c r="N306" s="12" t="str">
        <x:f>IF(A306="","",IF(NOT(ISNUMBER(G306)),"Réception manquante",IF(AND(ISNUMBER(H306),H306&lt;G306),"Incohérent",IF('Paramètres'!$E$9="",IF(ISNUMBER(H306),"Répondue / cible absente","Sans réponse / cible absente"),IF(ISNUMBER(H306),IF(M306&lt;='Paramètres'!$E$9,"Dans le délai","Hors délai"),IF('Tableau de bord'!$F$5-G306&gt;'Paramètres'!$E$9,"Retard","En attente"))))))</x:f>
      </x:c>
      <x:c r="O306" s="9"/>
    </x:row>
    <x:row r="307" ht="23" customHeight="1">
      <x:c r="A307" s="9"/>
      <x:c r="B307" s="9"/>
      <x:c r="C307" s="9"/>
      <x:c r="D307" s="9"/>
      <x:c r="E307" s="9"/>
      <x:c r="F307" s="11"/>
      <x:c r="G307" s="11"/>
      <x:c r="H307" s="11"/>
      <x:c r="I307" s="9"/>
      <x:c r="J307" s="9"/>
      <x:c r="K307" s="9"/>
      <x:c r="L307" s="9"/>
      <x:c r="M307" s="12" t="str">
        <x:f>IF(A307="","",IF(AND(ISNUMBER(G307),ISNUMBER(H307)),H307-G307,""))</x:f>
      </x:c>
      <x:c r="N307" s="12" t="str">
        <x:f>IF(A307="","",IF(NOT(ISNUMBER(G307)),"Réception manquante",IF(AND(ISNUMBER(H307),H307&lt;G307),"Incohérent",IF('Paramètres'!$E$9="",IF(ISNUMBER(H307),"Répondue / cible absente","Sans réponse / cible absente"),IF(ISNUMBER(H307),IF(M307&lt;='Paramètres'!$E$9,"Dans le délai","Hors délai"),IF('Tableau de bord'!$F$5-G307&gt;'Paramètres'!$E$9,"Retard","En attente"))))))</x:f>
      </x:c>
      <x:c r="O307" s="9"/>
    </x:row>
    <x:row r="308" ht="23" customHeight="1">
      <x:c r="A308" s="9"/>
      <x:c r="B308" s="9"/>
      <x:c r="C308" s="9"/>
      <x:c r="D308" s="9"/>
      <x:c r="E308" s="9"/>
      <x:c r="F308" s="11"/>
      <x:c r="G308" s="11"/>
      <x:c r="H308" s="11"/>
      <x:c r="I308" s="9"/>
      <x:c r="J308" s="9"/>
      <x:c r="K308" s="9"/>
      <x:c r="L308" s="9"/>
      <x:c r="M308" s="12" t="str">
        <x:f>IF(A308="","",IF(AND(ISNUMBER(G308),ISNUMBER(H308)),H308-G308,""))</x:f>
      </x:c>
      <x:c r="N308" s="12" t="str">
        <x:f>IF(A308="","",IF(NOT(ISNUMBER(G308)),"Réception manquante",IF(AND(ISNUMBER(H308),H308&lt;G308),"Incohérent",IF('Paramètres'!$E$9="",IF(ISNUMBER(H308),"Répondue / cible absente","Sans réponse / cible absente"),IF(ISNUMBER(H308),IF(M308&lt;='Paramètres'!$E$9,"Dans le délai","Hors délai"),IF('Tableau de bord'!$F$5-G308&gt;'Paramètres'!$E$9,"Retard","En attente"))))))</x:f>
      </x:c>
      <x:c r="O308" s="9"/>
    </x:row>
    <x:row r="309" ht="23" customHeight="1">
      <x:c r="A309" s="9"/>
      <x:c r="B309" s="9"/>
      <x:c r="C309" s="9"/>
      <x:c r="D309" s="9"/>
      <x:c r="E309" s="9"/>
      <x:c r="F309" s="11"/>
      <x:c r="G309" s="11"/>
      <x:c r="H309" s="11"/>
      <x:c r="I309" s="9"/>
      <x:c r="J309" s="9"/>
      <x:c r="K309" s="9"/>
      <x:c r="L309" s="9"/>
      <x:c r="M309" s="12" t="str">
        <x:f>IF(A309="","",IF(AND(ISNUMBER(G309),ISNUMBER(H309)),H309-G309,""))</x:f>
      </x:c>
      <x:c r="N309" s="12" t="str">
        <x:f>IF(A309="","",IF(NOT(ISNUMBER(G309)),"Réception manquante",IF(AND(ISNUMBER(H309),H309&lt;G309),"Incohérent",IF('Paramètres'!$E$9="",IF(ISNUMBER(H309),"Répondue / cible absente","Sans réponse / cible absente"),IF(ISNUMBER(H309),IF(M309&lt;='Paramètres'!$E$9,"Dans le délai","Hors délai"),IF('Tableau de bord'!$F$5-G309&gt;'Paramètres'!$E$9,"Retard","En attente"))))))</x:f>
      </x:c>
      <x:c r="O309" s="9"/>
    </x:row>
    <x:row r="310" ht="23" customHeight="1">
      <x:c r="A310" s="9"/>
      <x:c r="B310" s="9"/>
      <x:c r="C310" s="9"/>
      <x:c r="D310" s="9"/>
      <x:c r="E310" s="9"/>
      <x:c r="F310" s="11"/>
      <x:c r="G310" s="11"/>
      <x:c r="H310" s="11"/>
      <x:c r="I310" s="9"/>
      <x:c r="J310" s="9"/>
      <x:c r="K310" s="9"/>
      <x:c r="L310" s="9"/>
      <x:c r="M310" s="12" t="str">
        <x:f>IF(A310="","",IF(AND(ISNUMBER(G310),ISNUMBER(H310)),H310-G310,""))</x:f>
      </x:c>
      <x:c r="N310" s="12" t="str">
        <x:f>IF(A310="","",IF(NOT(ISNUMBER(G310)),"Réception manquante",IF(AND(ISNUMBER(H310),H310&lt;G310),"Incohérent",IF('Paramètres'!$E$9="",IF(ISNUMBER(H310),"Répondue / cible absente","Sans réponse / cible absente"),IF(ISNUMBER(H310),IF(M310&lt;='Paramètres'!$E$9,"Dans le délai","Hors délai"),IF('Tableau de bord'!$F$5-G310&gt;'Paramètres'!$E$9,"Retard","En attente"))))))</x:f>
      </x:c>
      <x:c r="O310" s="9"/>
    </x:row>
    <x:row r="311" ht="23" customHeight="1">
      <x:c r="A311" s="9"/>
      <x:c r="B311" s="9"/>
      <x:c r="C311" s="9"/>
      <x:c r="D311" s="9"/>
      <x:c r="E311" s="9"/>
      <x:c r="F311" s="11"/>
      <x:c r="G311" s="11"/>
      <x:c r="H311" s="11"/>
      <x:c r="I311" s="9"/>
      <x:c r="J311" s="9"/>
      <x:c r="K311" s="9"/>
      <x:c r="L311" s="9"/>
      <x:c r="M311" s="12" t="str">
        <x:f>IF(A311="","",IF(AND(ISNUMBER(G311),ISNUMBER(H311)),H311-G311,""))</x:f>
      </x:c>
      <x:c r="N311" s="12" t="str">
        <x:f>IF(A311="","",IF(NOT(ISNUMBER(G311)),"Réception manquante",IF(AND(ISNUMBER(H311),H311&lt;G311),"Incohérent",IF('Paramètres'!$E$9="",IF(ISNUMBER(H311),"Répondue / cible absente","Sans réponse / cible absente"),IF(ISNUMBER(H311),IF(M311&lt;='Paramètres'!$E$9,"Dans le délai","Hors délai"),IF('Tableau de bord'!$F$5-G311&gt;'Paramètres'!$E$9,"Retard","En attente"))))))</x:f>
      </x:c>
      <x:c r="O311" s="9"/>
    </x:row>
    <x:row r="312" ht="23" customHeight="1">
      <x:c r="A312" s="9"/>
      <x:c r="B312" s="9"/>
      <x:c r="C312" s="9"/>
      <x:c r="D312" s="9"/>
      <x:c r="E312" s="9"/>
      <x:c r="F312" s="11"/>
      <x:c r="G312" s="11"/>
      <x:c r="H312" s="11"/>
      <x:c r="I312" s="9"/>
      <x:c r="J312" s="9"/>
      <x:c r="K312" s="9"/>
      <x:c r="L312" s="9"/>
      <x:c r="M312" s="12" t="str">
        <x:f>IF(A312="","",IF(AND(ISNUMBER(G312),ISNUMBER(H312)),H312-G312,""))</x:f>
      </x:c>
      <x:c r="N312" s="12" t="str">
        <x:f>IF(A312="","",IF(NOT(ISNUMBER(G312)),"Réception manquante",IF(AND(ISNUMBER(H312),H312&lt;G312),"Incohérent",IF('Paramètres'!$E$9="",IF(ISNUMBER(H312),"Répondue / cible absente","Sans réponse / cible absente"),IF(ISNUMBER(H312),IF(M312&lt;='Paramètres'!$E$9,"Dans le délai","Hors délai"),IF('Tableau de bord'!$F$5-G312&gt;'Paramètres'!$E$9,"Retard","En attente"))))))</x:f>
      </x:c>
      <x:c r="O312" s="9"/>
    </x:row>
    <x:row r="313" ht="23" customHeight="1">
      <x:c r="A313" s="9"/>
      <x:c r="B313" s="9"/>
      <x:c r="C313" s="9"/>
      <x:c r="D313" s="9"/>
      <x:c r="E313" s="9"/>
      <x:c r="F313" s="11"/>
      <x:c r="G313" s="11"/>
      <x:c r="H313" s="11"/>
      <x:c r="I313" s="9"/>
      <x:c r="J313" s="9"/>
      <x:c r="K313" s="9"/>
      <x:c r="L313" s="9"/>
      <x:c r="M313" s="12" t="str">
        <x:f>IF(A313="","",IF(AND(ISNUMBER(G313),ISNUMBER(H313)),H313-G313,""))</x:f>
      </x:c>
      <x:c r="N313" s="12" t="str">
        <x:f>IF(A313="","",IF(NOT(ISNUMBER(G313)),"Réception manquante",IF(AND(ISNUMBER(H313),H313&lt;G313),"Incohérent",IF('Paramètres'!$E$9="",IF(ISNUMBER(H313),"Répondue / cible absente","Sans réponse / cible absente"),IF(ISNUMBER(H313),IF(M313&lt;='Paramètres'!$E$9,"Dans le délai","Hors délai"),IF('Tableau de bord'!$F$5-G313&gt;'Paramètres'!$E$9,"Retard","En attente"))))))</x:f>
      </x:c>
      <x:c r="O313" s="9"/>
    </x:row>
    <x:row r="314" ht="23" customHeight="1">
      <x:c r="A314" s="9"/>
      <x:c r="B314" s="9"/>
      <x:c r="C314" s="9"/>
      <x:c r="D314" s="9"/>
      <x:c r="E314" s="9"/>
      <x:c r="F314" s="11"/>
      <x:c r="G314" s="11"/>
      <x:c r="H314" s="11"/>
      <x:c r="I314" s="9"/>
      <x:c r="J314" s="9"/>
      <x:c r="K314" s="9"/>
      <x:c r="L314" s="9"/>
      <x:c r="M314" s="12" t="str">
        <x:f>IF(A314="","",IF(AND(ISNUMBER(G314),ISNUMBER(H314)),H314-G314,""))</x:f>
      </x:c>
      <x:c r="N314" s="12" t="str">
        <x:f>IF(A314="","",IF(NOT(ISNUMBER(G314)),"Réception manquante",IF(AND(ISNUMBER(H314),H314&lt;G314),"Incohérent",IF('Paramètres'!$E$9="",IF(ISNUMBER(H314),"Répondue / cible absente","Sans réponse / cible absente"),IF(ISNUMBER(H314),IF(M314&lt;='Paramètres'!$E$9,"Dans le délai","Hors délai"),IF('Tableau de bord'!$F$5-G314&gt;'Paramètres'!$E$9,"Retard","En attente"))))))</x:f>
      </x:c>
      <x:c r="O314" s="9"/>
    </x:row>
    <x:row r="315" ht="23" customHeight="1">
      <x:c r="A315" s="9"/>
      <x:c r="B315" s="9"/>
      <x:c r="C315" s="9"/>
      <x:c r="D315" s="9"/>
      <x:c r="E315" s="9"/>
      <x:c r="F315" s="11"/>
      <x:c r="G315" s="11"/>
      <x:c r="H315" s="11"/>
      <x:c r="I315" s="9"/>
      <x:c r="J315" s="9"/>
      <x:c r="K315" s="9"/>
      <x:c r="L315" s="9"/>
      <x:c r="M315" s="12" t="str">
        <x:f>IF(A315="","",IF(AND(ISNUMBER(G315),ISNUMBER(H315)),H315-G315,""))</x:f>
      </x:c>
      <x:c r="N315" s="12" t="str">
        <x:f>IF(A315="","",IF(NOT(ISNUMBER(G315)),"Réception manquante",IF(AND(ISNUMBER(H315),H315&lt;G315),"Incohérent",IF('Paramètres'!$E$9="",IF(ISNUMBER(H315),"Répondue / cible absente","Sans réponse / cible absente"),IF(ISNUMBER(H315),IF(M315&lt;='Paramètres'!$E$9,"Dans le délai","Hors délai"),IF('Tableau de bord'!$F$5-G315&gt;'Paramètres'!$E$9,"Retard","En attente"))))))</x:f>
      </x:c>
      <x:c r="O315" s="9"/>
    </x:row>
    <x:row r="316" ht="23" customHeight="1">
      <x:c r="A316" s="9"/>
      <x:c r="B316" s="9"/>
      <x:c r="C316" s="9"/>
      <x:c r="D316" s="9"/>
      <x:c r="E316" s="9"/>
      <x:c r="F316" s="11"/>
      <x:c r="G316" s="11"/>
      <x:c r="H316" s="11"/>
      <x:c r="I316" s="9"/>
      <x:c r="J316" s="9"/>
      <x:c r="K316" s="9"/>
      <x:c r="L316" s="9"/>
      <x:c r="M316" s="12" t="str">
        <x:f>IF(A316="","",IF(AND(ISNUMBER(G316),ISNUMBER(H316)),H316-G316,""))</x:f>
      </x:c>
      <x:c r="N316" s="12" t="str">
        <x:f>IF(A316="","",IF(NOT(ISNUMBER(G316)),"Réception manquante",IF(AND(ISNUMBER(H316),H316&lt;G316),"Incohérent",IF('Paramètres'!$E$9="",IF(ISNUMBER(H316),"Répondue / cible absente","Sans réponse / cible absente"),IF(ISNUMBER(H316),IF(M316&lt;='Paramètres'!$E$9,"Dans le délai","Hors délai"),IF('Tableau de bord'!$F$5-G316&gt;'Paramètres'!$E$9,"Retard","En attente"))))))</x:f>
      </x:c>
      <x:c r="O316" s="9"/>
    </x:row>
    <x:row r="317" ht="23" customHeight="1">
      <x:c r="A317" s="9"/>
      <x:c r="B317" s="9"/>
      <x:c r="C317" s="9"/>
      <x:c r="D317" s="9"/>
      <x:c r="E317" s="9"/>
      <x:c r="F317" s="11"/>
      <x:c r="G317" s="11"/>
      <x:c r="H317" s="11"/>
      <x:c r="I317" s="9"/>
      <x:c r="J317" s="9"/>
      <x:c r="K317" s="9"/>
      <x:c r="L317" s="9"/>
      <x:c r="M317" s="12" t="str">
        <x:f>IF(A317="","",IF(AND(ISNUMBER(G317),ISNUMBER(H317)),H317-G317,""))</x:f>
      </x:c>
      <x:c r="N317" s="12" t="str">
        <x:f>IF(A317="","",IF(NOT(ISNUMBER(G317)),"Réception manquante",IF(AND(ISNUMBER(H317),H317&lt;G317),"Incohérent",IF('Paramètres'!$E$9="",IF(ISNUMBER(H317),"Répondue / cible absente","Sans réponse / cible absente"),IF(ISNUMBER(H317),IF(M317&lt;='Paramètres'!$E$9,"Dans le délai","Hors délai"),IF('Tableau de bord'!$F$5-G317&gt;'Paramètres'!$E$9,"Retard","En attente"))))))</x:f>
      </x:c>
      <x:c r="O317" s="9"/>
    </x:row>
    <x:row r="318" ht="23" customHeight="1">
      <x:c r="A318" s="9"/>
      <x:c r="B318" s="9"/>
      <x:c r="C318" s="9"/>
      <x:c r="D318" s="9"/>
      <x:c r="E318" s="9"/>
      <x:c r="F318" s="11"/>
      <x:c r="G318" s="11"/>
      <x:c r="H318" s="11"/>
      <x:c r="I318" s="9"/>
      <x:c r="J318" s="9"/>
      <x:c r="K318" s="9"/>
      <x:c r="L318" s="9"/>
      <x:c r="M318" s="12" t="str">
        <x:f>IF(A318="","",IF(AND(ISNUMBER(G318),ISNUMBER(H318)),H318-G318,""))</x:f>
      </x:c>
      <x:c r="N318" s="12" t="str">
        <x:f>IF(A318="","",IF(NOT(ISNUMBER(G318)),"Réception manquante",IF(AND(ISNUMBER(H318),H318&lt;G318),"Incohérent",IF('Paramètres'!$E$9="",IF(ISNUMBER(H318),"Répondue / cible absente","Sans réponse / cible absente"),IF(ISNUMBER(H318),IF(M318&lt;='Paramètres'!$E$9,"Dans le délai","Hors délai"),IF('Tableau de bord'!$F$5-G318&gt;'Paramètres'!$E$9,"Retard","En attente"))))))</x:f>
      </x:c>
      <x:c r="O318" s="9"/>
    </x:row>
    <x:row r="319" ht="23" customHeight="1">
      <x:c r="A319" s="9"/>
      <x:c r="B319" s="9"/>
      <x:c r="C319" s="9"/>
      <x:c r="D319" s="9"/>
      <x:c r="E319" s="9"/>
      <x:c r="F319" s="11"/>
      <x:c r="G319" s="11"/>
      <x:c r="H319" s="11"/>
      <x:c r="I319" s="9"/>
      <x:c r="J319" s="9"/>
      <x:c r="K319" s="9"/>
      <x:c r="L319" s="9"/>
      <x:c r="M319" s="12" t="str">
        <x:f>IF(A319="","",IF(AND(ISNUMBER(G319),ISNUMBER(H319)),H319-G319,""))</x:f>
      </x:c>
      <x:c r="N319" s="12" t="str">
        <x:f>IF(A319="","",IF(NOT(ISNUMBER(G319)),"Réception manquante",IF(AND(ISNUMBER(H319),H319&lt;G319),"Incohérent",IF('Paramètres'!$E$9="",IF(ISNUMBER(H319),"Répondue / cible absente","Sans réponse / cible absente"),IF(ISNUMBER(H319),IF(M319&lt;='Paramètres'!$E$9,"Dans le délai","Hors délai"),IF('Tableau de bord'!$F$5-G319&gt;'Paramètres'!$E$9,"Retard","En attente"))))))</x:f>
      </x:c>
      <x:c r="O319" s="9"/>
    </x:row>
    <x:row r="320" ht="23" customHeight="1">
      <x:c r="A320" s="9"/>
      <x:c r="B320" s="9"/>
      <x:c r="C320" s="9"/>
      <x:c r="D320" s="9"/>
      <x:c r="E320" s="9"/>
      <x:c r="F320" s="11"/>
      <x:c r="G320" s="11"/>
      <x:c r="H320" s="11"/>
      <x:c r="I320" s="9"/>
      <x:c r="J320" s="9"/>
      <x:c r="K320" s="9"/>
      <x:c r="L320" s="9"/>
      <x:c r="M320" s="12" t="str">
        <x:f>IF(A320="","",IF(AND(ISNUMBER(G320),ISNUMBER(H320)),H320-G320,""))</x:f>
      </x:c>
      <x:c r="N320" s="12" t="str">
        <x:f>IF(A320="","",IF(NOT(ISNUMBER(G320)),"Réception manquante",IF(AND(ISNUMBER(H320),H320&lt;G320),"Incohérent",IF('Paramètres'!$E$9="",IF(ISNUMBER(H320),"Répondue / cible absente","Sans réponse / cible absente"),IF(ISNUMBER(H320),IF(M320&lt;='Paramètres'!$E$9,"Dans le délai","Hors délai"),IF('Tableau de bord'!$F$5-G320&gt;'Paramètres'!$E$9,"Retard","En attente"))))))</x:f>
      </x:c>
      <x:c r="O320" s="9"/>
    </x:row>
    <x:row r="321" ht="23" customHeight="1">
      <x:c r="A321" s="9"/>
      <x:c r="B321" s="9"/>
      <x:c r="C321" s="9"/>
      <x:c r="D321" s="9"/>
      <x:c r="E321" s="9"/>
      <x:c r="F321" s="11"/>
      <x:c r="G321" s="11"/>
      <x:c r="H321" s="11"/>
      <x:c r="I321" s="9"/>
      <x:c r="J321" s="9"/>
      <x:c r="K321" s="9"/>
      <x:c r="L321" s="9"/>
      <x:c r="M321" s="12" t="str">
        <x:f>IF(A321="","",IF(AND(ISNUMBER(G321),ISNUMBER(H321)),H321-G321,""))</x:f>
      </x:c>
      <x:c r="N321" s="12" t="str">
        <x:f>IF(A321="","",IF(NOT(ISNUMBER(G321)),"Réception manquante",IF(AND(ISNUMBER(H321),H321&lt;G321),"Incohérent",IF('Paramètres'!$E$9="",IF(ISNUMBER(H321),"Répondue / cible absente","Sans réponse / cible absente"),IF(ISNUMBER(H321),IF(M321&lt;='Paramètres'!$E$9,"Dans le délai","Hors délai"),IF('Tableau de bord'!$F$5-G321&gt;'Paramètres'!$E$9,"Retard","En attente"))))))</x:f>
      </x:c>
      <x:c r="O321" s="9"/>
    </x:row>
    <x:row r="322" ht="23" customHeight="1">
      <x:c r="A322" s="9"/>
      <x:c r="B322" s="9"/>
      <x:c r="C322" s="9"/>
      <x:c r="D322" s="9"/>
      <x:c r="E322" s="9"/>
      <x:c r="F322" s="11"/>
      <x:c r="G322" s="11"/>
      <x:c r="H322" s="11"/>
      <x:c r="I322" s="9"/>
      <x:c r="J322" s="9"/>
      <x:c r="K322" s="9"/>
      <x:c r="L322" s="9"/>
      <x:c r="M322" s="12" t="str">
        <x:f>IF(A322="","",IF(AND(ISNUMBER(G322),ISNUMBER(H322)),H322-G322,""))</x:f>
      </x:c>
      <x:c r="N322" s="12" t="str">
        <x:f>IF(A322="","",IF(NOT(ISNUMBER(G322)),"Réception manquante",IF(AND(ISNUMBER(H322),H322&lt;G322),"Incohérent",IF('Paramètres'!$E$9="",IF(ISNUMBER(H322),"Répondue / cible absente","Sans réponse / cible absente"),IF(ISNUMBER(H322),IF(M322&lt;='Paramètres'!$E$9,"Dans le délai","Hors délai"),IF('Tableau de bord'!$F$5-G322&gt;'Paramètres'!$E$9,"Retard","En attente"))))))</x:f>
      </x:c>
      <x:c r="O322" s="9"/>
    </x:row>
    <x:row r="323" ht="23" customHeight="1">
      <x:c r="A323" s="9"/>
      <x:c r="B323" s="9"/>
      <x:c r="C323" s="9"/>
      <x:c r="D323" s="9"/>
      <x:c r="E323" s="9"/>
      <x:c r="F323" s="11"/>
      <x:c r="G323" s="11"/>
      <x:c r="H323" s="11"/>
      <x:c r="I323" s="9"/>
      <x:c r="J323" s="9"/>
      <x:c r="K323" s="9"/>
      <x:c r="L323" s="9"/>
      <x:c r="M323" s="12" t="str">
        <x:f>IF(A323="","",IF(AND(ISNUMBER(G323),ISNUMBER(H323)),H323-G323,""))</x:f>
      </x:c>
      <x:c r="N323" s="12" t="str">
        <x:f>IF(A323="","",IF(NOT(ISNUMBER(G323)),"Réception manquante",IF(AND(ISNUMBER(H323),H323&lt;G323),"Incohérent",IF('Paramètres'!$E$9="",IF(ISNUMBER(H323),"Répondue / cible absente","Sans réponse / cible absente"),IF(ISNUMBER(H323),IF(M323&lt;='Paramètres'!$E$9,"Dans le délai","Hors délai"),IF('Tableau de bord'!$F$5-G323&gt;'Paramètres'!$E$9,"Retard","En attente"))))))</x:f>
      </x:c>
      <x:c r="O323" s="9"/>
    </x:row>
    <x:row r="324" ht="23" customHeight="1">
      <x:c r="A324" s="9"/>
      <x:c r="B324" s="9"/>
      <x:c r="C324" s="9"/>
      <x:c r="D324" s="9"/>
      <x:c r="E324" s="9"/>
      <x:c r="F324" s="11"/>
      <x:c r="G324" s="11"/>
      <x:c r="H324" s="11"/>
      <x:c r="I324" s="9"/>
      <x:c r="J324" s="9"/>
      <x:c r="K324" s="9"/>
      <x:c r="L324" s="9"/>
      <x:c r="M324" s="12" t="str">
        <x:f>IF(A324="","",IF(AND(ISNUMBER(G324),ISNUMBER(H324)),H324-G324,""))</x:f>
      </x:c>
      <x:c r="N324" s="12" t="str">
        <x:f>IF(A324="","",IF(NOT(ISNUMBER(G324)),"Réception manquante",IF(AND(ISNUMBER(H324),H324&lt;G324),"Incohérent",IF('Paramètres'!$E$9="",IF(ISNUMBER(H324),"Répondue / cible absente","Sans réponse / cible absente"),IF(ISNUMBER(H324),IF(M324&lt;='Paramètres'!$E$9,"Dans le délai","Hors délai"),IF('Tableau de bord'!$F$5-G324&gt;'Paramètres'!$E$9,"Retard","En attente"))))))</x:f>
      </x:c>
      <x:c r="O324" s="9"/>
    </x:row>
    <x:row r="325" ht="23" customHeight="1">
      <x:c r="A325" s="9"/>
      <x:c r="B325" s="9"/>
      <x:c r="C325" s="9"/>
      <x:c r="D325" s="9"/>
      <x:c r="E325" s="9"/>
      <x:c r="F325" s="11"/>
      <x:c r="G325" s="11"/>
      <x:c r="H325" s="11"/>
      <x:c r="I325" s="9"/>
      <x:c r="J325" s="9"/>
      <x:c r="K325" s="9"/>
      <x:c r="L325" s="9"/>
      <x:c r="M325" s="12" t="str">
        <x:f>IF(A325="","",IF(AND(ISNUMBER(G325),ISNUMBER(H325)),H325-G325,""))</x:f>
      </x:c>
      <x:c r="N325" s="12" t="str">
        <x:f>IF(A325="","",IF(NOT(ISNUMBER(G325)),"Réception manquante",IF(AND(ISNUMBER(H325),H325&lt;G325),"Incohérent",IF('Paramètres'!$E$9="",IF(ISNUMBER(H325),"Répondue / cible absente","Sans réponse / cible absente"),IF(ISNUMBER(H325),IF(M325&lt;='Paramètres'!$E$9,"Dans le délai","Hors délai"),IF('Tableau de bord'!$F$5-G325&gt;'Paramètres'!$E$9,"Retard","En attente"))))))</x:f>
      </x:c>
      <x:c r="O325" s="9"/>
    </x:row>
    <x:row r="326" ht="23" customHeight="1">
      <x:c r="A326" s="9"/>
      <x:c r="B326" s="9"/>
      <x:c r="C326" s="9"/>
      <x:c r="D326" s="9"/>
      <x:c r="E326" s="9"/>
      <x:c r="F326" s="11"/>
      <x:c r="G326" s="11"/>
      <x:c r="H326" s="11"/>
      <x:c r="I326" s="9"/>
      <x:c r="J326" s="9"/>
      <x:c r="K326" s="9"/>
      <x:c r="L326" s="9"/>
      <x:c r="M326" s="12" t="str">
        <x:f>IF(A326="","",IF(AND(ISNUMBER(G326),ISNUMBER(H326)),H326-G326,""))</x:f>
      </x:c>
      <x:c r="N326" s="12" t="str">
        <x:f>IF(A326="","",IF(NOT(ISNUMBER(G326)),"Réception manquante",IF(AND(ISNUMBER(H326),H326&lt;G326),"Incohérent",IF('Paramètres'!$E$9="",IF(ISNUMBER(H326),"Répondue / cible absente","Sans réponse / cible absente"),IF(ISNUMBER(H326),IF(M326&lt;='Paramètres'!$E$9,"Dans le délai","Hors délai"),IF('Tableau de bord'!$F$5-G326&gt;'Paramètres'!$E$9,"Retard","En attente"))))))</x:f>
      </x:c>
      <x:c r="O326" s="9"/>
    </x:row>
    <x:row r="327" ht="23" customHeight="1">
      <x:c r="A327" s="9"/>
      <x:c r="B327" s="9"/>
      <x:c r="C327" s="9"/>
      <x:c r="D327" s="9"/>
      <x:c r="E327" s="9"/>
      <x:c r="F327" s="11"/>
      <x:c r="G327" s="11"/>
      <x:c r="H327" s="11"/>
      <x:c r="I327" s="9"/>
      <x:c r="J327" s="9"/>
      <x:c r="K327" s="9"/>
      <x:c r="L327" s="9"/>
      <x:c r="M327" s="12" t="str">
        <x:f>IF(A327="","",IF(AND(ISNUMBER(G327),ISNUMBER(H327)),H327-G327,""))</x:f>
      </x:c>
      <x:c r="N327" s="12" t="str">
        <x:f>IF(A327="","",IF(NOT(ISNUMBER(G327)),"Réception manquante",IF(AND(ISNUMBER(H327),H327&lt;G327),"Incohérent",IF('Paramètres'!$E$9="",IF(ISNUMBER(H327),"Répondue / cible absente","Sans réponse / cible absente"),IF(ISNUMBER(H327),IF(M327&lt;='Paramètres'!$E$9,"Dans le délai","Hors délai"),IF('Tableau de bord'!$F$5-G327&gt;'Paramètres'!$E$9,"Retard","En attente"))))))</x:f>
      </x:c>
      <x:c r="O327" s="9"/>
    </x:row>
    <x:row r="328" ht="23" customHeight="1">
      <x:c r="A328" s="9"/>
      <x:c r="B328" s="9"/>
      <x:c r="C328" s="9"/>
      <x:c r="D328" s="9"/>
      <x:c r="E328" s="9"/>
      <x:c r="F328" s="11"/>
      <x:c r="G328" s="11"/>
      <x:c r="H328" s="11"/>
      <x:c r="I328" s="9"/>
      <x:c r="J328" s="9"/>
      <x:c r="K328" s="9"/>
      <x:c r="L328" s="9"/>
      <x:c r="M328" s="12" t="str">
        <x:f>IF(A328="","",IF(AND(ISNUMBER(G328),ISNUMBER(H328)),H328-G328,""))</x:f>
      </x:c>
      <x:c r="N328" s="12" t="str">
        <x:f>IF(A328="","",IF(NOT(ISNUMBER(G328)),"Réception manquante",IF(AND(ISNUMBER(H328),H328&lt;G328),"Incohérent",IF('Paramètres'!$E$9="",IF(ISNUMBER(H328),"Répondue / cible absente","Sans réponse / cible absente"),IF(ISNUMBER(H328),IF(M328&lt;='Paramètres'!$E$9,"Dans le délai","Hors délai"),IF('Tableau de bord'!$F$5-G328&gt;'Paramètres'!$E$9,"Retard","En attente"))))))</x:f>
      </x:c>
      <x:c r="O328" s="9"/>
    </x:row>
    <x:row r="329" ht="23" customHeight="1">
      <x:c r="A329" s="9"/>
      <x:c r="B329" s="9"/>
      <x:c r="C329" s="9"/>
      <x:c r="D329" s="9"/>
      <x:c r="E329" s="9"/>
      <x:c r="F329" s="11"/>
      <x:c r="G329" s="11"/>
      <x:c r="H329" s="11"/>
      <x:c r="I329" s="9"/>
      <x:c r="J329" s="9"/>
      <x:c r="K329" s="9"/>
      <x:c r="L329" s="9"/>
      <x:c r="M329" s="12" t="str">
        <x:f>IF(A329="","",IF(AND(ISNUMBER(G329),ISNUMBER(H329)),H329-G329,""))</x:f>
      </x:c>
      <x:c r="N329" s="12" t="str">
        <x:f>IF(A329="","",IF(NOT(ISNUMBER(G329)),"Réception manquante",IF(AND(ISNUMBER(H329),H329&lt;G329),"Incohérent",IF('Paramètres'!$E$9="",IF(ISNUMBER(H329),"Répondue / cible absente","Sans réponse / cible absente"),IF(ISNUMBER(H329),IF(M329&lt;='Paramètres'!$E$9,"Dans le délai","Hors délai"),IF('Tableau de bord'!$F$5-G329&gt;'Paramètres'!$E$9,"Retard","En attente"))))))</x:f>
      </x:c>
      <x:c r="O329" s="9"/>
    </x:row>
    <x:row r="330" ht="23" customHeight="1">
      <x:c r="A330" s="9"/>
      <x:c r="B330" s="9"/>
      <x:c r="C330" s="9"/>
      <x:c r="D330" s="9"/>
      <x:c r="E330" s="9"/>
      <x:c r="F330" s="11"/>
      <x:c r="G330" s="11"/>
      <x:c r="H330" s="11"/>
      <x:c r="I330" s="9"/>
      <x:c r="J330" s="9"/>
      <x:c r="K330" s="9"/>
      <x:c r="L330" s="9"/>
      <x:c r="M330" s="12" t="str">
        <x:f>IF(A330="","",IF(AND(ISNUMBER(G330),ISNUMBER(H330)),H330-G330,""))</x:f>
      </x:c>
      <x:c r="N330" s="12" t="str">
        <x:f>IF(A330="","",IF(NOT(ISNUMBER(G330)),"Réception manquante",IF(AND(ISNUMBER(H330),H330&lt;G330),"Incohérent",IF('Paramètres'!$E$9="",IF(ISNUMBER(H330),"Répondue / cible absente","Sans réponse / cible absente"),IF(ISNUMBER(H330),IF(M330&lt;='Paramètres'!$E$9,"Dans le délai","Hors délai"),IF('Tableau de bord'!$F$5-G330&gt;'Paramètres'!$E$9,"Retard","En attente"))))))</x:f>
      </x:c>
      <x:c r="O330" s="9"/>
    </x:row>
    <x:row r="331" ht="23" customHeight="1">
      <x:c r="A331" s="9"/>
      <x:c r="B331" s="9"/>
      <x:c r="C331" s="9"/>
      <x:c r="D331" s="9"/>
      <x:c r="E331" s="9"/>
      <x:c r="F331" s="11"/>
      <x:c r="G331" s="11"/>
      <x:c r="H331" s="11"/>
      <x:c r="I331" s="9"/>
      <x:c r="J331" s="9"/>
      <x:c r="K331" s="9"/>
      <x:c r="L331" s="9"/>
      <x:c r="M331" s="12" t="str">
        <x:f>IF(A331="","",IF(AND(ISNUMBER(G331),ISNUMBER(H331)),H331-G331,""))</x:f>
      </x:c>
      <x:c r="N331" s="12" t="str">
        <x:f>IF(A331="","",IF(NOT(ISNUMBER(G331)),"Réception manquante",IF(AND(ISNUMBER(H331),H331&lt;G331),"Incohérent",IF('Paramètres'!$E$9="",IF(ISNUMBER(H331),"Répondue / cible absente","Sans réponse / cible absente"),IF(ISNUMBER(H331),IF(M331&lt;='Paramètres'!$E$9,"Dans le délai","Hors délai"),IF('Tableau de bord'!$F$5-G331&gt;'Paramètres'!$E$9,"Retard","En attente"))))))</x:f>
      </x:c>
      <x:c r="O331" s="9"/>
    </x:row>
    <x:row r="332" ht="23" customHeight="1">
      <x:c r="A332" s="9"/>
      <x:c r="B332" s="9"/>
      <x:c r="C332" s="9"/>
      <x:c r="D332" s="9"/>
      <x:c r="E332" s="9"/>
      <x:c r="F332" s="11"/>
      <x:c r="G332" s="11"/>
      <x:c r="H332" s="11"/>
      <x:c r="I332" s="9"/>
      <x:c r="J332" s="9"/>
      <x:c r="K332" s="9"/>
      <x:c r="L332" s="9"/>
      <x:c r="M332" s="12" t="str">
        <x:f>IF(A332="","",IF(AND(ISNUMBER(G332),ISNUMBER(H332)),H332-G332,""))</x:f>
      </x:c>
      <x:c r="N332" s="12" t="str">
        <x:f>IF(A332="","",IF(NOT(ISNUMBER(G332)),"Réception manquante",IF(AND(ISNUMBER(H332),H332&lt;G332),"Incohérent",IF('Paramètres'!$E$9="",IF(ISNUMBER(H332),"Répondue / cible absente","Sans réponse / cible absente"),IF(ISNUMBER(H332),IF(M332&lt;='Paramètres'!$E$9,"Dans le délai","Hors délai"),IF('Tableau de bord'!$F$5-G332&gt;'Paramètres'!$E$9,"Retard","En attente"))))))</x:f>
      </x:c>
      <x:c r="O332" s="9"/>
    </x:row>
    <x:row r="333" ht="23" customHeight="1">
      <x:c r="A333" s="9"/>
      <x:c r="B333" s="9"/>
      <x:c r="C333" s="9"/>
      <x:c r="D333" s="9"/>
      <x:c r="E333" s="9"/>
      <x:c r="F333" s="11"/>
      <x:c r="G333" s="11"/>
      <x:c r="H333" s="11"/>
      <x:c r="I333" s="9"/>
      <x:c r="J333" s="9"/>
      <x:c r="K333" s="9"/>
      <x:c r="L333" s="9"/>
      <x:c r="M333" s="12" t="str">
        <x:f>IF(A333="","",IF(AND(ISNUMBER(G333),ISNUMBER(H333)),H333-G333,""))</x:f>
      </x:c>
      <x:c r="N333" s="12" t="str">
        <x:f>IF(A333="","",IF(NOT(ISNUMBER(G333)),"Réception manquante",IF(AND(ISNUMBER(H333),H333&lt;G333),"Incohérent",IF('Paramètres'!$E$9="",IF(ISNUMBER(H333),"Répondue / cible absente","Sans réponse / cible absente"),IF(ISNUMBER(H333),IF(M333&lt;='Paramètres'!$E$9,"Dans le délai","Hors délai"),IF('Tableau de bord'!$F$5-G333&gt;'Paramètres'!$E$9,"Retard","En attente"))))))</x:f>
      </x:c>
      <x:c r="O333" s="9"/>
    </x:row>
    <x:row r="334" ht="23" customHeight="1">
      <x:c r="A334" s="9"/>
      <x:c r="B334" s="9"/>
      <x:c r="C334" s="9"/>
      <x:c r="D334" s="9"/>
      <x:c r="E334" s="9"/>
      <x:c r="F334" s="11"/>
      <x:c r="G334" s="11"/>
      <x:c r="H334" s="11"/>
      <x:c r="I334" s="9"/>
      <x:c r="J334" s="9"/>
      <x:c r="K334" s="9"/>
      <x:c r="L334" s="9"/>
      <x:c r="M334" s="12" t="str">
        <x:f>IF(A334="","",IF(AND(ISNUMBER(G334),ISNUMBER(H334)),H334-G334,""))</x:f>
      </x:c>
      <x:c r="N334" s="12" t="str">
        <x:f>IF(A334="","",IF(NOT(ISNUMBER(G334)),"Réception manquante",IF(AND(ISNUMBER(H334),H334&lt;G334),"Incohérent",IF('Paramètres'!$E$9="",IF(ISNUMBER(H334),"Répondue / cible absente","Sans réponse / cible absente"),IF(ISNUMBER(H334),IF(M334&lt;='Paramètres'!$E$9,"Dans le délai","Hors délai"),IF('Tableau de bord'!$F$5-G334&gt;'Paramètres'!$E$9,"Retard","En attente"))))))</x:f>
      </x:c>
      <x:c r="O334" s="9"/>
    </x:row>
    <x:row r="335" ht="23" customHeight="1">
      <x:c r="A335" s="9"/>
      <x:c r="B335" s="9"/>
      <x:c r="C335" s="9"/>
      <x:c r="D335" s="9"/>
      <x:c r="E335" s="9"/>
      <x:c r="F335" s="11"/>
      <x:c r="G335" s="11"/>
      <x:c r="H335" s="11"/>
      <x:c r="I335" s="9"/>
      <x:c r="J335" s="9"/>
      <x:c r="K335" s="9"/>
      <x:c r="L335" s="9"/>
      <x:c r="M335" s="12" t="str">
        <x:f>IF(A335="","",IF(AND(ISNUMBER(G335),ISNUMBER(H335)),H335-G335,""))</x:f>
      </x:c>
      <x:c r="N335" s="12" t="str">
        <x:f>IF(A335="","",IF(NOT(ISNUMBER(G335)),"Réception manquante",IF(AND(ISNUMBER(H335),H335&lt;G335),"Incohérent",IF('Paramètres'!$E$9="",IF(ISNUMBER(H335),"Répondue / cible absente","Sans réponse / cible absente"),IF(ISNUMBER(H335),IF(M335&lt;='Paramètres'!$E$9,"Dans le délai","Hors délai"),IF('Tableau de bord'!$F$5-G335&gt;'Paramètres'!$E$9,"Retard","En attente"))))))</x:f>
      </x:c>
      <x:c r="O335" s="9"/>
    </x:row>
    <x:row r="336" ht="23" customHeight="1">
      <x:c r="A336" s="9"/>
      <x:c r="B336" s="9"/>
      <x:c r="C336" s="9"/>
      <x:c r="D336" s="9"/>
      <x:c r="E336" s="9"/>
      <x:c r="F336" s="11"/>
      <x:c r="G336" s="11"/>
      <x:c r="H336" s="11"/>
      <x:c r="I336" s="9"/>
      <x:c r="J336" s="9"/>
      <x:c r="K336" s="9"/>
      <x:c r="L336" s="9"/>
      <x:c r="M336" s="12" t="str">
        <x:f>IF(A336="","",IF(AND(ISNUMBER(G336),ISNUMBER(H336)),H336-G336,""))</x:f>
      </x:c>
      <x:c r="N336" s="12" t="str">
        <x:f>IF(A336="","",IF(NOT(ISNUMBER(G336)),"Réception manquante",IF(AND(ISNUMBER(H336),H336&lt;G336),"Incohérent",IF('Paramètres'!$E$9="",IF(ISNUMBER(H336),"Répondue / cible absente","Sans réponse / cible absente"),IF(ISNUMBER(H336),IF(M336&lt;='Paramètres'!$E$9,"Dans le délai","Hors délai"),IF('Tableau de bord'!$F$5-G336&gt;'Paramètres'!$E$9,"Retard","En attente"))))))</x:f>
      </x:c>
      <x:c r="O336" s="9"/>
    </x:row>
    <x:row r="337" ht="23" customHeight="1">
      <x:c r="A337" s="9"/>
      <x:c r="B337" s="9"/>
      <x:c r="C337" s="9"/>
      <x:c r="D337" s="9"/>
      <x:c r="E337" s="9"/>
      <x:c r="F337" s="11"/>
      <x:c r="G337" s="11"/>
      <x:c r="H337" s="11"/>
      <x:c r="I337" s="9"/>
      <x:c r="J337" s="9"/>
      <x:c r="K337" s="9"/>
      <x:c r="L337" s="9"/>
      <x:c r="M337" s="12" t="str">
        <x:f>IF(A337="","",IF(AND(ISNUMBER(G337),ISNUMBER(H337)),H337-G337,""))</x:f>
      </x:c>
      <x:c r="N337" s="12" t="str">
        <x:f>IF(A337="","",IF(NOT(ISNUMBER(G337)),"Réception manquante",IF(AND(ISNUMBER(H337),H337&lt;G337),"Incohérent",IF('Paramètres'!$E$9="",IF(ISNUMBER(H337),"Répondue / cible absente","Sans réponse / cible absente"),IF(ISNUMBER(H337),IF(M337&lt;='Paramètres'!$E$9,"Dans le délai","Hors délai"),IF('Tableau de bord'!$F$5-G337&gt;'Paramètres'!$E$9,"Retard","En attente"))))))</x:f>
      </x:c>
      <x:c r="O337" s="9"/>
    </x:row>
    <x:row r="338" ht="23" customHeight="1">
      <x:c r="A338" s="9"/>
      <x:c r="B338" s="9"/>
      <x:c r="C338" s="9"/>
      <x:c r="D338" s="9"/>
      <x:c r="E338" s="9"/>
      <x:c r="F338" s="11"/>
      <x:c r="G338" s="11"/>
      <x:c r="H338" s="11"/>
      <x:c r="I338" s="9"/>
      <x:c r="J338" s="9"/>
      <x:c r="K338" s="9"/>
      <x:c r="L338" s="9"/>
      <x:c r="M338" s="12" t="str">
        <x:f>IF(A338="","",IF(AND(ISNUMBER(G338),ISNUMBER(H338)),H338-G338,""))</x:f>
      </x:c>
      <x:c r="N338" s="12" t="str">
        <x:f>IF(A338="","",IF(NOT(ISNUMBER(G338)),"Réception manquante",IF(AND(ISNUMBER(H338),H338&lt;G338),"Incohérent",IF('Paramètres'!$E$9="",IF(ISNUMBER(H338),"Répondue / cible absente","Sans réponse / cible absente"),IF(ISNUMBER(H338),IF(M338&lt;='Paramètres'!$E$9,"Dans le délai","Hors délai"),IF('Tableau de bord'!$F$5-G338&gt;'Paramètres'!$E$9,"Retard","En attente"))))))</x:f>
      </x:c>
      <x:c r="O338" s="9"/>
    </x:row>
    <x:row r="339" ht="23" customHeight="1">
      <x:c r="A339" s="9"/>
      <x:c r="B339" s="9"/>
      <x:c r="C339" s="9"/>
      <x:c r="D339" s="9"/>
      <x:c r="E339" s="9"/>
      <x:c r="F339" s="11"/>
      <x:c r="G339" s="11"/>
      <x:c r="H339" s="11"/>
      <x:c r="I339" s="9"/>
      <x:c r="J339" s="9"/>
      <x:c r="K339" s="9"/>
      <x:c r="L339" s="9"/>
      <x:c r="M339" s="12" t="str">
        <x:f>IF(A339="","",IF(AND(ISNUMBER(G339),ISNUMBER(H339)),H339-G339,""))</x:f>
      </x:c>
      <x:c r="N339" s="12" t="str">
        <x:f>IF(A339="","",IF(NOT(ISNUMBER(G339)),"Réception manquante",IF(AND(ISNUMBER(H339),H339&lt;G339),"Incohérent",IF('Paramètres'!$E$9="",IF(ISNUMBER(H339),"Répondue / cible absente","Sans réponse / cible absente"),IF(ISNUMBER(H339),IF(M339&lt;='Paramètres'!$E$9,"Dans le délai","Hors délai"),IF('Tableau de bord'!$F$5-G339&gt;'Paramètres'!$E$9,"Retard","En attente"))))))</x:f>
      </x:c>
      <x:c r="O339" s="9"/>
    </x:row>
    <x:row r="340" ht="23" customHeight="1">
      <x:c r="A340" s="9"/>
      <x:c r="B340" s="9"/>
      <x:c r="C340" s="9"/>
      <x:c r="D340" s="9"/>
      <x:c r="E340" s="9"/>
      <x:c r="F340" s="11"/>
      <x:c r="G340" s="11"/>
      <x:c r="H340" s="11"/>
      <x:c r="I340" s="9"/>
      <x:c r="J340" s="9"/>
      <x:c r="K340" s="9"/>
      <x:c r="L340" s="9"/>
      <x:c r="M340" s="12" t="str">
        <x:f>IF(A340="","",IF(AND(ISNUMBER(G340),ISNUMBER(H340)),H340-G340,""))</x:f>
      </x:c>
      <x:c r="N340" s="12" t="str">
        <x:f>IF(A340="","",IF(NOT(ISNUMBER(G340)),"Réception manquante",IF(AND(ISNUMBER(H340),H340&lt;G340),"Incohérent",IF('Paramètres'!$E$9="",IF(ISNUMBER(H340),"Répondue / cible absente","Sans réponse / cible absente"),IF(ISNUMBER(H340),IF(M340&lt;='Paramètres'!$E$9,"Dans le délai","Hors délai"),IF('Tableau de bord'!$F$5-G340&gt;'Paramètres'!$E$9,"Retard","En attente"))))))</x:f>
      </x:c>
      <x:c r="O340" s="9"/>
    </x:row>
    <x:row r="341" ht="23" customHeight="1">
      <x:c r="A341" s="9"/>
      <x:c r="B341" s="9"/>
      <x:c r="C341" s="9"/>
      <x:c r="D341" s="9"/>
      <x:c r="E341" s="9"/>
      <x:c r="F341" s="11"/>
      <x:c r="G341" s="11"/>
      <x:c r="H341" s="11"/>
      <x:c r="I341" s="9"/>
      <x:c r="J341" s="9"/>
      <x:c r="K341" s="9"/>
      <x:c r="L341" s="9"/>
      <x:c r="M341" s="12" t="str">
        <x:f>IF(A341="","",IF(AND(ISNUMBER(G341),ISNUMBER(H341)),H341-G341,""))</x:f>
      </x:c>
      <x:c r="N341" s="12" t="str">
        <x:f>IF(A341="","",IF(NOT(ISNUMBER(G341)),"Réception manquante",IF(AND(ISNUMBER(H341),H341&lt;G341),"Incohérent",IF('Paramètres'!$E$9="",IF(ISNUMBER(H341),"Répondue / cible absente","Sans réponse / cible absente"),IF(ISNUMBER(H341),IF(M341&lt;='Paramètres'!$E$9,"Dans le délai","Hors délai"),IF('Tableau de bord'!$F$5-G341&gt;'Paramètres'!$E$9,"Retard","En attente"))))))</x:f>
      </x:c>
      <x:c r="O341" s="9"/>
    </x:row>
    <x:row r="342" ht="23" customHeight="1">
      <x:c r="A342" s="9"/>
      <x:c r="B342" s="9"/>
      <x:c r="C342" s="9"/>
      <x:c r="D342" s="9"/>
      <x:c r="E342" s="9"/>
      <x:c r="F342" s="11"/>
      <x:c r="G342" s="11"/>
      <x:c r="H342" s="11"/>
      <x:c r="I342" s="9"/>
      <x:c r="J342" s="9"/>
      <x:c r="K342" s="9"/>
      <x:c r="L342" s="9"/>
      <x:c r="M342" s="12" t="str">
        <x:f>IF(A342="","",IF(AND(ISNUMBER(G342),ISNUMBER(H342)),H342-G342,""))</x:f>
      </x:c>
      <x:c r="N342" s="12" t="str">
        <x:f>IF(A342="","",IF(NOT(ISNUMBER(G342)),"Réception manquante",IF(AND(ISNUMBER(H342),H342&lt;G342),"Incohérent",IF('Paramètres'!$E$9="",IF(ISNUMBER(H342),"Répondue / cible absente","Sans réponse / cible absente"),IF(ISNUMBER(H342),IF(M342&lt;='Paramètres'!$E$9,"Dans le délai","Hors délai"),IF('Tableau de bord'!$F$5-G342&gt;'Paramètres'!$E$9,"Retard","En attente"))))))</x:f>
      </x:c>
      <x:c r="O342" s="9"/>
    </x:row>
    <x:row r="343" ht="23" customHeight="1">
      <x:c r="A343" s="9"/>
      <x:c r="B343" s="9"/>
      <x:c r="C343" s="9"/>
      <x:c r="D343" s="9"/>
      <x:c r="E343" s="9"/>
      <x:c r="F343" s="11"/>
      <x:c r="G343" s="11"/>
      <x:c r="H343" s="11"/>
      <x:c r="I343" s="9"/>
      <x:c r="J343" s="9"/>
      <x:c r="K343" s="9"/>
      <x:c r="L343" s="9"/>
      <x:c r="M343" s="12" t="str">
        <x:f>IF(A343="","",IF(AND(ISNUMBER(G343),ISNUMBER(H343)),H343-G343,""))</x:f>
      </x:c>
      <x:c r="N343" s="12" t="str">
        <x:f>IF(A343="","",IF(NOT(ISNUMBER(G343)),"Réception manquante",IF(AND(ISNUMBER(H343),H343&lt;G343),"Incohérent",IF('Paramètres'!$E$9="",IF(ISNUMBER(H343),"Répondue / cible absente","Sans réponse / cible absente"),IF(ISNUMBER(H343),IF(M343&lt;='Paramètres'!$E$9,"Dans le délai","Hors délai"),IF('Tableau de bord'!$F$5-G343&gt;'Paramètres'!$E$9,"Retard","En attente"))))))</x:f>
      </x:c>
      <x:c r="O343" s="9"/>
    </x:row>
    <x:row r="344" ht="23" customHeight="1">
      <x:c r="A344" s="9"/>
      <x:c r="B344" s="9"/>
      <x:c r="C344" s="9"/>
      <x:c r="D344" s="9"/>
      <x:c r="E344" s="9"/>
      <x:c r="F344" s="11"/>
      <x:c r="G344" s="11"/>
      <x:c r="H344" s="11"/>
      <x:c r="I344" s="9"/>
      <x:c r="J344" s="9"/>
      <x:c r="K344" s="9"/>
      <x:c r="L344" s="9"/>
      <x:c r="M344" s="12" t="str">
        <x:f>IF(A344="","",IF(AND(ISNUMBER(G344),ISNUMBER(H344)),H344-G344,""))</x:f>
      </x:c>
      <x:c r="N344" s="12" t="str">
        <x:f>IF(A344="","",IF(NOT(ISNUMBER(G344)),"Réception manquante",IF(AND(ISNUMBER(H344),H344&lt;G344),"Incohérent",IF('Paramètres'!$E$9="",IF(ISNUMBER(H344),"Répondue / cible absente","Sans réponse / cible absente"),IF(ISNUMBER(H344),IF(M344&lt;='Paramètres'!$E$9,"Dans le délai","Hors délai"),IF('Tableau de bord'!$F$5-G344&gt;'Paramètres'!$E$9,"Retard","En attente"))))))</x:f>
      </x:c>
      <x:c r="O344" s="9"/>
    </x:row>
    <x:row r="345" ht="23" customHeight="1">
      <x:c r="A345" s="9"/>
      <x:c r="B345" s="9"/>
      <x:c r="C345" s="9"/>
      <x:c r="D345" s="9"/>
      <x:c r="E345" s="9"/>
      <x:c r="F345" s="11"/>
      <x:c r="G345" s="11"/>
      <x:c r="H345" s="11"/>
      <x:c r="I345" s="9"/>
      <x:c r="J345" s="9"/>
      <x:c r="K345" s="9"/>
      <x:c r="L345" s="9"/>
      <x:c r="M345" s="12" t="str">
        <x:f>IF(A345="","",IF(AND(ISNUMBER(G345),ISNUMBER(H345)),H345-G345,""))</x:f>
      </x:c>
      <x:c r="N345" s="12" t="str">
        <x:f>IF(A345="","",IF(NOT(ISNUMBER(G345)),"Réception manquante",IF(AND(ISNUMBER(H345),H345&lt;G345),"Incohérent",IF('Paramètres'!$E$9="",IF(ISNUMBER(H345),"Répondue / cible absente","Sans réponse / cible absente"),IF(ISNUMBER(H345),IF(M345&lt;='Paramètres'!$E$9,"Dans le délai","Hors délai"),IF('Tableau de bord'!$F$5-G345&gt;'Paramètres'!$E$9,"Retard","En attente"))))))</x:f>
      </x:c>
      <x:c r="O345" s="9"/>
    </x:row>
    <x:row r="346" ht="23" customHeight="1">
      <x:c r="A346" s="9"/>
      <x:c r="B346" s="9"/>
      <x:c r="C346" s="9"/>
      <x:c r="D346" s="9"/>
      <x:c r="E346" s="9"/>
      <x:c r="F346" s="11"/>
      <x:c r="G346" s="11"/>
      <x:c r="H346" s="11"/>
      <x:c r="I346" s="9"/>
      <x:c r="J346" s="9"/>
      <x:c r="K346" s="9"/>
      <x:c r="L346" s="9"/>
      <x:c r="M346" s="12" t="str">
        <x:f>IF(A346="","",IF(AND(ISNUMBER(G346),ISNUMBER(H346)),H346-G346,""))</x:f>
      </x:c>
      <x:c r="N346" s="12" t="str">
        <x:f>IF(A346="","",IF(NOT(ISNUMBER(G346)),"Réception manquante",IF(AND(ISNUMBER(H346),H346&lt;G346),"Incohérent",IF('Paramètres'!$E$9="",IF(ISNUMBER(H346),"Répondue / cible absente","Sans réponse / cible absente"),IF(ISNUMBER(H346),IF(M346&lt;='Paramètres'!$E$9,"Dans le délai","Hors délai"),IF('Tableau de bord'!$F$5-G346&gt;'Paramètres'!$E$9,"Retard","En attente"))))))</x:f>
      </x:c>
      <x:c r="O346" s="9"/>
    </x:row>
    <x:row r="347" ht="23" customHeight="1">
      <x:c r="A347" s="9"/>
      <x:c r="B347" s="9"/>
      <x:c r="C347" s="9"/>
      <x:c r="D347" s="9"/>
      <x:c r="E347" s="9"/>
      <x:c r="F347" s="11"/>
      <x:c r="G347" s="11"/>
      <x:c r="H347" s="11"/>
      <x:c r="I347" s="9"/>
      <x:c r="J347" s="9"/>
      <x:c r="K347" s="9"/>
      <x:c r="L347" s="9"/>
      <x:c r="M347" s="12" t="str">
        <x:f>IF(A347="","",IF(AND(ISNUMBER(G347),ISNUMBER(H347)),H347-G347,""))</x:f>
      </x:c>
      <x:c r="N347" s="12" t="str">
        <x:f>IF(A347="","",IF(NOT(ISNUMBER(G347)),"Réception manquante",IF(AND(ISNUMBER(H347),H347&lt;G347),"Incohérent",IF('Paramètres'!$E$9="",IF(ISNUMBER(H347),"Répondue / cible absente","Sans réponse / cible absente"),IF(ISNUMBER(H347),IF(M347&lt;='Paramètres'!$E$9,"Dans le délai","Hors délai"),IF('Tableau de bord'!$F$5-G347&gt;'Paramètres'!$E$9,"Retard","En attente"))))))</x:f>
      </x:c>
      <x:c r="O347" s="9"/>
    </x:row>
    <x:row r="348" ht="23" customHeight="1">
      <x:c r="A348" s="9"/>
      <x:c r="B348" s="9"/>
      <x:c r="C348" s="9"/>
      <x:c r="D348" s="9"/>
      <x:c r="E348" s="9"/>
      <x:c r="F348" s="11"/>
      <x:c r="G348" s="11"/>
      <x:c r="H348" s="11"/>
      <x:c r="I348" s="9"/>
      <x:c r="J348" s="9"/>
      <x:c r="K348" s="9"/>
      <x:c r="L348" s="9"/>
      <x:c r="M348" s="12" t="str">
        <x:f>IF(A348="","",IF(AND(ISNUMBER(G348),ISNUMBER(H348)),H348-G348,""))</x:f>
      </x:c>
      <x:c r="N348" s="12" t="str">
        <x:f>IF(A348="","",IF(NOT(ISNUMBER(G348)),"Réception manquante",IF(AND(ISNUMBER(H348),H348&lt;G348),"Incohérent",IF('Paramètres'!$E$9="",IF(ISNUMBER(H348),"Répondue / cible absente","Sans réponse / cible absente"),IF(ISNUMBER(H348),IF(M348&lt;='Paramètres'!$E$9,"Dans le délai","Hors délai"),IF('Tableau de bord'!$F$5-G348&gt;'Paramètres'!$E$9,"Retard","En attente"))))))</x:f>
      </x:c>
      <x:c r="O348" s="9"/>
    </x:row>
    <x:row r="349" ht="23" customHeight="1">
      <x:c r="A349" s="9"/>
      <x:c r="B349" s="9"/>
      <x:c r="C349" s="9"/>
      <x:c r="D349" s="9"/>
      <x:c r="E349" s="9"/>
      <x:c r="F349" s="11"/>
      <x:c r="G349" s="11"/>
      <x:c r="H349" s="11"/>
      <x:c r="I349" s="9"/>
      <x:c r="J349" s="9"/>
      <x:c r="K349" s="9"/>
      <x:c r="L349" s="9"/>
      <x:c r="M349" s="12" t="str">
        <x:f>IF(A349="","",IF(AND(ISNUMBER(G349),ISNUMBER(H349)),H349-G349,""))</x:f>
      </x:c>
      <x:c r="N349" s="12" t="str">
        <x:f>IF(A349="","",IF(NOT(ISNUMBER(G349)),"Réception manquante",IF(AND(ISNUMBER(H349),H349&lt;G349),"Incohérent",IF('Paramètres'!$E$9="",IF(ISNUMBER(H349),"Répondue / cible absente","Sans réponse / cible absente"),IF(ISNUMBER(H349),IF(M349&lt;='Paramètres'!$E$9,"Dans le délai","Hors délai"),IF('Tableau de bord'!$F$5-G349&gt;'Paramètres'!$E$9,"Retard","En attente"))))))</x:f>
      </x:c>
      <x:c r="O349" s="9"/>
    </x:row>
    <x:row r="350" ht="23" customHeight="1">
      <x:c r="A350" s="9"/>
      <x:c r="B350" s="9"/>
      <x:c r="C350" s="9"/>
      <x:c r="D350" s="9"/>
      <x:c r="E350" s="9"/>
      <x:c r="F350" s="11"/>
      <x:c r="G350" s="11"/>
      <x:c r="H350" s="11"/>
      <x:c r="I350" s="9"/>
      <x:c r="J350" s="9"/>
      <x:c r="K350" s="9"/>
      <x:c r="L350" s="9"/>
      <x:c r="M350" s="12" t="str">
        <x:f>IF(A350="","",IF(AND(ISNUMBER(G350),ISNUMBER(H350)),H350-G350,""))</x:f>
      </x:c>
      <x:c r="N350" s="12" t="str">
        <x:f>IF(A350="","",IF(NOT(ISNUMBER(G350)),"Réception manquante",IF(AND(ISNUMBER(H350),H350&lt;G350),"Incohérent",IF('Paramètres'!$E$9="",IF(ISNUMBER(H350),"Répondue / cible absente","Sans réponse / cible absente"),IF(ISNUMBER(H350),IF(M350&lt;='Paramètres'!$E$9,"Dans le délai","Hors délai"),IF('Tableau de bord'!$F$5-G350&gt;'Paramètres'!$E$9,"Retard","En attente"))))))</x:f>
      </x:c>
      <x:c r="O350" s="9"/>
    </x:row>
    <x:row r="351" ht="23" customHeight="1">
      <x:c r="A351" s="9"/>
      <x:c r="B351" s="9"/>
      <x:c r="C351" s="9"/>
      <x:c r="D351" s="9"/>
      <x:c r="E351" s="9"/>
      <x:c r="F351" s="11"/>
      <x:c r="G351" s="11"/>
      <x:c r="H351" s="11"/>
      <x:c r="I351" s="9"/>
      <x:c r="J351" s="9"/>
      <x:c r="K351" s="9"/>
      <x:c r="L351" s="9"/>
      <x:c r="M351" s="12" t="str">
        <x:f>IF(A351="","",IF(AND(ISNUMBER(G351),ISNUMBER(H351)),H351-G351,""))</x:f>
      </x:c>
      <x:c r="N351" s="12" t="str">
        <x:f>IF(A351="","",IF(NOT(ISNUMBER(G351)),"Réception manquante",IF(AND(ISNUMBER(H351),H351&lt;G351),"Incohérent",IF('Paramètres'!$E$9="",IF(ISNUMBER(H351),"Répondue / cible absente","Sans réponse / cible absente"),IF(ISNUMBER(H351),IF(M351&lt;='Paramètres'!$E$9,"Dans le délai","Hors délai"),IF('Tableau de bord'!$F$5-G351&gt;'Paramètres'!$E$9,"Retard","En attente"))))))</x:f>
      </x:c>
      <x:c r="O351" s="9"/>
    </x:row>
    <x:row r="352" ht="23" customHeight="1">
      <x:c r="A352" s="9"/>
      <x:c r="B352" s="9"/>
      <x:c r="C352" s="9"/>
      <x:c r="D352" s="9"/>
      <x:c r="E352" s="9"/>
      <x:c r="F352" s="11"/>
      <x:c r="G352" s="11"/>
      <x:c r="H352" s="11"/>
      <x:c r="I352" s="9"/>
      <x:c r="J352" s="9"/>
      <x:c r="K352" s="9"/>
      <x:c r="L352" s="9"/>
      <x:c r="M352" s="12" t="str">
        <x:f>IF(A352="","",IF(AND(ISNUMBER(G352),ISNUMBER(H352)),H352-G352,""))</x:f>
      </x:c>
      <x:c r="N352" s="12" t="str">
        <x:f>IF(A352="","",IF(NOT(ISNUMBER(G352)),"Réception manquante",IF(AND(ISNUMBER(H352),H352&lt;G352),"Incohérent",IF('Paramètres'!$E$9="",IF(ISNUMBER(H352),"Répondue / cible absente","Sans réponse / cible absente"),IF(ISNUMBER(H352),IF(M352&lt;='Paramètres'!$E$9,"Dans le délai","Hors délai"),IF('Tableau de bord'!$F$5-G352&gt;'Paramètres'!$E$9,"Retard","En attente"))))))</x:f>
      </x:c>
      <x:c r="O352" s="9"/>
    </x:row>
    <x:row r="353" ht="23" customHeight="1">
      <x:c r="A353" s="9"/>
      <x:c r="B353" s="9"/>
      <x:c r="C353" s="9"/>
      <x:c r="D353" s="9"/>
      <x:c r="E353" s="9"/>
      <x:c r="F353" s="11"/>
      <x:c r="G353" s="11"/>
      <x:c r="H353" s="11"/>
      <x:c r="I353" s="9"/>
      <x:c r="J353" s="9"/>
      <x:c r="K353" s="9"/>
      <x:c r="L353" s="9"/>
      <x:c r="M353" s="12" t="str">
        <x:f>IF(A353="","",IF(AND(ISNUMBER(G353),ISNUMBER(H353)),H353-G353,""))</x:f>
      </x:c>
      <x:c r="N353" s="12" t="str">
        <x:f>IF(A353="","",IF(NOT(ISNUMBER(G353)),"Réception manquante",IF(AND(ISNUMBER(H353),H353&lt;G353),"Incohérent",IF('Paramètres'!$E$9="",IF(ISNUMBER(H353),"Répondue / cible absente","Sans réponse / cible absente"),IF(ISNUMBER(H353),IF(M353&lt;='Paramètres'!$E$9,"Dans le délai","Hors délai"),IF('Tableau de bord'!$F$5-G353&gt;'Paramètres'!$E$9,"Retard","En attente"))))))</x:f>
      </x:c>
      <x:c r="O353" s="9"/>
    </x:row>
    <x:row r="354" ht="23" customHeight="1">
      <x:c r="A354" s="9"/>
      <x:c r="B354" s="9"/>
      <x:c r="C354" s="9"/>
      <x:c r="D354" s="9"/>
      <x:c r="E354" s="9"/>
      <x:c r="F354" s="11"/>
      <x:c r="G354" s="11"/>
      <x:c r="H354" s="11"/>
      <x:c r="I354" s="9"/>
      <x:c r="J354" s="9"/>
      <x:c r="K354" s="9"/>
      <x:c r="L354" s="9"/>
      <x:c r="M354" s="12" t="str">
        <x:f>IF(A354="","",IF(AND(ISNUMBER(G354),ISNUMBER(H354)),H354-G354,""))</x:f>
      </x:c>
      <x:c r="N354" s="12" t="str">
        <x:f>IF(A354="","",IF(NOT(ISNUMBER(G354)),"Réception manquante",IF(AND(ISNUMBER(H354),H354&lt;G354),"Incohérent",IF('Paramètres'!$E$9="",IF(ISNUMBER(H354),"Répondue / cible absente","Sans réponse / cible absente"),IF(ISNUMBER(H354),IF(M354&lt;='Paramètres'!$E$9,"Dans le délai","Hors délai"),IF('Tableau de bord'!$F$5-G354&gt;'Paramètres'!$E$9,"Retard","En attente"))))))</x:f>
      </x:c>
      <x:c r="O354" s="9"/>
    </x:row>
    <x:row r="355" ht="23" customHeight="1">
      <x:c r="A355" s="9"/>
      <x:c r="B355" s="9"/>
      <x:c r="C355" s="9"/>
      <x:c r="D355" s="9"/>
      <x:c r="E355" s="9"/>
      <x:c r="F355" s="11"/>
      <x:c r="G355" s="11"/>
      <x:c r="H355" s="11"/>
      <x:c r="I355" s="9"/>
      <x:c r="J355" s="9"/>
      <x:c r="K355" s="9"/>
      <x:c r="L355" s="9"/>
      <x:c r="M355" s="12" t="str">
        <x:f>IF(A355="","",IF(AND(ISNUMBER(G355),ISNUMBER(H355)),H355-G355,""))</x:f>
      </x:c>
      <x:c r="N355" s="12" t="str">
        <x:f>IF(A355="","",IF(NOT(ISNUMBER(G355)),"Réception manquante",IF(AND(ISNUMBER(H355),H355&lt;G355),"Incohérent",IF('Paramètres'!$E$9="",IF(ISNUMBER(H355),"Répondue / cible absente","Sans réponse / cible absente"),IF(ISNUMBER(H355),IF(M355&lt;='Paramètres'!$E$9,"Dans le délai","Hors délai"),IF('Tableau de bord'!$F$5-G355&gt;'Paramètres'!$E$9,"Retard","En attente"))))))</x:f>
      </x:c>
      <x:c r="O355" s="9"/>
    </x:row>
    <x:row r="356" ht="23" customHeight="1">
      <x:c r="A356" s="9"/>
      <x:c r="B356" s="9"/>
      <x:c r="C356" s="9"/>
      <x:c r="D356" s="9"/>
      <x:c r="E356" s="9"/>
      <x:c r="F356" s="11"/>
      <x:c r="G356" s="11"/>
      <x:c r="H356" s="11"/>
      <x:c r="I356" s="9"/>
      <x:c r="J356" s="9"/>
      <x:c r="K356" s="9"/>
      <x:c r="L356" s="9"/>
      <x:c r="M356" s="12" t="str">
        <x:f>IF(A356="","",IF(AND(ISNUMBER(G356),ISNUMBER(H356)),H356-G356,""))</x:f>
      </x:c>
      <x:c r="N356" s="12" t="str">
        <x:f>IF(A356="","",IF(NOT(ISNUMBER(G356)),"Réception manquante",IF(AND(ISNUMBER(H356),H356&lt;G356),"Incohérent",IF('Paramètres'!$E$9="",IF(ISNUMBER(H356),"Répondue / cible absente","Sans réponse / cible absente"),IF(ISNUMBER(H356),IF(M356&lt;='Paramètres'!$E$9,"Dans le délai","Hors délai"),IF('Tableau de bord'!$F$5-G356&gt;'Paramètres'!$E$9,"Retard","En attente"))))))</x:f>
      </x:c>
      <x:c r="O356" s="9"/>
    </x:row>
    <x:row r="357" ht="23" customHeight="1">
      <x:c r="A357" s="9"/>
      <x:c r="B357" s="9"/>
      <x:c r="C357" s="9"/>
      <x:c r="D357" s="9"/>
      <x:c r="E357" s="9"/>
      <x:c r="F357" s="11"/>
      <x:c r="G357" s="11"/>
      <x:c r="H357" s="11"/>
      <x:c r="I357" s="9"/>
      <x:c r="J357" s="9"/>
      <x:c r="K357" s="9"/>
      <x:c r="L357" s="9"/>
      <x:c r="M357" s="12" t="str">
        <x:f>IF(A357="","",IF(AND(ISNUMBER(G357),ISNUMBER(H357)),H357-G357,""))</x:f>
      </x:c>
      <x:c r="N357" s="12" t="str">
        <x:f>IF(A357="","",IF(NOT(ISNUMBER(G357)),"Réception manquante",IF(AND(ISNUMBER(H357),H357&lt;G357),"Incohérent",IF('Paramètres'!$E$9="",IF(ISNUMBER(H357),"Répondue / cible absente","Sans réponse / cible absente"),IF(ISNUMBER(H357),IF(M357&lt;='Paramètres'!$E$9,"Dans le délai","Hors délai"),IF('Tableau de bord'!$F$5-G357&gt;'Paramètres'!$E$9,"Retard","En attente"))))))</x:f>
      </x:c>
      <x:c r="O357" s="9"/>
    </x:row>
    <x:row r="358" ht="23" customHeight="1">
      <x:c r="A358" s="9"/>
      <x:c r="B358" s="9"/>
      <x:c r="C358" s="9"/>
      <x:c r="D358" s="9"/>
      <x:c r="E358" s="9"/>
      <x:c r="F358" s="11"/>
      <x:c r="G358" s="11"/>
      <x:c r="H358" s="11"/>
      <x:c r="I358" s="9"/>
      <x:c r="J358" s="9"/>
      <x:c r="K358" s="9"/>
      <x:c r="L358" s="9"/>
      <x:c r="M358" s="12" t="str">
        <x:f>IF(A358="","",IF(AND(ISNUMBER(G358),ISNUMBER(H358)),H358-G358,""))</x:f>
      </x:c>
      <x:c r="N358" s="12" t="str">
        <x:f>IF(A358="","",IF(NOT(ISNUMBER(G358)),"Réception manquante",IF(AND(ISNUMBER(H358),H358&lt;G358),"Incohérent",IF('Paramètres'!$E$9="",IF(ISNUMBER(H358),"Répondue / cible absente","Sans réponse / cible absente"),IF(ISNUMBER(H358),IF(M358&lt;='Paramètres'!$E$9,"Dans le délai","Hors délai"),IF('Tableau de bord'!$F$5-G358&gt;'Paramètres'!$E$9,"Retard","En attente"))))))</x:f>
      </x:c>
      <x:c r="O358" s="9"/>
    </x:row>
    <x:row r="359" ht="23" customHeight="1">
      <x:c r="A359" s="9"/>
      <x:c r="B359" s="9"/>
      <x:c r="C359" s="9"/>
      <x:c r="D359" s="9"/>
      <x:c r="E359" s="9"/>
      <x:c r="F359" s="11"/>
      <x:c r="G359" s="11"/>
      <x:c r="H359" s="11"/>
      <x:c r="I359" s="9"/>
      <x:c r="J359" s="9"/>
      <x:c r="K359" s="9"/>
      <x:c r="L359" s="9"/>
      <x:c r="M359" s="12" t="str">
        <x:f>IF(A359="","",IF(AND(ISNUMBER(G359),ISNUMBER(H359)),H359-G359,""))</x:f>
      </x:c>
      <x:c r="N359" s="12" t="str">
        <x:f>IF(A359="","",IF(NOT(ISNUMBER(G359)),"Réception manquante",IF(AND(ISNUMBER(H359),H359&lt;G359),"Incohérent",IF('Paramètres'!$E$9="",IF(ISNUMBER(H359),"Répondue / cible absente","Sans réponse / cible absente"),IF(ISNUMBER(H359),IF(M359&lt;='Paramètres'!$E$9,"Dans le délai","Hors délai"),IF('Tableau de bord'!$F$5-G359&gt;'Paramètres'!$E$9,"Retard","En attente"))))))</x:f>
      </x:c>
      <x:c r="O359" s="9"/>
    </x:row>
    <x:row r="360" ht="23" customHeight="1">
      <x:c r="A360" s="9"/>
      <x:c r="B360" s="9"/>
      <x:c r="C360" s="9"/>
      <x:c r="D360" s="9"/>
      <x:c r="E360" s="9"/>
      <x:c r="F360" s="11"/>
      <x:c r="G360" s="11"/>
      <x:c r="H360" s="11"/>
      <x:c r="I360" s="9"/>
      <x:c r="J360" s="9"/>
      <x:c r="K360" s="9"/>
      <x:c r="L360" s="9"/>
      <x:c r="M360" s="12" t="str">
        <x:f>IF(A360="","",IF(AND(ISNUMBER(G360),ISNUMBER(H360)),H360-G360,""))</x:f>
      </x:c>
      <x:c r="N360" s="12" t="str">
        <x:f>IF(A360="","",IF(NOT(ISNUMBER(G360)),"Réception manquante",IF(AND(ISNUMBER(H360),H360&lt;G360),"Incohérent",IF('Paramètres'!$E$9="",IF(ISNUMBER(H360),"Répondue / cible absente","Sans réponse / cible absente"),IF(ISNUMBER(H360),IF(M360&lt;='Paramètres'!$E$9,"Dans le délai","Hors délai"),IF('Tableau de bord'!$F$5-G360&gt;'Paramètres'!$E$9,"Retard","En attente"))))))</x:f>
      </x:c>
      <x:c r="O360" s="9"/>
    </x:row>
    <x:row r="361" ht="23" customHeight="1">
      <x:c r="A361" s="9"/>
      <x:c r="B361" s="9"/>
      <x:c r="C361" s="9"/>
      <x:c r="D361" s="9"/>
      <x:c r="E361" s="9"/>
      <x:c r="F361" s="11"/>
      <x:c r="G361" s="11"/>
      <x:c r="H361" s="11"/>
      <x:c r="I361" s="9"/>
      <x:c r="J361" s="9"/>
      <x:c r="K361" s="9"/>
      <x:c r="L361" s="9"/>
      <x:c r="M361" s="12" t="str">
        <x:f>IF(A361="","",IF(AND(ISNUMBER(G361),ISNUMBER(H361)),H361-G361,""))</x:f>
      </x:c>
      <x:c r="N361" s="12" t="str">
        <x:f>IF(A361="","",IF(NOT(ISNUMBER(G361)),"Réception manquante",IF(AND(ISNUMBER(H361),H361&lt;G361),"Incohérent",IF('Paramètres'!$E$9="",IF(ISNUMBER(H361),"Répondue / cible absente","Sans réponse / cible absente"),IF(ISNUMBER(H361),IF(M361&lt;='Paramètres'!$E$9,"Dans le délai","Hors délai"),IF('Tableau de bord'!$F$5-G361&gt;'Paramètres'!$E$9,"Retard","En attente"))))))</x:f>
      </x:c>
      <x:c r="O361" s="9"/>
    </x:row>
    <x:row r="362" ht="23" customHeight="1">
      <x:c r="A362" s="9"/>
      <x:c r="B362" s="9"/>
      <x:c r="C362" s="9"/>
      <x:c r="D362" s="9"/>
      <x:c r="E362" s="9"/>
      <x:c r="F362" s="11"/>
      <x:c r="G362" s="11"/>
      <x:c r="H362" s="11"/>
      <x:c r="I362" s="9"/>
      <x:c r="J362" s="9"/>
      <x:c r="K362" s="9"/>
      <x:c r="L362" s="9"/>
      <x:c r="M362" s="12" t="str">
        <x:f>IF(A362="","",IF(AND(ISNUMBER(G362),ISNUMBER(H362)),H362-G362,""))</x:f>
      </x:c>
      <x:c r="N362" s="12" t="str">
        <x:f>IF(A362="","",IF(NOT(ISNUMBER(G362)),"Réception manquante",IF(AND(ISNUMBER(H362),H362&lt;G362),"Incohérent",IF('Paramètres'!$E$9="",IF(ISNUMBER(H362),"Répondue / cible absente","Sans réponse / cible absente"),IF(ISNUMBER(H362),IF(M362&lt;='Paramètres'!$E$9,"Dans le délai","Hors délai"),IF('Tableau de bord'!$F$5-G362&gt;'Paramètres'!$E$9,"Retard","En attente"))))))</x:f>
      </x:c>
      <x:c r="O362" s="9"/>
    </x:row>
    <x:row r="363" ht="23" customHeight="1">
      <x:c r="A363" s="9"/>
      <x:c r="B363" s="9"/>
      <x:c r="C363" s="9"/>
      <x:c r="D363" s="9"/>
      <x:c r="E363" s="9"/>
      <x:c r="F363" s="11"/>
      <x:c r="G363" s="11"/>
      <x:c r="H363" s="11"/>
      <x:c r="I363" s="9"/>
      <x:c r="J363" s="9"/>
      <x:c r="K363" s="9"/>
      <x:c r="L363" s="9"/>
      <x:c r="M363" s="12" t="str">
        <x:f>IF(A363="","",IF(AND(ISNUMBER(G363),ISNUMBER(H363)),H363-G363,""))</x:f>
      </x:c>
      <x:c r="N363" s="12" t="str">
        <x:f>IF(A363="","",IF(NOT(ISNUMBER(G363)),"Réception manquante",IF(AND(ISNUMBER(H363),H363&lt;G363),"Incohérent",IF('Paramètres'!$E$9="",IF(ISNUMBER(H363),"Répondue / cible absente","Sans réponse / cible absente"),IF(ISNUMBER(H363),IF(M363&lt;='Paramètres'!$E$9,"Dans le délai","Hors délai"),IF('Tableau de bord'!$F$5-G363&gt;'Paramètres'!$E$9,"Retard","En attente"))))))</x:f>
      </x:c>
      <x:c r="O363" s="9"/>
    </x:row>
    <x:row r="364" ht="23" customHeight="1">
      <x:c r="A364" s="9"/>
      <x:c r="B364" s="9"/>
      <x:c r="C364" s="9"/>
      <x:c r="D364" s="9"/>
      <x:c r="E364" s="9"/>
      <x:c r="F364" s="11"/>
      <x:c r="G364" s="11"/>
      <x:c r="H364" s="11"/>
      <x:c r="I364" s="9"/>
      <x:c r="J364" s="9"/>
      <x:c r="K364" s="9"/>
      <x:c r="L364" s="9"/>
      <x:c r="M364" s="12" t="str">
        <x:f>IF(A364="","",IF(AND(ISNUMBER(G364),ISNUMBER(H364)),H364-G364,""))</x:f>
      </x:c>
      <x:c r="N364" s="12" t="str">
        <x:f>IF(A364="","",IF(NOT(ISNUMBER(G364)),"Réception manquante",IF(AND(ISNUMBER(H364),H364&lt;G364),"Incohérent",IF('Paramètres'!$E$9="",IF(ISNUMBER(H364),"Répondue / cible absente","Sans réponse / cible absente"),IF(ISNUMBER(H364),IF(M364&lt;='Paramètres'!$E$9,"Dans le délai","Hors délai"),IF('Tableau de bord'!$F$5-G364&gt;'Paramètres'!$E$9,"Retard","En attente"))))))</x:f>
      </x:c>
      <x:c r="O364" s="9"/>
    </x:row>
    <x:row r="365" ht="23" customHeight="1">
      <x:c r="A365" s="9"/>
      <x:c r="B365" s="9"/>
      <x:c r="C365" s="9"/>
      <x:c r="D365" s="9"/>
      <x:c r="E365" s="9"/>
      <x:c r="F365" s="11"/>
      <x:c r="G365" s="11"/>
      <x:c r="H365" s="11"/>
      <x:c r="I365" s="9"/>
      <x:c r="J365" s="9"/>
      <x:c r="K365" s="9"/>
      <x:c r="L365" s="9"/>
      <x:c r="M365" s="12" t="str">
        <x:f>IF(A365="","",IF(AND(ISNUMBER(G365),ISNUMBER(H365)),H365-G365,""))</x:f>
      </x:c>
      <x:c r="N365" s="12" t="str">
        <x:f>IF(A365="","",IF(NOT(ISNUMBER(G365)),"Réception manquante",IF(AND(ISNUMBER(H365),H365&lt;G365),"Incohérent",IF('Paramètres'!$E$9="",IF(ISNUMBER(H365),"Répondue / cible absente","Sans réponse / cible absente"),IF(ISNUMBER(H365),IF(M365&lt;='Paramètres'!$E$9,"Dans le délai","Hors délai"),IF('Tableau de bord'!$F$5-G365&gt;'Paramètres'!$E$9,"Retard","En attente"))))))</x:f>
      </x:c>
      <x:c r="O365" s="9"/>
    </x:row>
    <x:row r="366" ht="23" customHeight="1">
      <x:c r="A366" s="9"/>
      <x:c r="B366" s="9"/>
      <x:c r="C366" s="9"/>
      <x:c r="D366" s="9"/>
      <x:c r="E366" s="9"/>
      <x:c r="F366" s="11"/>
      <x:c r="G366" s="11"/>
      <x:c r="H366" s="11"/>
      <x:c r="I366" s="9"/>
      <x:c r="J366" s="9"/>
      <x:c r="K366" s="9"/>
      <x:c r="L366" s="9"/>
      <x:c r="M366" s="12" t="str">
        <x:f>IF(A366="","",IF(AND(ISNUMBER(G366),ISNUMBER(H366)),H366-G366,""))</x:f>
      </x:c>
      <x:c r="N366" s="12" t="str">
        <x:f>IF(A366="","",IF(NOT(ISNUMBER(G366)),"Réception manquante",IF(AND(ISNUMBER(H366),H366&lt;G366),"Incohérent",IF('Paramètres'!$E$9="",IF(ISNUMBER(H366),"Répondue / cible absente","Sans réponse / cible absente"),IF(ISNUMBER(H366),IF(M366&lt;='Paramètres'!$E$9,"Dans le délai","Hors délai"),IF('Tableau de bord'!$F$5-G366&gt;'Paramètres'!$E$9,"Retard","En attente"))))))</x:f>
      </x:c>
      <x:c r="O366" s="9"/>
    </x:row>
    <x:row r="367" ht="23" customHeight="1">
      <x:c r="A367" s="9"/>
      <x:c r="B367" s="9"/>
      <x:c r="C367" s="9"/>
      <x:c r="D367" s="9"/>
      <x:c r="E367" s="9"/>
      <x:c r="F367" s="11"/>
      <x:c r="G367" s="11"/>
      <x:c r="H367" s="11"/>
      <x:c r="I367" s="9"/>
      <x:c r="J367" s="9"/>
      <x:c r="K367" s="9"/>
      <x:c r="L367" s="9"/>
      <x:c r="M367" s="12" t="str">
        <x:f>IF(A367="","",IF(AND(ISNUMBER(G367),ISNUMBER(H367)),H367-G367,""))</x:f>
      </x:c>
      <x:c r="N367" s="12" t="str">
        <x:f>IF(A367="","",IF(NOT(ISNUMBER(G367)),"Réception manquante",IF(AND(ISNUMBER(H367),H367&lt;G367),"Incohérent",IF('Paramètres'!$E$9="",IF(ISNUMBER(H367),"Répondue / cible absente","Sans réponse / cible absente"),IF(ISNUMBER(H367),IF(M367&lt;='Paramètres'!$E$9,"Dans le délai","Hors délai"),IF('Tableau de bord'!$F$5-G367&gt;'Paramètres'!$E$9,"Retard","En attente"))))))</x:f>
      </x:c>
      <x:c r="O367" s="9"/>
    </x:row>
    <x:row r="368" ht="23" customHeight="1">
      <x:c r="A368" s="9"/>
      <x:c r="B368" s="9"/>
      <x:c r="C368" s="9"/>
      <x:c r="D368" s="9"/>
      <x:c r="E368" s="9"/>
      <x:c r="F368" s="11"/>
      <x:c r="G368" s="11"/>
      <x:c r="H368" s="11"/>
      <x:c r="I368" s="9"/>
      <x:c r="J368" s="9"/>
      <x:c r="K368" s="9"/>
      <x:c r="L368" s="9"/>
      <x:c r="M368" s="12" t="str">
        <x:f>IF(A368="","",IF(AND(ISNUMBER(G368),ISNUMBER(H368)),H368-G368,""))</x:f>
      </x:c>
      <x:c r="N368" s="12" t="str">
        <x:f>IF(A368="","",IF(NOT(ISNUMBER(G368)),"Réception manquante",IF(AND(ISNUMBER(H368),H368&lt;G368),"Incohérent",IF('Paramètres'!$E$9="",IF(ISNUMBER(H368),"Répondue / cible absente","Sans réponse / cible absente"),IF(ISNUMBER(H368),IF(M368&lt;='Paramètres'!$E$9,"Dans le délai","Hors délai"),IF('Tableau de bord'!$F$5-G368&gt;'Paramètres'!$E$9,"Retard","En attente"))))))</x:f>
      </x:c>
      <x:c r="O368" s="9"/>
    </x:row>
    <x:row r="369" ht="23" customHeight="1">
      <x:c r="A369" s="9"/>
      <x:c r="B369" s="9"/>
      <x:c r="C369" s="9"/>
      <x:c r="D369" s="9"/>
      <x:c r="E369" s="9"/>
      <x:c r="F369" s="11"/>
      <x:c r="G369" s="11"/>
      <x:c r="H369" s="11"/>
      <x:c r="I369" s="9"/>
      <x:c r="J369" s="9"/>
      <x:c r="K369" s="9"/>
      <x:c r="L369" s="9"/>
      <x:c r="M369" s="12" t="str">
        <x:f>IF(A369="","",IF(AND(ISNUMBER(G369),ISNUMBER(H369)),H369-G369,""))</x:f>
      </x:c>
      <x:c r="N369" s="12" t="str">
        <x:f>IF(A369="","",IF(NOT(ISNUMBER(G369)),"Réception manquante",IF(AND(ISNUMBER(H369),H369&lt;G369),"Incohérent",IF('Paramètres'!$E$9="",IF(ISNUMBER(H369),"Répondue / cible absente","Sans réponse / cible absente"),IF(ISNUMBER(H369),IF(M369&lt;='Paramètres'!$E$9,"Dans le délai","Hors délai"),IF('Tableau de bord'!$F$5-G369&gt;'Paramètres'!$E$9,"Retard","En attente"))))))</x:f>
      </x:c>
      <x:c r="O369" s="9"/>
    </x:row>
    <x:row r="370" ht="23" customHeight="1">
      <x:c r="A370" s="9"/>
      <x:c r="B370" s="9"/>
      <x:c r="C370" s="9"/>
      <x:c r="D370" s="9"/>
      <x:c r="E370" s="9"/>
      <x:c r="F370" s="11"/>
      <x:c r="G370" s="11"/>
      <x:c r="H370" s="11"/>
      <x:c r="I370" s="9"/>
      <x:c r="J370" s="9"/>
      <x:c r="K370" s="9"/>
      <x:c r="L370" s="9"/>
      <x:c r="M370" s="12" t="str">
        <x:f>IF(A370="","",IF(AND(ISNUMBER(G370),ISNUMBER(H370)),H370-G370,""))</x:f>
      </x:c>
      <x:c r="N370" s="12" t="str">
        <x:f>IF(A370="","",IF(NOT(ISNUMBER(G370)),"Réception manquante",IF(AND(ISNUMBER(H370),H370&lt;G370),"Incohérent",IF('Paramètres'!$E$9="",IF(ISNUMBER(H370),"Répondue / cible absente","Sans réponse / cible absente"),IF(ISNUMBER(H370),IF(M370&lt;='Paramètres'!$E$9,"Dans le délai","Hors délai"),IF('Tableau de bord'!$F$5-G370&gt;'Paramètres'!$E$9,"Retard","En attente"))))))</x:f>
      </x:c>
      <x:c r="O370" s="9"/>
    </x:row>
    <x:row r="371" ht="23" customHeight="1">
      <x:c r="A371" s="9"/>
      <x:c r="B371" s="9"/>
      <x:c r="C371" s="9"/>
      <x:c r="D371" s="9"/>
      <x:c r="E371" s="9"/>
      <x:c r="F371" s="11"/>
      <x:c r="G371" s="11"/>
      <x:c r="H371" s="11"/>
      <x:c r="I371" s="9"/>
      <x:c r="J371" s="9"/>
      <x:c r="K371" s="9"/>
      <x:c r="L371" s="9"/>
      <x:c r="M371" s="12" t="str">
        <x:f>IF(A371="","",IF(AND(ISNUMBER(G371),ISNUMBER(H371)),H371-G371,""))</x:f>
      </x:c>
      <x:c r="N371" s="12" t="str">
        <x:f>IF(A371="","",IF(NOT(ISNUMBER(G371)),"Réception manquante",IF(AND(ISNUMBER(H371),H371&lt;G371),"Incohérent",IF('Paramètres'!$E$9="",IF(ISNUMBER(H371),"Répondue / cible absente","Sans réponse / cible absente"),IF(ISNUMBER(H371),IF(M371&lt;='Paramètres'!$E$9,"Dans le délai","Hors délai"),IF('Tableau de bord'!$F$5-G371&gt;'Paramètres'!$E$9,"Retard","En attente"))))))</x:f>
      </x:c>
      <x:c r="O371" s="9"/>
    </x:row>
    <x:row r="372" ht="23" customHeight="1">
      <x:c r="A372" s="9"/>
      <x:c r="B372" s="9"/>
      <x:c r="C372" s="9"/>
      <x:c r="D372" s="9"/>
      <x:c r="E372" s="9"/>
      <x:c r="F372" s="11"/>
      <x:c r="G372" s="11"/>
      <x:c r="H372" s="11"/>
      <x:c r="I372" s="9"/>
      <x:c r="J372" s="9"/>
      <x:c r="K372" s="9"/>
      <x:c r="L372" s="9"/>
      <x:c r="M372" s="12" t="str">
        <x:f>IF(A372="","",IF(AND(ISNUMBER(G372),ISNUMBER(H372)),H372-G372,""))</x:f>
      </x:c>
      <x:c r="N372" s="12" t="str">
        <x:f>IF(A372="","",IF(NOT(ISNUMBER(G372)),"Réception manquante",IF(AND(ISNUMBER(H372),H372&lt;G372),"Incohérent",IF('Paramètres'!$E$9="",IF(ISNUMBER(H372),"Répondue / cible absente","Sans réponse / cible absente"),IF(ISNUMBER(H372),IF(M372&lt;='Paramètres'!$E$9,"Dans le délai","Hors délai"),IF('Tableau de bord'!$F$5-G372&gt;'Paramètres'!$E$9,"Retard","En attente"))))))</x:f>
      </x:c>
      <x:c r="O372" s="9"/>
    </x:row>
    <x:row r="373" ht="23" customHeight="1">
      <x:c r="A373" s="9"/>
      <x:c r="B373" s="9"/>
      <x:c r="C373" s="9"/>
      <x:c r="D373" s="9"/>
      <x:c r="E373" s="9"/>
      <x:c r="F373" s="11"/>
      <x:c r="G373" s="11"/>
      <x:c r="H373" s="11"/>
      <x:c r="I373" s="9"/>
      <x:c r="J373" s="9"/>
      <x:c r="K373" s="9"/>
      <x:c r="L373" s="9"/>
      <x:c r="M373" s="12" t="str">
        <x:f>IF(A373="","",IF(AND(ISNUMBER(G373),ISNUMBER(H373)),H373-G373,""))</x:f>
      </x:c>
      <x:c r="N373" s="12" t="str">
        <x:f>IF(A373="","",IF(NOT(ISNUMBER(G373)),"Réception manquante",IF(AND(ISNUMBER(H373),H373&lt;G373),"Incohérent",IF('Paramètres'!$E$9="",IF(ISNUMBER(H373),"Répondue / cible absente","Sans réponse / cible absente"),IF(ISNUMBER(H373),IF(M373&lt;='Paramètres'!$E$9,"Dans le délai","Hors délai"),IF('Tableau de bord'!$F$5-G373&gt;'Paramètres'!$E$9,"Retard","En attente"))))))</x:f>
      </x:c>
      <x:c r="O373" s="9"/>
    </x:row>
    <x:row r="374" ht="23" customHeight="1">
      <x:c r="A374" s="9"/>
      <x:c r="B374" s="9"/>
      <x:c r="C374" s="9"/>
      <x:c r="D374" s="9"/>
      <x:c r="E374" s="9"/>
      <x:c r="F374" s="11"/>
      <x:c r="G374" s="11"/>
      <x:c r="H374" s="11"/>
      <x:c r="I374" s="9"/>
      <x:c r="J374" s="9"/>
      <x:c r="K374" s="9"/>
      <x:c r="L374" s="9"/>
      <x:c r="M374" s="12" t="str">
        <x:f>IF(A374="","",IF(AND(ISNUMBER(G374),ISNUMBER(H374)),H374-G374,""))</x:f>
      </x:c>
      <x:c r="N374" s="12" t="str">
        <x:f>IF(A374="","",IF(NOT(ISNUMBER(G374)),"Réception manquante",IF(AND(ISNUMBER(H374),H374&lt;G374),"Incohérent",IF('Paramètres'!$E$9="",IF(ISNUMBER(H374),"Répondue / cible absente","Sans réponse / cible absente"),IF(ISNUMBER(H374),IF(M374&lt;='Paramètres'!$E$9,"Dans le délai","Hors délai"),IF('Tableau de bord'!$F$5-G374&gt;'Paramètres'!$E$9,"Retard","En attente"))))))</x:f>
      </x:c>
      <x:c r="O374" s="9"/>
    </x:row>
    <x:row r="375" ht="23" customHeight="1">
      <x:c r="A375" s="9"/>
      <x:c r="B375" s="9"/>
      <x:c r="C375" s="9"/>
      <x:c r="D375" s="9"/>
      <x:c r="E375" s="9"/>
      <x:c r="F375" s="11"/>
      <x:c r="G375" s="11"/>
      <x:c r="H375" s="11"/>
      <x:c r="I375" s="9"/>
      <x:c r="J375" s="9"/>
      <x:c r="K375" s="9"/>
      <x:c r="L375" s="9"/>
      <x:c r="M375" s="12" t="str">
        <x:f>IF(A375="","",IF(AND(ISNUMBER(G375),ISNUMBER(H375)),H375-G375,""))</x:f>
      </x:c>
      <x:c r="N375" s="12" t="str">
        <x:f>IF(A375="","",IF(NOT(ISNUMBER(G375)),"Réception manquante",IF(AND(ISNUMBER(H375),H375&lt;G375),"Incohérent",IF('Paramètres'!$E$9="",IF(ISNUMBER(H375),"Répondue / cible absente","Sans réponse / cible absente"),IF(ISNUMBER(H375),IF(M375&lt;='Paramètres'!$E$9,"Dans le délai","Hors délai"),IF('Tableau de bord'!$F$5-G375&gt;'Paramètres'!$E$9,"Retard","En attente"))))))</x:f>
      </x:c>
      <x:c r="O375" s="9"/>
    </x:row>
    <x:row r="376" ht="23" customHeight="1">
      <x:c r="A376" s="9"/>
      <x:c r="B376" s="9"/>
      <x:c r="C376" s="9"/>
      <x:c r="D376" s="9"/>
      <x:c r="E376" s="9"/>
      <x:c r="F376" s="11"/>
      <x:c r="G376" s="11"/>
      <x:c r="H376" s="11"/>
      <x:c r="I376" s="9"/>
      <x:c r="J376" s="9"/>
      <x:c r="K376" s="9"/>
      <x:c r="L376" s="9"/>
      <x:c r="M376" s="12" t="str">
        <x:f>IF(A376="","",IF(AND(ISNUMBER(G376),ISNUMBER(H376)),H376-G376,""))</x:f>
      </x:c>
      <x:c r="N376" s="12" t="str">
        <x:f>IF(A376="","",IF(NOT(ISNUMBER(G376)),"Réception manquante",IF(AND(ISNUMBER(H376),H376&lt;G376),"Incohérent",IF('Paramètres'!$E$9="",IF(ISNUMBER(H376),"Répondue / cible absente","Sans réponse / cible absente"),IF(ISNUMBER(H376),IF(M376&lt;='Paramètres'!$E$9,"Dans le délai","Hors délai"),IF('Tableau de bord'!$F$5-G376&gt;'Paramètres'!$E$9,"Retard","En attente"))))))</x:f>
      </x:c>
      <x:c r="O376" s="9"/>
    </x:row>
    <x:row r="377" ht="23" customHeight="1">
      <x:c r="A377" s="9"/>
      <x:c r="B377" s="9"/>
      <x:c r="C377" s="9"/>
      <x:c r="D377" s="9"/>
      <x:c r="E377" s="9"/>
      <x:c r="F377" s="11"/>
      <x:c r="G377" s="11"/>
      <x:c r="H377" s="11"/>
      <x:c r="I377" s="9"/>
      <x:c r="J377" s="9"/>
      <x:c r="K377" s="9"/>
      <x:c r="L377" s="9"/>
      <x:c r="M377" s="12" t="str">
        <x:f>IF(A377="","",IF(AND(ISNUMBER(G377),ISNUMBER(H377)),H377-G377,""))</x:f>
      </x:c>
      <x:c r="N377" s="12" t="str">
        <x:f>IF(A377="","",IF(NOT(ISNUMBER(G377)),"Réception manquante",IF(AND(ISNUMBER(H377),H377&lt;G377),"Incohérent",IF('Paramètres'!$E$9="",IF(ISNUMBER(H377),"Répondue / cible absente","Sans réponse / cible absente"),IF(ISNUMBER(H377),IF(M377&lt;='Paramètres'!$E$9,"Dans le délai","Hors délai"),IF('Tableau de bord'!$F$5-G377&gt;'Paramètres'!$E$9,"Retard","En attente"))))))</x:f>
      </x:c>
      <x:c r="O377" s="9"/>
    </x:row>
    <x:row r="378" ht="23" customHeight="1">
      <x:c r="A378" s="9"/>
      <x:c r="B378" s="9"/>
      <x:c r="C378" s="9"/>
      <x:c r="D378" s="9"/>
      <x:c r="E378" s="9"/>
      <x:c r="F378" s="11"/>
      <x:c r="G378" s="11"/>
      <x:c r="H378" s="11"/>
      <x:c r="I378" s="9"/>
      <x:c r="J378" s="9"/>
      <x:c r="K378" s="9"/>
      <x:c r="L378" s="9"/>
      <x:c r="M378" s="12" t="str">
        <x:f>IF(A378="","",IF(AND(ISNUMBER(G378),ISNUMBER(H378)),H378-G378,""))</x:f>
      </x:c>
      <x:c r="N378" s="12" t="str">
        <x:f>IF(A378="","",IF(NOT(ISNUMBER(G378)),"Réception manquante",IF(AND(ISNUMBER(H378),H378&lt;G378),"Incohérent",IF('Paramètres'!$E$9="",IF(ISNUMBER(H378),"Répondue / cible absente","Sans réponse / cible absente"),IF(ISNUMBER(H378),IF(M378&lt;='Paramètres'!$E$9,"Dans le délai","Hors délai"),IF('Tableau de bord'!$F$5-G378&gt;'Paramètres'!$E$9,"Retard","En attente"))))))</x:f>
      </x:c>
      <x:c r="O378" s="9"/>
    </x:row>
    <x:row r="379" ht="23" customHeight="1">
      <x:c r="A379" s="9"/>
      <x:c r="B379" s="9"/>
      <x:c r="C379" s="9"/>
      <x:c r="D379" s="9"/>
      <x:c r="E379" s="9"/>
      <x:c r="F379" s="11"/>
      <x:c r="G379" s="11"/>
      <x:c r="H379" s="11"/>
      <x:c r="I379" s="9"/>
      <x:c r="J379" s="9"/>
      <x:c r="K379" s="9"/>
      <x:c r="L379" s="9"/>
      <x:c r="M379" s="12" t="str">
        <x:f>IF(A379="","",IF(AND(ISNUMBER(G379),ISNUMBER(H379)),H379-G379,""))</x:f>
      </x:c>
      <x:c r="N379" s="12" t="str">
        <x:f>IF(A379="","",IF(NOT(ISNUMBER(G379)),"Réception manquante",IF(AND(ISNUMBER(H379),H379&lt;G379),"Incohérent",IF('Paramètres'!$E$9="",IF(ISNUMBER(H379),"Répondue / cible absente","Sans réponse / cible absente"),IF(ISNUMBER(H379),IF(M379&lt;='Paramètres'!$E$9,"Dans le délai","Hors délai"),IF('Tableau de bord'!$F$5-G379&gt;'Paramètres'!$E$9,"Retard","En attente"))))))</x:f>
      </x:c>
      <x:c r="O379" s="9"/>
    </x:row>
    <x:row r="380" ht="23" customHeight="1">
      <x:c r="A380" s="9"/>
      <x:c r="B380" s="9"/>
      <x:c r="C380" s="9"/>
      <x:c r="D380" s="9"/>
      <x:c r="E380" s="9"/>
      <x:c r="F380" s="11"/>
      <x:c r="G380" s="11"/>
      <x:c r="H380" s="11"/>
      <x:c r="I380" s="9"/>
      <x:c r="J380" s="9"/>
      <x:c r="K380" s="9"/>
      <x:c r="L380" s="9"/>
      <x:c r="M380" s="12" t="str">
        <x:f>IF(A380="","",IF(AND(ISNUMBER(G380),ISNUMBER(H380)),H380-G380,""))</x:f>
      </x:c>
      <x:c r="N380" s="12" t="str">
        <x:f>IF(A380="","",IF(NOT(ISNUMBER(G380)),"Réception manquante",IF(AND(ISNUMBER(H380),H380&lt;G380),"Incohérent",IF('Paramètres'!$E$9="",IF(ISNUMBER(H380),"Répondue / cible absente","Sans réponse / cible absente"),IF(ISNUMBER(H380),IF(M380&lt;='Paramètres'!$E$9,"Dans le délai","Hors délai"),IF('Tableau de bord'!$F$5-G380&gt;'Paramètres'!$E$9,"Retard","En attente"))))))</x:f>
      </x:c>
      <x:c r="O380" s="9"/>
    </x:row>
    <x:row r="381" ht="23" customHeight="1">
      <x:c r="A381" s="9"/>
      <x:c r="B381" s="9"/>
      <x:c r="C381" s="9"/>
      <x:c r="D381" s="9"/>
      <x:c r="E381" s="9"/>
      <x:c r="F381" s="11"/>
      <x:c r="G381" s="11"/>
      <x:c r="H381" s="11"/>
      <x:c r="I381" s="9"/>
      <x:c r="J381" s="9"/>
      <x:c r="K381" s="9"/>
      <x:c r="L381" s="9"/>
      <x:c r="M381" s="12" t="str">
        <x:f>IF(A381="","",IF(AND(ISNUMBER(G381),ISNUMBER(H381)),H381-G381,""))</x:f>
      </x:c>
      <x:c r="N381" s="12" t="str">
        <x:f>IF(A381="","",IF(NOT(ISNUMBER(G381)),"Réception manquante",IF(AND(ISNUMBER(H381),H381&lt;G381),"Incohérent",IF('Paramètres'!$E$9="",IF(ISNUMBER(H381),"Répondue / cible absente","Sans réponse / cible absente"),IF(ISNUMBER(H381),IF(M381&lt;='Paramètres'!$E$9,"Dans le délai","Hors délai"),IF('Tableau de bord'!$F$5-G381&gt;'Paramètres'!$E$9,"Retard","En attente"))))))</x:f>
      </x:c>
      <x:c r="O381" s="9"/>
    </x:row>
    <x:row r="382" ht="23" customHeight="1">
      <x:c r="A382" s="9"/>
      <x:c r="B382" s="9"/>
      <x:c r="C382" s="9"/>
      <x:c r="D382" s="9"/>
      <x:c r="E382" s="9"/>
      <x:c r="F382" s="11"/>
      <x:c r="G382" s="11"/>
      <x:c r="H382" s="11"/>
      <x:c r="I382" s="9"/>
      <x:c r="J382" s="9"/>
      <x:c r="K382" s="9"/>
      <x:c r="L382" s="9"/>
      <x:c r="M382" s="12" t="str">
        <x:f>IF(A382="","",IF(AND(ISNUMBER(G382),ISNUMBER(H382)),H382-G382,""))</x:f>
      </x:c>
      <x:c r="N382" s="12" t="str">
        <x:f>IF(A382="","",IF(NOT(ISNUMBER(G382)),"Réception manquante",IF(AND(ISNUMBER(H382),H382&lt;G382),"Incohérent",IF('Paramètres'!$E$9="",IF(ISNUMBER(H382),"Répondue / cible absente","Sans réponse / cible absente"),IF(ISNUMBER(H382),IF(M382&lt;='Paramètres'!$E$9,"Dans le délai","Hors délai"),IF('Tableau de bord'!$F$5-G382&gt;'Paramètres'!$E$9,"Retard","En attente"))))))</x:f>
      </x:c>
      <x:c r="O382" s="9"/>
    </x:row>
    <x:row r="383" ht="23" customHeight="1">
      <x:c r="A383" s="9"/>
      <x:c r="B383" s="9"/>
      <x:c r="C383" s="9"/>
      <x:c r="D383" s="9"/>
      <x:c r="E383" s="9"/>
      <x:c r="F383" s="11"/>
      <x:c r="G383" s="11"/>
      <x:c r="H383" s="11"/>
      <x:c r="I383" s="9"/>
      <x:c r="J383" s="9"/>
      <x:c r="K383" s="9"/>
      <x:c r="L383" s="9"/>
      <x:c r="M383" s="12" t="str">
        <x:f>IF(A383="","",IF(AND(ISNUMBER(G383),ISNUMBER(H383)),H383-G383,""))</x:f>
      </x:c>
      <x:c r="N383" s="12" t="str">
        <x:f>IF(A383="","",IF(NOT(ISNUMBER(G383)),"Réception manquante",IF(AND(ISNUMBER(H383),H383&lt;G383),"Incohérent",IF('Paramètres'!$E$9="",IF(ISNUMBER(H383),"Répondue / cible absente","Sans réponse / cible absente"),IF(ISNUMBER(H383),IF(M383&lt;='Paramètres'!$E$9,"Dans le délai","Hors délai"),IF('Tableau de bord'!$F$5-G383&gt;'Paramètres'!$E$9,"Retard","En attente"))))))</x:f>
      </x:c>
      <x:c r="O383" s="9"/>
    </x:row>
    <x:row r="384" ht="23" customHeight="1">
      <x:c r="A384" s="9"/>
      <x:c r="B384" s="9"/>
      <x:c r="C384" s="9"/>
      <x:c r="D384" s="9"/>
      <x:c r="E384" s="9"/>
      <x:c r="F384" s="11"/>
      <x:c r="G384" s="11"/>
      <x:c r="H384" s="11"/>
      <x:c r="I384" s="9"/>
      <x:c r="J384" s="9"/>
      <x:c r="K384" s="9"/>
      <x:c r="L384" s="9"/>
      <x:c r="M384" s="12" t="str">
        <x:f>IF(A384="","",IF(AND(ISNUMBER(G384),ISNUMBER(H384)),H384-G384,""))</x:f>
      </x:c>
      <x:c r="N384" s="12" t="str">
        <x:f>IF(A384="","",IF(NOT(ISNUMBER(G384)),"Réception manquante",IF(AND(ISNUMBER(H384),H384&lt;G384),"Incohérent",IF('Paramètres'!$E$9="",IF(ISNUMBER(H384),"Répondue / cible absente","Sans réponse / cible absente"),IF(ISNUMBER(H384),IF(M384&lt;='Paramètres'!$E$9,"Dans le délai","Hors délai"),IF('Tableau de bord'!$F$5-G384&gt;'Paramètres'!$E$9,"Retard","En attente"))))))</x:f>
      </x:c>
      <x:c r="O384" s="9"/>
    </x:row>
    <x:row r="385" ht="23" customHeight="1">
      <x:c r="A385" s="9"/>
      <x:c r="B385" s="9"/>
      <x:c r="C385" s="9"/>
      <x:c r="D385" s="9"/>
      <x:c r="E385" s="9"/>
      <x:c r="F385" s="11"/>
      <x:c r="G385" s="11"/>
      <x:c r="H385" s="11"/>
      <x:c r="I385" s="9"/>
      <x:c r="J385" s="9"/>
      <x:c r="K385" s="9"/>
      <x:c r="L385" s="9"/>
      <x:c r="M385" s="12" t="str">
        <x:f>IF(A385="","",IF(AND(ISNUMBER(G385),ISNUMBER(H385)),H385-G385,""))</x:f>
      </x:c>
      <x:c r="N385" s="12" t="str">
        <x:f>IF(A385="","",IF(NOT(ISNUMBER(G385)),"Réception manquante",IF(AND(ISNUMBER(H385),H385&lt;G385),"Incohérent",IF('Paramètres'!$E$9="",IF(ISNUMBER(H385),"Répondue / cible absente","Sans réponse / cible absente"),IF(ISNUMBER(H385),IF(M385&lt;='Paramètres'!$E$9,"Dans le délai","Hors délai"),IF('Tableau de bord'!$F$5-G385&gt;'Paramètres'!$E$9,"Retard","En attente"))))))</x:f>
      </x:c>
      <x:c r="O385" s="9"/>
    </x:row>
    <x:row r="386" ht="23" customHeight="1">
      <x:c r="A386" s="9"/>
      <x:c r="B386" s="9"/>
      <x:c r="C386" s="9"/>
      <x:c r="D386" s="9"/>
      <x:c r="E386" s="9"/>
      <x:c r="F386" s="11"/>
      <x:c r="G386" s="11"/>
      <x:c r="H386" s="11"/>
      <x:c r="I386" s="9"/>
      <x:c r="J386" s="9"/>
      <x:c r="K386" s="9"/>
      <x:c r="L386" s="9"/>
      <x:c r="M386" s="12" t="str">
        <x:f>IF(A386="","",IF(AND(ISNUMBER(G386),ISNUMBER(H386)),H386-G386,""))</x:f>
      </x:c>
      <x:c r="N386" s="12" t="str">
        <x:f>IF(A386="","",IF(NOT(ISNUMBER(G386)),"Réception manquante",IF(AND(ISNUMBER(H386),H386&lt;G386),"Incohérent",IF('Paramètres'!$E$9="",IF(ISNUMBER(H386),"Répondue / cible absente","Sans réponse / cible absente"),IF(ISNUMBER(H386),IF(M386&lt;='Paramètres'!$E$9,"Dans le délai","Hors délai"),IF('Tableau de bord'!$F$5-G386&gt;'Paramètres'!$E$9,"Retard","En attente"))))))</x:f>
      </x:c>
      <x:c r="O386" s="9"/>
    </x:row>
    <x:row r="387" ht="23" customHeight="1">
      <x:c r="A387" s="9"/>
      <x:c r="B387" s="9"/>
      <x:c r="C387" s="9"/>
      <x:c r="D387" s="9"/>
      <x:c r="E387" s="9"/>
      <x:c r="F387" s="11"/>
      <x:c r="G387" s="11"/>
      <x:c r="H387" s="11"/>
      <x:c r="I387" s="9"/>
      <x:c r="J387" s="9"/>
      <x:c r="K387" s="9"/>
      <x:c r="L387" s="9"/>
      <x:c r="M387" s="12" t="str">
        <x:f>IF(A387="","",IF(AND(ISNUMBER(G387),ISNUMBER(H387)),H387-G387,""))</x:f>
      </x:c>
      <x:c r="N387" s="12" t="str">
        <x:f>IF(A387="","",IF(NOT(ISNUMBER(G387)),"Réception manquante",IF(AND(ISNUMBER(H387),H387&lt;G387),"Incohérent",IF('Paramètres'!$E$9="",IF(ISNUMBER(H387),"Répondue / cible absente","Sans réponse / cible absente"),IF(ISNUMBER(H387),IF(M387&lt;='Paramètres'!$E$9,"Dans le délai","Hors délai"),IF('Tableau de bord'!$F$5-G387&gt;'Paramètres'!$E$9,"Retard","En attente"))))))</x:f>
      </x:c>
      <x:c r="O387" s="9"/>
    </x:row>
    <x:row r="388" ht="23" customHeight="1">
      <x:c r="A388" s="9"/>
      <x:c r="B388" s="9"/>
      <x:c r="C388" s="9"/>
      <x:c r="D388" s="9"/>
      <x:c r="E388" s="9"/>
      <x:c r="F388" s="11"/>
      <x:c r="G388" s="11"/>
      <x:c r="H388" s="11"/>
      <x:c r="I388" s="9"/>
      <x:c r="J388" s="9"/>
      <x:c r="K388" s="9"/>
      <x:c r="L388" s="9"/>
      <x:c r="M388" s="12" t="str">
        <x:f>IF(A388="","",IF(AND(ISNUMBER(G388),ISNUMBER(H388)),H388-G388,""))</x:f>
      </x:c>
      <x:c r="N388" s="12" t="str">
        <x:f>IF(A388="","",IF(NOT(ISNUMBER(G388)),"Réception manquante",IF(AND(ISNUMBER(H388),H388&lt;G388),"Incohérent",IF('Paramètres'!$E$9="",IF(ISNUMBER(H388),"Répondue / cible absente","Sans réponse / cible absente"),IF(ISNUMBER(H388),IF(M388&lt;='Paramètres'!$E$9,"Dans le délai","Hors délai"),IF('Tableau de bord'!$F$5-G388&gt;'Paramètres'!$E$9,"Retard","En attente"))))))</x:f>
      </x:c>
      <x:c r="O388" s="9"/>
    </x:row>
    <x:row r="389" ht="23" customHeight="1">
      <x:c r="A389" s="9"/>
      <x:c r="B389" s="9"/>
      <x:c r="C389" s="9"/>
      <x:c r="D389" s="9"/>
      <x:c r="E389" s="9"/>
      <x:c r="F389" s="11"/>
      <x:c r="G389" s="11"/>
      <x:c r="H389" s="11"/>
      <x:c r="I389" s="9"/>
      <x:c r="J389" s="9"/>
      <x:c r="K389" s="9"/>
      <x:c r="L389" s="9"/>
      <x:c r="M389" s="12" t="str">
        <x:f>IF(A389="","",IF(AND(ISNUMBER(G389),ISNUMBER(H389)),H389-G389,""))</x:f>
      </x:c>
      <x:c r="N389" s="12" t="str">
        <x:f>IF(A389="","",IF(NOT(ISNUMBER(G389)),"Réception manquante",IF(AND(ISNUMBER(H389),H389&lt;G389),"Incohérent",IF('Paramètres'!$E$9="",IF(ISNUMBER(H389),"Répondue / cible absente","Sans réponse / cible absente"),IF(ISNUMBER(H389),IF(M389&lt;='Paramètres'!$E$9,"Dans le délai","Hors délai"),IF('Tableau de bord'!$F$5-G389&gt;'Paramètres'!$E$9,"Retard","En attente"))))))</x:f>
      </x:c>
      <x:c r="O389" s="9"/>
    </x:row>
    <x:row r="390" ht="23" customHeight="1">
      <x:c r="A390" s="9"/>
      <x:c r="B390" s="9"/>
      <x:c r="C390" s="9"/>
      <x:c r="D390" s="9"/>
      <x:c r="E390" s="9"/>
      <x:c r="F390" s="11"/>
      <x:c r="G390" s="11"/>
      <x:c r="H390" s="11"/>
      <x:c r="I390" s="9"/>
      <x:c r="J390" s="9"/>
      <x:c r="K390" s="9"/>
      <x:c r="L390" s="9"/>
      <x:c r="M390" s="12" t="str">
        <x:f>IF(A390="","",IF(AND(ISNUMBER(G390),ISNUMBER(H390)),H390-G390,""))</x:f>
      </x:c>
      <x:c r="N390" s="12" t="str">
        <x:f>IF(A390="","",IF(NOT(ISNUMBER(G390)),"Réception manquante",IF(AND(ISNUMBER(H390),H390&lt;G390),"Incohérent",IF('Paramètres'!$E$9="",IF(ISNUMBER(H390),"Répondue / cible absente","Sans réponse / cible absente"),IF(ISNUMBER(H390),IF(M390&lt;='Paramètres'!$E$9,"Dans le délai","Hors délai"),IF('Tableau de bord'!$F$5-G390&gt;'Paramètres'!$E$9,"Retard","En attente"))))))</x:f>
      </x:c>
      <x:c r="O390" s="9"/>
    </x:row>
    <x:row r="391" ht="23" customHeight="1">
      <x:c r="A391" s="9"/>
      <x:c r="B391" s="9"/>
      <x:c r="C391" s="9"/>
      <x:c r="D391" s="9"/>
      <x:c r="E391" s="9"/>
      <x:c r="F391" s="11"/>
      <x:c r="G391" s="11"/>
      <x:c r="H391" s="11"/>
      <x:c r="I391" s="9"/>
      <x:c r="J391" s="9"/>
      <x:c r="K391" s="9"/>
      <x:c r="L391" s="9"/>
      <x:c r="M391" s="12" t="str">
        <x:f>IF(A391="","",IF(AND(ISNUMBER(G391),ISNUMBER(H391)),H391-G391,""))</x:f>
      </x:c>
      <x:c r="N391" s="12" t="str">
        <x:f>IF(A391="","",IF(NOT(ISNUMBER(G391)),"Réception manquante",IF(AND(ISNUMBER(H391),H391&lt;G391),"Incohérent",IF('Paramètres'!$E$9="",IF(ISNUMBER(H391),"Répondue / cible absente","Sans réponse / cible absente"),IF(ISNUMBER(H391),IF(M391&lt;='Paramètres'!$E$9,"Dans le délai","Hors délai"),IF('Tableau de bord'!$F$5-G391&gt;'Paramètres'!$E$9,"Retard","En attente"))))))</x:f>
      </x:c>
      <x:c r="O391" s="9"/>
    </x:row>
    <x:row r="392" ht="23" customHeight="1">
      <x:c r="A392" s="9"/>
      <x:c r="B392" s="9"/>
      <x:c r="C392" s="9"/>
      <x:c r="D392" s="9"/>
      <x:c r="E392" s="9"/>
      <x:c r="F392" s="11"/>
      <x:c r="G392" s="11"/>
      <x:c r="H392" s="11"/>
      <x:c r="I392" s="9"/>
      <x:c r="J392" s="9"/>
      <x:c r="K392" s="9"/>
      <x:c r="L392" s="9"/>
      <x:c r="M392" s="12" t="str">
        <x:f>IF(A392="","",IF(AND(ISNUMBER(G392),ISNUMBER(H392)),H392-G392,""))</x:f>
      </x:c>
      <x:c r="N392" s="12" t="str">
        <x:f>IF(A392="","",IF(NOT(ISNUMBER(G392)),"Réception manquante",IF(AND(ISNUMBER(H392),H392&lt;G392),"Incohérent",IF('Paramètres'!$E$9="",IF(ISNUMBER(H392),"Répondue / cible absente","Sans réponse / cible absente"),IF(ISNUMBER(H392),IF(M392&lt;='Paramètres'!$E$9,"Dans le délai","Hors délai"),IF('Tableau de bord'!$F$5-G392&gt;'Paramètres'!$E$9,"Retard","En attente"))))))</x:f>
      </x:c>
      <x:c r="O392" s="9"/>
    </x:row>
    <x:row r="393" ht="23" customHeight="1">
      <x:c r="A393" s="9"/>
      <x:c r="B393" s="9"/>
      <x:c r="C393" s="9"/>
      <x:c r="D393" s="9"/>
      <x:c r="E393" s="9"/>
      <x:c r="F393" s="11"/>
      <x:c r="G393" s="11"/>
      <x:c r="H393" s="11"/>
      <x:c r="I393" s="9"/>
      <x:c r="J393" s="9"/>
      <x:c r="K393" s="9"/>
      <x:c r="L393" s="9"/>
      <x:c r="M393" s="12" t="str">
        <x:f>IF(A393="","",IF(AND(ISNUMBER(G393),ISNUMBER(H393)),H393-G393,""))</x:f>
      </x:c>
      <x:c r="N393" s="12" t="str">
        <x:f>IF(A393="","",IF(NOT(ISNUMBER(G393)),"Réception manquante",IF(AND(ISNUMBER(H393),H393&lt;G393),"Incohérent",IF('Paramètres'!$E$9="",IF(ISNUMBER(H393),"Répondue / cible absente","Sans réponse / cible absente"),IF(ISNUMBER(H393),IF(M393&lt;='Paramètres'!$E$9,"Dans le délai","Hors délai"),IF('Tableau de bord'!$F$5-G393&gt;'Paramètres'!$E$9,"Retard","En attente"))))))</x:f>
      </x:c>
      <x:c r="O393" s="9"/>
    </x:row>
    <x:row r="394" ht="23" customHeight="1">
      <x:c r="A394" s="9"/>
      <x:c r="B394" s="9"/>
      <x:c r="C394" s="9"/>
      <x:c r="D394" s="9"/>
      <x:c r="E394" s="9"/>
      <x:c r="F394" s="11"/>
      <x:c r="G394" s="11"/>
      <x:c r="H394" s="11"/>
      <x:c r="I394" s="9"/>
      <x:c r="J394" s="9"/>
      <x:c r="K394" s="9"/>
      <x:c r="L394" s="9"/>
      <x:c r="M394" s="12" t="str">
        <x:f>IF(A394="","",IF(AND(ISNUMBER(G394),ISNUMBER(H394)),H394-G394,""))</x:f>
      </x:c>
      <x:c r="N394" s="12" t="str">
        <x:f>IF(A394="","",IF(NOT(ISNUMBER(G394)),"Réception manquante",IF(AND(ISNUMBER(H394),H394&lt;G394),"Incohérent",IF('Paramètres'!$E$9="",IF(ISNUMBER(H394),"Répondue / cible absente","Sans réponse / cible absente"),IF(ISNUMBER(H394),IF(M394&lt;='Paramètres'!$E$9,"Dans le délai","Hors délai"),IF('Tableau de bord'!$F$5-G394&gt;'Paramètres'!$E$9,"Retard","En attente"))))))</x:f>
      </x:c>
      <x:c r="O394" s="9"/>
    </x:row>
    <x:row r="395" ht="23" customHeight="1">
      <x:c r="A395" s="9"/>
      <x:c r="B395" s="9"/>
      <x:c r="C395" s="9"/>
      <x:c r="D395" s="9"/>
      <x:c r="E395" s="9"/>
      <x:c r="F395" s="11"/>
      <x:c r="G395" s="11"/>
      <x:c r="H395" s="11"/>
      <x:c r="I395" s="9"/>
      <x:c r="J395" s="9"/>
      <x:c r="K395" s="9"/>
      <x:c r="L395" s="9"/>
      <x:c r="M395" s="12" t="str">
        <x:f>IF(A395="","",IF(AND(ISNUMBER(G395),ISNUMBER(H395)),H395-G395,""))</x:f>
      </x:c>
      <x:c r="N395" s="12" t="str">
        <x:f>IF(A395="","",IF(NOT(ISNUMBER(G395)),"Réception manquante",IF(AND(ISNUMBER(H395),H395&lt;G395),"Incohérent",IF('Paramètres'!$E$9="",IF(ISNUMBER(H395),"Répondue / cible absente","Sans réponse / cible absente"),IF(ISNUMBER(H395),IF(M395&lt;='Paramètres'!$E$9,"Dans le délai","Hors délai"),IF('Tableau de bord'!$F$5-G395&gt;'Paramètres'!$E$9,"Retard","En attente"))))))</x:f>
      </x:c>
      <x:c r="O395" s="9"/>
    </x:row>
    <x:row r="396" ht="23" customHeight="1">
      <x:c r="A396" s="9"/>
      <x:c r="B396" s="9"/>
      <x:c r="C396" s="9"/>
      <x:c r="D396" s="9"/>
      <x:c r="E396" s="9"/>
      <x:c r="F396" s="11"/>
      <x:c r="G396" s="11"/>
      <x:c r="H396" s="11"/>
      <x:c r="I396" s="9"/>
      <x:c r="J396" s="9"/>
      <x:c r="K396" s="9"/>
      <x:c r="L396" s="9"/>
      <x:c r="M396" s="12" t="str">
        <x:f>IF(A396="","",IF(AND(ISNUMBER(G396),ISNUMBER(H396)),H396-G396,""))</x:f>
      </x:c>
      <x:c r="N396" s="12" t="str">
        <x:f>IF(A396="","",IF(NOT(ISNUMBER(G396)),"Réception manquante",IF(AND(ISNUMBER(H396),H396&lt;G396),"Incohérent",IF('Paramètres'!$E$9="",IF(ISNUMBER(H396),"Répondue / cible absente","Sans réponse / cible absente"),IF(ISNUMBER(H396),IF(M396&lt;='Paramètres'!$E$9,"Dans le délai","Hors délai"),IF('Tableau de bord'!$F$5-G396&gt;'Paramètres'!$E$9,"Retard","En attente"))))))</x:f>
      </x:c>
      <x:c r="O396" s="9"/>
    </x:row>
    <x:row r="397" ht="23" customHeight="1">
      <x:c r="A397" s="9"/>
      <x:c r="B397" s="9"/>
      <x:c r="C397" s="9"/>
      <x:c r="D397" s="9"/>
      <x:c r="E397" s="9"/>
      <x:c r="F397" s="11"/>
      <x:c r="G397" s="11"/>
      <x:c r="H397" s="11"/>
      <x:c r="I397" s="9"/>
      <x:c r="J397" s="9"/>
      <x:c r="K397" s="9"/>
      <x:c r="L397" s="9"/>
      <x:c r="M397" s="12" t="str">
        <x:f>IF(A397="","",IF(AND(ISNUMBER(G397),ISNUMBER(H397)),H397-G397,""))</x:f>
      </x:c>
      <x:c r="N397" s="12" t="str">
        <x:f>IF(A397="","",IF(NOT(ISNUMBER(G397)),"Réception manquante",IF(AND(ISNUMBER(H397),H397&lt;G397),"Incohérent",IF('Paramètres'!$E$9="",IF(ISNUMBER(H397),"Répondue / cible absente","Sans réponse / cible absente"),IF(ISNUMBER(H397),IF(M397&lt;='Paramètres'!$E$9,"Dans le délai","Hors délai"),IF('Tableau de bord'!$F$5-G397&gt;'Paramètres'!$E$9,"Retard","En attente"))))))</x:f>
      </x:c>
      <x:c r="O397" s="9"/>
    </x:row>
    <x:row r="398" ht="23" customHeight="1">
      <x:c r="A398" s="9"/>
      <x:c r="B398" s="9"/>
      <x:c r="C398" s="9"/>
      <x:c r="D398" s="9"/>
      <x:c r="E398" s="9"/>
      <x:c r="F398" s="11"/>
      <x:c r="G398" s="11"/>
      <x:c r="H398" s="11"/>
      <x:c r="I398" s="9"/>
      <x:c r="J398" s="9"/>
      <x:c r="K398" s="9"/>
      <x:c r="L398" s="9"/>
      <x:c r="M398" s="12" t="str">
        <x:f>IF(A398="","",IF(AND(ISNUMBER(G398),ISNUMBER(H398)),H398-G398,""))</x:f>
      </x:c>
      <x:c r="N398" s="12" t="str">
        <x:f>IF(A398="","",IF(NOT(ISNUMBER(G398)),"Réception manquante",IF(AND(ISNUMBER(H398),H398&lt;G398),"Incohérent",IF('Paramètres'!$E$9="",IF(ISNUMBER(H398),"Répondue / cible absente","Sans réponse / cible absente"),IF(ISNUMBER(H398),IF(M398&lt;='Paramètres'!$E$9,"Dans le délai","Hors délai"),IF('Tableau de bord'!$F$5-G398&gt;'Paramètres'!$E$9,"Retard","En attente"))))))</x:f>
      </x:c>
      <x:c r="O398" s="9"/>
    </x:row>
    <x:row r="399" ht="23" customHeight="1">
      <x:c r="A399" s="9"/>
      <x:c r="B399" s="9"/>
      <x:c r="C399" s="9"/>
      <x:c r="D399" s="9"/>
      <x:c r="E399" s="9"/>
      <x:c r="F399" s="11"/>
      <x:c r="G399" s="11"/>
      <x:c r="H399" s="11"/>
      <x:c r="I399" s="9"/>
      <x:c r="J399" s="9"/>
      <x:c r="K399" s="9"/>
      <x:c r="L399" s="9"/>
      <x:c r="M399" s="12" t="str">
        <x:f>IF(A399="","",IF(AND(ISNUMBER(G399),ISNUMBER(H399)),H399-G399,""))</x:f>
      </x:c>
      <x:c r="N399" s="12" t="str">
        <x:f>IF(A399="","",IF(NOT(ISNUMBER(G399)),"Réception manquante",IF(AND(ISNUMBER(H399),H399&lt;G399),"Incohérent",IF('Paramètres'!$E$9="",IF(ISNUMBER(H399),"Répondue / cible absente","Sans réponse / cible absente"),IF(ISNUMBER(H399),IF(M399&lt;='Paramètres'!$E$9,"Dans le délai","Hors délai"),IF('Tableau de bord'!$F$5-G399&gt;'Paramètres'!$E$9,"Retard","En attente"))))))</x:f>
      </x:c>
      <x:c r="O399" s="9"/>
    </x:row>
    <x:row r="400" ht="23" customHeight="1">
      <x:c r="A400" s="9"/>
      <x:c r="B400" s="9"/>
      <x:c r="C400" s="9"/>
      <x:c r="D400" s="9"/>
      <x:c r="E400" s="9"/>
      <x:c r="F400" s="11"/>
      <x:c r="G400" s="11"/>
      <x:c r="H400" s="11"/>
      <x:c r="I400" s="9"/>
      <x:c r="J400" s="9"/>
      <x:c r="K400" s="9"/>
      <x:c r="L400" s="9"/>
      <x:c r="M400" s="12" t="str">
        <x:f>IF(A400="","",IF(AND(ISNUMBER(G400),ISNUMBER(H400)),H400-G400,""))</x:f>
      </x:c>
      <x:c r="N400" s="12" t="str">
        <x:f>IF(A400="","",IF(NOT(ISNUMBER(G400)),"Réception manquante",IF(AND(ISNUMBER(H400),H400&lt;G400),"Incohérent",IF('Paramètres'!$E$9="",IF(ISNUMBER(H400),"Répondue / cible absente","Sans réponse / cible absente"),IF(ISNUMBER(H400),IF(M400&lt;='Paramètres'!$E$9,"Dans le délai","Hors délai"),IF('Tableau de bord'!$F$5-G400&gt;'Paramètres'!$E$9,"Retard","En attente"))))))</x:f>
      </x:c>
      <x:c r="O400" s="9"/>
    </x:row>
    <x:row r="401" ht="23" customHeight="1">
      <x:c r="A401" s="9"/>
      <x:c r="B401" s="9"/>
      <x:c r="C401" s="9"/>
      <x:c r="D401" s="9"/>
      <x:c r="E401" s="9"/>
      <x:c r="F401" s="11"/>
      <x:c r="G401" s="11"/>
      <x:c r="H401" s="11"/>
      <x:c r="I401" s="9"/>
      <x:c r="J401" s="9"/>
      <x:c r="K401" s="9"/>
      <x:c r="L401" s="9"/>
      <x:c r="M401" s="12" t="str">
        <x:f>IF(A401="","",IF(AND(ISNUMBER(G401),ISNUMBER(H401)),H401-G401,""))</x:f>
      </x:c>
      <x:c r="N401" s="12" t="str">
        <x:f>IF(A401="","",IF(NOT(ISNUMBER(G401)),"Réception manquante",IF(AND(ISNUMBER(H401),H401&lt;G401),"Incohérent",IF('Paramètres'!$E$9="",IF(ISNUMBER(H401),"Répondue / cible absente","Sans réponse / cible absente"),IF(ISNUMBER(H401),IF(M401&lt;='Paramètres'!$E$9,"Dans le délai","Hors délai"),IF('Tableau de bord'!$F$5-G401&gt;'Paramètres'!$E$9,"Retard","En attente"))))))</x:f>
      </x:c>
      <x:c r="O401" s="9"/>
    </x:row>
    <x:row r="402" ht="23" customHeight="1">
      <x:c r="A402" s="9"/>
      <x:c r="B402" s="9"/>
      <x:c r="C402" s="9"/>
      <x:c r="D402" s="9"/>
      <x:c r="E402" s="9"/>
      <x:c r="F402" s="11"/>
      <x:c r="G402" s="11"/>
      <x:c r="H402" s="11"/>
      <x:c r="I402" s="9"/>
      <x:c r="J402" s="9"/>
      <x:c r="K402" s="9"/>
      <x:c r="L402" s="9"/>
      <x:c r="M402" s="12" t="str">
        <x:f>IF(A402="","",IF(AND(ISNUMBER(G402),ISNUMBER(H402)),H402-G402,""))</x:f>
      </x:c>
      <x:c r="N402" s="12" t="str">
        <x:f>IF(A402="","",IF(NOT(ISNUMBER(G402)),"Réception manquante",IF(AND(ISNUMBER(H402),H402&lt;G402),"Incohérent",IF('Paramètres'!$E$9="",IF(ISNUMBER(H402),"Répondue / cible absente","Sans réponse / cible absente"),IF(ISNUMBER(H402),IF(M402&lt;='Paramètres'!$E$9,"Dans le délai","Hors délai"),IF('Tableau de bord'!$F$5-G402&gt;'Paramètres'!$E$9,"Retard","En attente"))))))</x:f>
      </x:c>
      <x:c r="O402" s="9"/>
    </x:row>
    <x:row r="403" ht="23" customHeight="1">
      <x:c r="A403" s="9"/>
      <x:c r="B403" s="9"/>
      <x:c r="C403" s="9"/>
      <x:c r="D403" s="9"/>
      <x:c r="E403" s="9"/>
      <x:c r="F403" s="11"/>
      <x:c r="G403" s="11"/>
      <x:c r="H403" s="11"/>
      <x:c r="I403" s="9"/>
      <x:c r="J403" s="9"/>
      <x:c r="K403" s="9"/>
      <x:c r="L403" s="9"/>
      <x:c r="M403" s="12" t="str">
        <x:f>IF(A403="","",IF(AND(ISNUMBER(G403),ISNUMBER(H403)),H403-G403,""))</x:f>
      </x:c>
      <x:c r="N403" s="12" t="str">
        <x:f>IF(A403="","",IF(NOT(ISNUMBER(G403)),"Réception manquante",IF(AND(ISNUMBER(H403),H403&lt;G403),"Incohérent",IF('Paramètres'!$E$9="",IF(ISNUMBER(H403),"Répondue / cible absente","Sans réponse / cible absente"),IF(ISNUMBER(H403),IF(M403&lt;='Paramètres'!$E$9,"Dans le délai","Hors délai"),IF('Tableau de bord'!$F$5-G403&gt;'Paramètres'!$E$9,"Retard","En attente"))))))</x:f>
      </x:c>
      <x:c r="O403" s="9"/>
    </x:row>
    <x:row r="404" ht="23" customHeight="1">
      <x:c r="A404" s="9"/>
      <x:c r="B404" s="9"/>
      <x:c r="C404" s="9"/>
      <x:c r="D404" s="9"/>
      <x:c r="E404" s="9"/>
      <x:c r="F404" s="11"/>
      <x:c r="G404" s="11"/>
      <x:c r="H404" s="11"/>
      <x:c r="I404" s="9"/>
      <x:c r="J404" s="9"/>
      <x:c r="K404" s="9"/>
      <x:c r="L404" s="9"/>
      <x:c r="M404" s="12" t="str">
        <x:f>IF(A404="","",IF(AND(ISNUMBER(G404),ISNUMBER(H404)),H404-G404,""))</x:f>
      </x:c>
      <x:c r="N404" s="12" t="str">
        <x:f>IF(A404="","",IF(NOT(ISNUMBER(G404)),"Réception manquante",IF(AND(ISNUMBER(H404),H404&lt;G404),"Incohérent",IF('Paramètres'!$E$9="",IF(ISNUMBER(H404),"Répondue / cible absente","Sans réponse / cible absente"),IF(ISNUMBER(H404),IF(M404&lt;='Paramètres'!$E$9,"Dans le délai","Hors délai"),IF('Tableau de bord'!$F$5-G404&gt;'Paramètres'!$E$9,"Retard","En attente"))))))</x:f>
      </x:c>
      <x:c r="O404" s="9"/>
    </x:row>
    <x:row r="405" ht="23" customHeight="1">
      <x:c r="A405" s="9"/>
      <x:c r="B405" s="9"/>
      <x:c r="C405" s="9"/>
      <x:c r="D405" s="9"/>
      <x:c r="E405" s="9"/>
      <x:c r="F405" s="11"/>
      <x:c r="G405" s="11"/>
      <x:c r="H405" s="11"/>
      <x:c r="I405" s="9"/>
      <x:c r="J405" s="9"/>
      <x:c r="K405" s="9"/>
      <x:c r="L405" s="9"/>
      <x:c r="M405" s="12" t="str">
        <x:f>IF(A405="","",IF(AND(ISNUMBER(G405),ISNUMBER(H405)),H405-G405,""))</x:f>
      </x:c>
      <x:c r="N405" s="12" t="str">
        <x:f>IF(A405="","",IF(NOT(ISNUMBER(G405)),"Réception manquante",IF(AND(ISNUMBER(H405),H405&lt;G405),"Incohérent",IF('Paramètres'!$E$9="",IF(ISNUMBER(H405),"Répondue / cible absente","Sans réponse / cible absente"),IF(ISNUMBER(H405),IF(M405&lt;='Paramètres'!$E$9,"Dans le délai","Hors délai"),IF('Tableau de bord'!$F$5-G405&gt;'Paramètres'!$E$9,"Retard","En attente"))))))</x:f>
      </x:c>
      <x:c r="O405" s="9"/>
    </x:row>
    <x:row r="406" ht="23" customHeight="1">
      <x:c r="A406" s="9"/>
      <x:c r="B406" s="9"/>
      <x:c r="C406" s="9"/>
      <x:c r="D406" s="9"/>
      <x:c r="E406" s="9"/>
      <x:c r="F406" s="11"/>
      <x:c r="G406" s="11"/>
      <x:c r="H406" s="11"/>
      <x:c r="I406" s="9"/>
      <x:c r="J406" s="9"/>
      <x:c r="K406" s="9"/>
      <x:c r="L406" s="9"/>
      <x:c r="M406" s="12" t="str">
        <x:f>IF(A406="","",IF(AND(ISNUMBER(G406),ISNUMBER(H406)),H406-G406,""))</x:f>
      </x:c>
      <x:c r="N406" s="12" t="str">
        <x:f>IF(A406="","",IF(NOT(ISNUMBER(G406)),"Réception manquante",IF(AND(ISNUMBER(H406),H406&lt;G406),"Incohérent",IF('Paramètres'!$E$9="",IF(ISNUMBER(H406),"Répondue / cible absente","Sans réponse / cible absente"),IF(ISNUMBER(H406),IF(M406&lt;='Paramètres'!$E$9,"Dans le délai","Hors délai"),IF('Tableau de bord'!$F$5-G406&gt;'Paramètres'!$E$9,"Retard","En attente"))))))</x:f>
      </x:c>
      <x:c r="O406" s="9"/>
    </x:row>
    <x:row r="407" ht="23" customHeight="1">
      <x:c r="A407" s="9"/>
      <x:c r="B407" s="9"/>
      <x:c r="C407" s="9"/>
      <x:c r="D407" s="9"/>
      <x:c r="E407" s="9"/>
      <x:c r="F407" s="11"/>
      <x:c r="G407" s="11"/>
      <x:c r="H407" s="11"/>
      <x:c r="I407" s="9"/>
      <x:c r="J407" s="9"/>
      <x:c r="K407" s="9"/>
      <x:c r="L407" s="9"/>
      <x:c r="M407" s="12" t="str">
        <x:f>IF(A407="","",IF(AND(ISNUMBER(G407),ISNUMBER(H407)),H407-G407,""))</x:f>
      </x:c>
      <x:c r="N407" s="12" t="str">
        <x:f>IF(A407="","",IF(NOT(ISNUMBER(G407)),"Réception manquante",IF(AND(ISNUMBER(H407),H407&lt;G407),"Incohérent",IF('Paramètres'!$E$9="",IF(ISNUMBER(H407),"Répondue / cible absente","Sans réponse / cible absente"),IF(ISNUMBER(H407),IF(M407&lt;='Paramètres'!$E$9,"Dans le délai","Hors délai"),IF('Tableau de bord'!$F$5-G407&gt;'Paramètres'!$E$9,"Retard","En attente"))))))</x:f>
      </x:c>
      <x:c r="O407" s="9"/>
    </x:row>
    <x:row r="408" ht="23" customHeight="1">
      <x:c r="A408" s="9"/>
      <x:c r="B408" s="9"/>
      <x:c r="C408" s="9"/>
      <x:c r="D408" s="9"/>
      <x:c r="E408" s="9"/>
      <x:c r="F408" s="11"/>
      <x:c r="G408" s="11"/>
      <x:c r="H408" s="11"/>
      <x:c r="I408" s="9"/>
      <x:c r="J408" s="9"/>
      <x:c r="K408" s="9"/>
      <x:c r="L408" s="9"/>
      <x:c r="M408" s="12" t="str">
        <x:f>IF(A408="","",IF(AND(ISNUMBER(G408),ISNUMBER(H408)),H408-G408,""))</x:f>
      </x:c>
      <x:c r="N408" s="12" t="str">
        <x:f>IF(A408="","",IF(NOT(ISNUMBER(G408)),"Réception manquante",IF(AND(ISNUMBER(H408),H408&lt;G408),"Incohérent",IF('Paramètres'!$E$9="",IF(ISNUMBER(H408),"Répondue / cible absente","Sans réponse / cible absente"),IF(ISNUMBER(H408),IF(M408&lt;='Paramètres'!$E$9,"Dans le délai","Hors délai"),IF('Tableau de bord'!$F$5-G408&gt;'Paramètres'!$E$9,"Retard","En attente"))))))</x:f>
      </x:c>
      <x:c r="O408" s="9"/>
    </x:row>
    <x:row r="409" ht="23" customHeight="1">
      <x:c r="A409" s="9"/>
      <x:c r="B409" s="9"/>
      <x:c r="C409" s="9"/>
      <x:c r="D409" s="9"/>
      <x:c r="E409" s="9"/>
      <x:c r="F409" s="11"/>
      <x:c r="G409" s="11"/>
      <x:c r="H409" s="11"/>
      <x:c r="I409" s="9"/>
      <x:c r="J409" s="9"/>
      <x:c r="K409" s="9"/>
      <x:c r="L409" s="9"/>
      <x:c r="M409" s="12" t="str">
        <x:f>IF(A409="","",IF(AND(ISNUMBER(G409),ISNUMBER(H409)),H409-G409,""))</x:f>
      </x:c>
      <x:c r="N409" s="12" t="str">
        <x:f>IF(A409="","",IF(NOT(ISNUMBER(G409)),"Réception manquante",IF(AND(ISNUMBER(H409),H409&lt;G409),"Incohérent",IF('Paramètres'!$E$9="",IF(ISNUMBER(H409),"Répondue / cible absente","Sans réponse / cible absente"),IF(ISNUMBER(H409),IF(M409&lt;='Paramètres'!$E$9,"Dans le délai","Hors délai"),IF('Tableau de bord'!$F$5-G409&gt;'Paramètres'!$E$9,"Retard","En attente"))))))</x:f>
      </x:c>
      <x:c r="O409" s="9"/>
    </x:row>
    <x:row r="410" ht="23" customHeight="1">
      <x:c r="A410" s="9"/>
      <x:c r="B410" s="9"/>
      <x:c r="C410" s="9"/>
      <x:c r="D410" s="9"/>
      <x:c r="E410" s="9"/>
      <x:c r="F410" s="11"/>
      <x:c r="G410" s="11"/>
      <x:c r="H410" s="11"/>
      <x:c r="I410" s="9"/>
      <x:c r="J410" s="9"/>
      <x:c r="K410" s="9"/>
      <x:c r="L410" s="9"/>
      <x:c r="M410" s="12" t="str">
        <x:f>IF(A410="","",IF(AND(ISNUMBER(G410),ISNUMBER(H410)),H410-G410,""))</x:f>
      </x:c>
      <x:c r="N410" s="12" t="str">
        <x:f>IF(A410="","",IF(NOT(ISNUMBER(G410)),"Réception manquante",IF(AND(ISNUMBER(H410),H410&lt;G410),"Incohérent",IF('Paramètres'!$E$9="",IF(ISNUMBER(H410),"Répondue / cible absente","Sans réponse / cible absente"),IF(ISNUMBER(H410),IF(M410&lt;='Paramètres'!$E$9,"Dans le délai","Hors délai"),IF('Tableau de bord'!$F$5-G410&gt;'Paramètres'!$E$9,"Retard","En attente"))))))</x:f>
      </x:c>
      <x:c r="O410" s="9"/>
    </x:row>
    <x:row r="411" ht="23" customHeight="1">
      <x:c r="A411" s="9"/>
      <x:c r="B411" s="9"/>
      <x:c r="C411" s="9"/>
      <x:c r="D411" s="9"/>
      <x:c r="E411" s="9"/>
      <x:c r="F411" s="11"/>
      <x:c r="G411" s="11"/>
      <x:c r="H411" s="11"/>
      <x:c r="I411" s="9"/>
      <x:c r="J411" s="9"/>
      <x:c r="K411" s="9"/>
      <x:c r="L411" s="9"/>
      <x:c r="M411" s="12" t="str">
        <x:f>IF(A411="","",IF(AND(ISNUMBER(G411),ISNUMBER(H411)),H411-G411,""))</x:f>
      </x:c>
      <x:c r="N411" s="12" t="str">
        <x:f>IF(A411="","",IF(NOT(ISNUMBER(G411)),"Réception manquante",IF(AND(ISNUMBER(H411),H411&lt;G411),"Incohérent",IF('Paramètres'!$E$9="",IF(ISNUMBER(H411),"Répondue / cible absente","Sans réponse / cible absente"),IF(ISNUMBER(H411),IF(M411&lt;='Paramètres'!$E$9,"Dans le délai","Hors délai"),IF('Tableau de bord'!$F$5-G411&gt;'Paramètres'!$E$9,"Retard","En attente"))))))</x:f>
      </x:c>
      <x:c r="O411" s="9"/>
    </x:row>
    <x:row r="412" ht="23" customHeight="1">
      <x:c r="A412" s="9"/>
      <x:c r="B412" s="9"/>
      <x:c r="C412" s="9"/>
      <x:c r="D412" s="9"/>
      <x:c r="E412" s="9"/>
      <x:c r="F412" s="11"/>
      <x:c r="G412" s="11"/>
      <x:c r="H412" s="11"/>
      <x:c r="I412" s="9"/>
      <x:c r="J412" s="9"/>
      <x:c r="K412" s="9"/>
      <x:c r="L412" s="9"/>
      <x:c r="M412" s="12" t="str">
        <x:f>IF(A412="","",IF(AND(ISNUMBER(G412),ISNUMBER(H412)),H412-G412,""))</x:f>
      </x:c>
      <x:c r="N412" s="12" t="str">
        <x:f>IF(A412="","",IF(NOT(ISNUMBER(G412)),"Réception manquante",IF(AND(ISNUMBER(H412),H412&lt;G412),"Incohérent",IF('Paramètres'!$E$9="",IF(ISNUMBER(H412),"Répondue / cible absente","Sans réponse / cible absente"),IF(ISNUMBER(H412),IF(M412&lt;='Paramètres'!$E$9,"Dans le délai","Hors délai"),IF('Tableau de bord'!$F$5-G412&gt;'Paramètres'!$E$9,"Retard","En attente"))))))</x:f>
      </x:c>
      <x:c r="O412" s="9"/>
    </x:row>
    <x:row r="413" ht="23" customHeight="1">
      <x:c r="A413" s="9"/>
      <x:c r="B413" s="9"/>
      <x:c r="C413" s="9"/>
      <x:c r="D413" s="9"/>
      <x:c r="E413" s="9"/>
      <x:c r="F413" s="11"/>
      <x:c r="G413" s="11"/>
      <x:c r="H413" s="11"/>
      <x:c r="I413" s="9"/>
      <x:c r="J413" s="9"/>
      <x:c r="K413" s="9"/>
      <x:c r="L413" s="9"/>
      <x:c r="M413" s="12" t="str">
        <x:f>IF(A413="","",IF(AND(ISNUMBER(G413),ISNUMBER(H413)),H413-G413,""))</x:f>
      </x:c>
      <x:c r="N413" s="12" t="str">
        <x:f>IF(A413="","",IF(NOT(ISNUMBER(G413)),"Réception manquante",IF(AND(ISNUMBER(H413),H413&lt;G413),"Incohérent",IF('Paramètres'!$E$9="",IF(ISNUMBER(H413),"Répondue / cible absente","Sans réponse / cible absente"),IF(ISNUMBER(H413),IF(M413&lt;='Paramètres'!$E$9,"Dans le délai","Hors délai"),IF('Tableau de bord'!$F$5-G413&gt;'Paramètres'!$E$9,"Retard","En attente"))))))</x:f>
      </x:c>
      <x:c r="O413" s="9"/>
    </x:row>
    <x:row r="414" ht="23" customHeight="1">
      <x:c r="A414" s="9"/>
      <x:c r="B414" s="9"/>
      <x:c r="C414" s="9"/>
      <x:c r="D414" s="9"/>
      <x:c r="E414" s="9"/>
      <x:c r="F414" s="11"/>
      <x:c r="G414" s="11"/>
      <x:c r="H414" s="11"/>
      <x:c r="I414" s="9"/>
      <x:c r="J414" s="9"/>
      <x:c r="K414" s="9"/>
      <x:c r="L414" s="9"/>
      <x:c r="M414" s="12" t="str">
        <x:f>IF(A414="","",IF(AND(ISNUMBER(G414),ISNUMBER(H414)),H414-G414,""))</x:f>
      </x:c>
      <x:c r="N414" s="12" t="str">
        <x:f>IF(A414="","",IF(NOT(ISNUMBER(G414)),"Réception manquante",IF(AND(ISNUMBER(H414),H414&lt;G414),"Incohérent",IF('Paramètres'!$E$9="",IF(ISNUMBER(H414),"Répondue / cible absente","Sans réponse / cible absente"),IF(ISNUMBER(H414),IF(M414&lt;='Paramètres'!$E$9,"Dans le délai","Hors délai"),IF('Tableau de bord'!$F$5-G414&gt;'Paramètres'!$E$9,"Retard","En attente"))))))</x:f>
      </x:c>
      <x:c r="O414" s="9"/>
    </x:row>
    <x:row r="415" ht="23" customHeight="1">
      <x:c r="A415" s="9"/>
      <x:c r="B415" s="9"/>
      <x:c r="C415" s="9"/>
      <x:c r="D415" s="9"/>
      <x:c r="E415" s="9"/>
      <x:c r="F415" s="11"/>
      <x:c r="G415" s="11"/>
      <x:c r="H415" s="11"/>
      <x:c r="I415" s="9"/>
      <x:c r="J415" s="9"/>
      <x:c r="K415" s="9"/>
      <x:c r="L415" s="9"/>
      <x:c r="M415" s="12" t="str">
        <x:f>IF(A415="","",IF(AND(ISNUMBER(G415),ISNUMBER(H415)),H415-G415,""))</x:f>
      </x:c>
      <x:c r="N415" s="12" t="str">
        <x:f>IF(A415="","",IF(NOT(ISNUMBER(G415)),"Réception manquante",IF(AND(ISNUMBER(H415),H415&lt;G415),"Incohérent",IF('Paramètres'!$E$9="",IF(ISNUMBER(H415),"Répondue / cible absente","Sans réponse / cible absente"),IF(ISNUMBER(H415),IF(M415&lt;='Paramètres'!$E$9,"Dans le délai","Hors délai"),IF('Tableau de bord'!$F$5-G415&gt;'Paramètres'!$E$9,"Retard","En attente"))))))</x:f>
      </x:c>
      <x:c r="O415" s="9"/>
    </x:row>
    <x:row r="416" ht="23" customHeight="1">
      <x:c r="A416" s="9"/>
      <x:c r="B416" s="9"/>
      <x:c r="C416" s="9"/>
      <x:c r="D416" s="9"/>
      <x:c r="E416" s="9"/>
      <x:c r="F416" s="11"/>
      <x:c r="G416" s="11"/>
      <x:c r="H416" s="11"/>
      <x:c r="I416" s="9"/>
      <x:c r="J416" s="9"/>
      <x:c r="K416" s="9"/>
      <x:c r="L416" s="9"/>
      <x:c r="M416" s="12" t="str">
        <x:f>IF(A416="","",IF(AND(ISNUMBER(G416),ISNUMBER(H416)),H416-G416,""))</x:f>
      </x:c>
      <x:c r="N416" s="12" t="str">
        <x:f>IF(A416="","",IF(NOT(ISNUMBER(G416)),"Réception manquante",IF(AND(ISNUMBER(H416),H416&lt;G416),"Incohérent",IF('Paramètres'!$E$9="",IF(ISNUMBER(H416),"Répondue / cible absente","Sans réponse / cible absente"),IF(ISNUMBER(H416),IF(M416&lt;='Paramètres'!$E$9,"Dans le délai","Hors délai"),IF('Tableau de bord'!$F$5-G416&gt;'Paramètres'!$E$9,"Retard","En attente"))))))</x:f>
      </x:c>
      <x:c r="O416" s="9"/>
    </x:row>
    <x:row r="417" ht="23" customHeight="1">
      <x:c r="A417" s="9"/>
      <x:c r="B417" s="9"/>
      <x:c r="C417" s="9"/>
      <x:c r="D417" s="9"/>
      <x:c r="E417" s="9"/>
      <x:c r="F417" s="11"/>
      <x:c r="G417" s="11"/>
      <x:c r="H417" s="11"/>
      <x:c r="I417" s="9"/>
      <x:c r="J417" s="9"/>
      <x:c r="K417" s="9"/>
      <x:c r="L417" s="9"/>
      <x:c r="M417" s="12" t="str">
        <x:f>IF(A417="","",IF(AND(ISNUMBER(G417),ISNUMBER(H417)),H417-G417,""))</x:f>
      </x:c>
      <x:c r="N417" s="12" t="str">
        <x:f>IF(A417="","",IF(NOT(ISNUMBER(G417)),"Réception manquante",IF(AND(ISNUMBER(H417),H417&lt;G417),"Incohérent",IF('Paramètres'!$E$9="",IF(ISNUMBER(H417),"Répondue / cible absente","Sans réponse / cible absente"),IF(ISNUMBER(H417),IF(M417&lt;='Paramètres'!$E$9,"Dans le délai","Hors délai"),IF('Tableau de bord'!$F$5-G417&gt;'Paramètres'!$E$9,"Retard","En attente"))))))</x:f>
      </x:c>
      <x:c r="O417" s="9"/>
    </x:row>
    <x:row r="418" ht="23" customHeight="1">
      <x:c r="A418" s="9"/>
      <x:c r="B418" s="9"/>
      <x:c r="C418" s="9"/>
      <x:c r="D418" s="9"/>
      <x:c r="E418" s="9"/>
      <x:c r="F418" s="11"/>
      <x:c r="G418" s="11"/>
      <x:c r="H418" s="11"/>
      <x:c r="I418" s="9"/>
      <x:c r="J418" s="9"/>
      <x:c r="K418" s="9"/>
      <x:c r="L418" s="9"/>
      <x:c r="M418" s="12" t="str">
        <x:f>IF(A418="","",IF(AND(ISNUMBER(G418),ISNUMBER(H418)),H418-G418,""))</x:f>
      </x:c>
      <x:c r="N418" s="12" t="str">
        <x:f>IF(A418="","",IF(NOT(ISNUMBER(G418)),"Réception manquante",IF(AND(ISNUMBER(H418),H418&lt;G418),"Incohérent",IF('Paramètres'!$E$9="",IF(ISNUMBER(H418),"Répondue / cible absente","Sans réponse / cible absente"),IF(ISNUMBER(H418),IF(M418&lt;='Paramètres'!$E$9,"Dans le délai","Hors délai"),IF('Tableau de bord'!$F$5-G418&gt;'Paramètres'!$E$9,"Retard","En attente"))))))</x:f>
      </x:c>
      <x:c r="O418" s="9"/>
    </x:row>
    <x:row r="419" ht="23" customHeight="1">
      <x:c r="A419" s="9"/>
      <x:c r="B419" s="9"/>
      <x:c r="C419" s="9"/>
      <x:c r="D419" s="9"/>
      <x:c r="E419" s="9"/>
      <x:c r="F419" s="11"/>
      <x:c r="G419" s="11"/>
      <x:c r="H419" s="11"/>
      <x:c r="I419" s="9"/>
      <x:c r="J419" s="9"/>
      <x:c r="K419" s="9"/>
      <x:c r="L419" s="9"/>
      <x:c r="M419" s="12" t="str">
        <x:f>IF(A419="","",IF(AND(ISNUMBER(G419),ISNUMBER(H419)),H419-G419,""))</x:f>
      </x:c>
      <x:c r="N419" s="12" t="str">
        <x:f>IF(A419="","",IF(NOT(ISNUMBER(G419)),"Réception manquante",IF(AND(ISNUMBER(H419),H419&lt;G419),"Incohérent",IF('Paramètres'!$E$9="",IF(ISNUMBER(H419),"Répondue / cible absente","Sans réponse / cible absente"),IF(ISNUMBER(H419),IF(M419&lt;='Paramètres'!$E$9,"Dans le délai","Hors délai"),IF('Tableau de bord'!$F$5-G419&gt;'Paramètres'!$E$9,"Retard","En attente"))))))</x:f>
      </x:c>
      <x:c r="O419" s="9"/>
    </x:row>
    <x:row r="420" ht="23" customHeight="1">
      <x:c r="A420" s="9"/>
      <x:c r="B420" s="9"/>
      <x:c r="C420" s="9"/>
      <x:c r="D420" s="9"/>
      <x:c r="E420" s="9"/>
      <x:c r="F420" s="11"/>
      <x:c r="G420" s="11"/>
      <x:c r="H420" s="11"/>
      <x:c r="I420" s="9"/>
      <x:c r="J420" s="9"/>
      <x:c r="K420" s="9"/>
      <x:c r="L420" s="9"/>
      <x:c r="M420" s="12" t="str">
        <x:f>IF(A420="","",IF(AND(ISNUMBER(G420),ISNUMBER(H420)),H420-G420,""))</x:f>
      </x:c>
      <x:c r="N420" s="12" t="str">
        <x:f>IF(A420="","",IF(NOT(ISNUMBER(G420)),"Réception manquante",IF(AND(ISNUMBER(H420),H420&lt;G420),"Incohérent",IF('Paramètres'!$E$9="",IF(ISNUMBER(H420),"Répondue / cible absente","Sans réponse / cible absente"),IF(ISNUMBER(H420),IF(M420&lt;='Paramètres'!$E$9,"Dans le délai","Hors délai"),IF('Tableau de bord'!$F$5-G420&gt;'Paramètres'!$E$9,"Retard","En attente"))))))</x:f>
      </x:c>
      <x:c r="O420" s="9"/>
    </x:row>
    <x:row r="421" ht="23" customHeight="1">
      <x:c r="A421" s="9"/>
      <x:c r="B421" s="9"/>
      <x:c r="C421" s="9"/>
      <x:c r="D421" s="9"/>
      <x:c r="E421" s="9"/>
      <x:c r="F421" s="11"/>
      <x:c r="G421" s="11"/>
      <x:c r="H421" s="11"/>
      <x:c r="I421" s="9"/>
      <x:c r="J421" s="9"/>
      <x:c r="K421" s="9"/>
      <x:c r="L421" s="9"/>
      <x:c r="M421" s="12" t="str">
        <x:f>IF(A421="","",IF(AND(ISNUMBER(G421),ISNUMBER(H421)),H421-G421,""))</x:f>
      </x:c>
      <x:c r="N421" s="12" t="str">
        <x:f>IF(A421="","",IF(NOT(ISNUMBER(G421)),"Réception manquante",IF(AND(ISNUMBER(H421),H421&lt;G421),"Incohérent",IF('Paramètres'!$E$9="",IF(ISNUMBER(H421),"Répondue / cible absente","Sans réponse / cible absente"),IF(ISNUMBER(H421),IF(M421&lt;='Paramètres'!$E$9,"Dans le délai","Hors délai"),IF('Tableau de bord'!$F$5-G421&gt;'Paramètres'!$E$9,"Retard","En attente"))))))</x:f>
      </x:c>
      <x:c r="O421" s="9"/>
    </x:row>
    <x:row r="422" ht="23" customHeight="1">
      <x:c r="A422" s="9"/>
      <x:c r="B422" s="9"/>
      <x:c r="C422" s="9"/>
      <x:c r="D422" s="9"/>
      <x:c r="E422" s="9"/>
      <x:c r="F422" s="11"/>
      <x:c r="G422" s="11"/>
      <x:c r="H422" s="11"/>
      <x:c r="I422" s="9"/>
      <x:c r="J422" s="9"/>
      <x:c r="K422" s="9"/>
      <x:c r="L422" s="9"/>
      <x:c r="M422" s="12" t="str">
        <x:f>IF(A422="","",IF(AND(ISNUMBER(G422),ISNUMBER(H422)),H422-G422,""))</x:f>
      </x:c>
      <x:c r="N422" s="12" t="str">
        <x:f>IF(A422="","",IF(NOT(ISNUMBER(G422)),"Réception manquante",IF(AND(ISNUMBER(H422),H422&lt;G422),"Incohérent",IF('Paramètres'!$E$9="",IF(ISNUMBER(H422),"Répondue / cible absente","Sans réponse / cible absente"),IF(ISNUMBER(H422),IF(M422&lt;='Paramètres'!$E$9,"Dans le délai","Hors délai"),IF('Tableau de bord'!$F$5-G422&gt;'Paramètres'!$E$9,"Retard","En attente"))))))</x:f>
      </x:c>
      <x:c r="O422" s="9"/>
    </x:row>
    <x:row r="423" ht="23" customHeight="1">
      <x:c r="A423" s="9"/>
      <x:c r="B423" s="9"/>
      <x:c r="C423" s="9"/>
      <x:c r="D423" s="9"/>
      <x:c r="E423" s="9"/>
      <x:c r="F423" s="11"/>
      <x:c r="G423" s="11"/>
      <x:c r="H423" s="11"/>
      <x:c r="I423" s="9"/>
      <x:c r="J423" s="9"/>
      <x:c r="K423" s="9"/>
      <x:c r="L423" s="9"/>
      <x:c r="M423" s="12" t="str">
        <x:f>IF(A423="","",IF(AND(ISNUMBER(G423),ISNUMBER(H423)),H423-G423,""))</x:f>
      </x:c>
      <x:c r="N423" s="12" t="str">
        <x:f>IF(A423="","",IF(NOT(ISNUMBER(G423)),"Réception manquante",IF(AND(ISNUMBER(H423),H423&lt;G423),"Incohérent",IF('Paramètres'!$E$9="",IF(ISNUMBER(H423),"Répondue / cible absente","Sans réponse / cible absente"),IF(ISNUMBER(H423),IF(M423&lt;='Paramètres'!$E$9,"Dans le délai","Hors délai"),IF('Tableau de bord'!$F$5-G423&gt;'Paramètres'!$E$9,"Retard","En attente"))))))</x:f>
      </x:c>
      <x:c r="O423" s="9"/>
    </x:row>
    <x:row r="424" ht="23" customHeight="1">
      <x:c r="A424" s="9"/>
      <x:c r="B424" s="9"/>
      <x:c r="C424" s="9"/>
      <x:c r="D424" s="9"/>
      <x:c r="E424" s="9"/>
      <x:c r="F424" s="11"/>
      <x:c r="G424" s="11"/>
      <x:c r="H424" s="11"/>
      <x:c r="I424" s="9"/>
      <x:c r="J424" s="9"/>
      <x:c r="K424" s="9"/>
      <x:c r="L424" s="9"/>
      <x:c r="M424" s="12" t="str">
        <x:f>IF(A424="","",IF(AND(ISNUMBER(G424),ISNUMBER(H424)),H424-G424,""))</x:f>
      </x:c>
      <x:c r="N424" s="12" t="str">
        <x:f>IF(A424="","",IF(NOT(ISNUMBER(G424)),"Réception manquante",IF(AND(ISNUMBER(H424),H424&lt;G424),"Incohérent",IF('Paramètres'!$E$9="",IF(ISNUMBER(H424),"Répondue / cible absente","Sans réponse / cible absente"),IF(ISNUMBER(H424),IF(M424&lt;='Paramètres'!$E$9,"Dans le délai","Hors délai"),IF('Tableau de bord'!$F$5-G424&gt;'Paramètres'!$E$9,"Retard","En attente"))))))</x:f>
      </x:c>
      <x:c r="O424" s="9"/>
    </x:row>
    <x:row r="425" ht="23" customHeight="1">
      <x:c r="A425" s="9"/>
      <x:c r="B425" s="9"/>
      <x:c r="C425" s="9"/>
      <x:c r="D425" s="9"/>
      <x:c r="E425" s="9"/>
      <x:c r="F425" s="11"/>
      <x:c r="G425" s="11"/>
      <x:c r="H425" s="11"/>
      <x:c r="I425" s="9"/>
      <x:c r="J425" s="9"/>
      <x:c r="K425" s="9"/>
      <x:c r="L425" s="9"/>
      <x:c r="M425" s="12" t="str">
        <x:f>IF(A425="","",IF(AND(ISNUMBER(G425),ISNUMBER(H425)),H425-G425,""))</x:f>
      </x:c>
      <x:c r="N425" s="12" t="str">
        <x:f>IF(A425="","",IF(NOT(ISNUMBER(G425)),"Réception manquante",IF(AND(ISNUMBER(H425),H425&lt;G425),"Incohérent",IF('Paramètres'!$E$9="",IF(ISNUMBER(H425),"Répondue / cible absente","Sans réponse / cible absente"),IF(ISNUMBER(H425),IF(M425&lt;='Paramètres'!$E$9,"Dans le délai","Hors délai"),IF('Tableau de bord'!$F$5-G425&gt;'Paramètres'!$E$9,"Retard","En attente"))))))</x:f>
      </x:c>
      <x:c r="O425" s="9"/>
    </x:row>
    <x:row r="426" ht="23" customHeight="1">
      <x:c r="A426" s="9"/>
      <x:c r="B426" s="9"/>
      <x:c r="C426" s="9"/>
      <x:c r="D426" s="9"/>
      <x:c r="E426" s="9"/>
      <x:c r="F426" s="11"/>
      <x:c r="G426" s="11"/>
      <x:c r="H426" s="11"/>
      <x:c r="I426" s="9"/>
      <x:c r="J426" s="9"/>
      <x:c r="K426" s="9"/>
      <x:c r="L426" s="9"/>
      <x:c r="M426" s="12" t="str">
        <x:f>IF(A426="","",IF(AND(ISNUMBER(G426),ISNUMBER(H426)),H426-G426,""))</x:f>
      </x:c>
      <x:c r="N426" s="12" t="str">
        <x:f>IF(A426="","",IF(NOT(ISNUMBER(G426)),"Réception manquante",IF(AND(ISNUMBER(H426),H426&lt;G426),"Incohérent",IF('Paramètres'!$E$9="",IF(ISNUMBER(H426),"Répondue / cible absente","Sans réponse / cible absente"),IF(ISNUMBER(H426),IF(M426&lt;='Paramètres'!$E$9,"Dans le délai","Hors délai"),IF('Tableau de bord'!$F$5-G426&gt;'Paramètres'!$E$9,"Retard","En attente"))))))</x:f>
      </x:c>
      <x:c r="O426" s="9"/>
    </x:row>
    <x:row r="427" ht="23" customHeight="1">
      <x:c r="A427" s="9"/>
      <x:c r="B427" s="9"/>
      <x:c r="C427" s="9"/>
      <x:c r="D427" s="9"/>
      <x:c r="E427" s="9"/>
      <x:c r="F427" s="11"/>
      <x:c r="G427" s="11"/>
      <x:c r="H427" s="11"/>
      <x:c r="I427" s="9"/>
      <x:c r="J427" s="9"/>
      <x:c r="K427" s="9"/>
      <x:c r="L427" s="9"/>
      <x:c r="M427" s="12" t="str">
        <x:f>IF(A427="","",IF(AND(ISNUMBER(G427),ISNUMBER(H427)),H427-G427,""))</x:f>
      </x:c>
      <x:c r="N427" s="12" t="str">
        <x:f>IF(A427="","",IF(NOT(ISNUMBER(G427)),"Réception manquante",IF(AND(ISNUMBER(H427),H427&lt;G427),"Incohérent",IF('Paramètres'!$E$9="",IF(ISNUMBER(H427),"Répondue / cible absente","Sans réponse / cible absente"),IF(ISNUMBER(H427),IF(M427&lt;='Paramètres'!$E$9,"Dans le délai","Hors délai"),IF('Tableau de bord'!$F$5-G427&gt;'Paramètres'!$E$9,"Retard","En attente"))))))</x:f>
      </x:c>
      <x:c r="O427" s="9"/>
    </x:row>
    <x:row r="428" ht="23" customHeight="1">
      <x:c r="A428" s="9"/>
      <x:c r="B428" s="9"/>
      <x:c r="C428" s="9"/>
      <x:c r="D428" s="9"/>
      <x:c r="E428" s="9"/>
      <x:c r="F428" s="11"/>
      <x:c r="G428" s="11"/>
      <x:c r="H428" s="11"/>
      <x:c r="I428" s="9"/>
      <x:c r="J428" s="9"/>
      <x:c r="K428" s="9"/>
      <x:c r="L428" s="9"/>
      <x:c r="M428" s="12" t="str">
        <x:f>IF(A428="","",IF(AND(ISNUMBER(G428),ISNUMBER(H428)),H428-G428,""))</x:f>
      </x:c>
      <x:c r="N428" s="12" t="str">
        <x:f>IF(A428="","",IF(NOT(ISNUMBER(G428)),"Réception manquante",IF(AND(ISNUMBER(H428),H428&lt;G428),"Incohérent",IF('Paramètres'!$E$9="",IF(ISNUMBER(H428),"Répondue / cible absente","Sans réponse / cible absente"),IF(ISNUMBER(H428),IF(M428&lt;='Paramètres'!$E$9,"Dans le délai","Hors délai"),IF('Tableau de bord'!$F$5-G428&gt;'Paramètres'!$E$9,"Retard","En attente"))))))</x:f>
      </x:c>
      <x:c r="O428" s="9"/>
    </x:row>
    <x:row r="429" ht="23" customHeight="1">
      <x:c r="A429" s="9"/>
      <x:c r="B429" s="9"/>
      <x:c r="C429" s="9"/>
      <x:c r="D429" s="9"/>
      <x:c r="E429" s="9"/>
      <x:c r="F429" s="11"/>
      <x:c r="G429" s="11"/>
      <x:c r="H429" s="11"/>
      <x:c r="I429" s="9"/>
      <x:c r="J429" s="9"/>
      <x:c r="K429" s="9"/>
      <x:c r="L429" s="9"/>
      <x:c r="M429" s="12" t="str">
        <x:f>IF(A429="","",IF(AND(ISNUMBER(G429),ISNUMBER(H429)),H429-G429,""))</x:f>
      </x:c>
      <x:c r="N429" s="12" t="str">
        <x:f>IF(A429="","",IF(NOT(ISNUMBER(G429)),"Réception manquante",IF(AND(ISNUMBER(H429),H429&lt;G429),"Incohérent",IF('Paramètres'!$E$9="",IF(ISNUMBER(H429),"Répondue / cible absente","Sans réponse / cible absente"),IF(ISNUMBER(H429),IF(M429&lt;='Paramètres'!$E$9,"Dans le délai","Hors délai"),IF('Tableau de bord'!$F$5-G429&gt;'Paramètres'!$E$9,"Retard","En attente"))))))</x:f>
      </x:c>
      <x:c r="O429" s="9"/>
    </x:row>
    <x:row r="430" ht="23" customHeight="1">
      <x:c r="A430" s="9"/>
      <x:c r="B430" s="9"/>
      <x:c r="C430" s="9"/>
      <x:c r="D430" s="9"/>
      <x:c r="E430" s="9"/>
      <x:c r="F430" s="11"/>
      <x:c r="G430" s="11"/>
      <x:c r="H430" s="11"/>
      <x:c r="I430" s="9"/>
      <x:c r="J430" s="9"/>
      <x:c r="K430" s="9"/>
      <x:c r="L430" s="9"/>
      <x:c r="M430" s="12" t="str">
        <x:f>IF(A430="","",IF(AND(ISNUMBER(G430),ISNUMBER(H430)),H430-G430,""))</x:f>
      </x:c>
      <x:c r="N430" s="12" t="str">
        <x:f>IF(A430="","",IF(NOT(ISNUMBER(G430)),"Réception manquante",IF(AND(ISNUMBER(H430),H430&lt;G430),"Incohérent",IF('Paramètres'!$E$9="",IF(ISNUMBER(H430),"Répondue / cible absente","Sans réponse / cible absente"),IF(ISNUMBER(H430),IF(M430&lt;='Paramètres'!$E$9,"Dans le délai","Hors délai"),IF('Tableau de bord'!$F$5-G430&gt;'Paramètres'!$E$9,"Retard","En attente"))))))</x:f>
      </x:c>
      <x:c r="O430" s="9"/>
    </x:row>
    <x:row r="431" ht="23" customHeight="1">
      <x:c r="A431" s="9"/>
      <x:c r="B431" s="9"/>
      <x:c r="C431" s="9"/>
      <x:c r="D431" s="9"/>
      <x:c r="E431" s="9"/>
      <x:c r="F431" s="11"/>
      <x:c r="G431" s="11"/>
      <x:c r="H431" s="11"/>
      <x:c r="I431" s="9"/>
      <x:c r="J431" s="9"/>
      <x:c r="K431" s="9"/>
      <x:c r="L431" s="9"/>
      <x:c r="M431" s="12" t="str">
        <x:f>IF(A431="","",IF(AND(ISNUMBER(G431),ISNUMBER(H431)),H431-G431,""))</x:f>
      </x:c>
      <x:c r="N431" s="12" t="str">
        <x:f>IF(A431="","",IF(NOT(ISNUMBER(G431)),"Réception manquante",IF(AND(ISNUMBER(H431),H431&lt;G431),"Incohérent",IF('Paramètres'!$E$9="",IF(ISNUMBER(H431),"Répondue / cible absente","Sans réponse / cible absente"),IF(ISNUMBER(H431),IF(M431&lt;='Paramètres'!$E$9,"Dans le délai","Hors délai"),IF('Tableau de bord'!$F$5-G431&gt;'Paramètres'!$E$9,"Retard","En attente"))))))</x:f>
      </x:c>
      <x:c r="O431" s="9"/>
    </x:row>
    <x:row r="432" ht="23" customHeight="1">
      <x:c r="A432" s="9"/>
      <x:c r="B432" s="9"/>
      <x:c r="C432" s="9"/>
      <x:c r="D432" s="9"/>
      <x:c r="E432" s="9"/>
      <x:c r="F432" s="11"/>
      <x:c r="G432" s="11"/>
      <x:c r="H432" s="11"/>
      <x:c r="I432" s="9"/>
      <x:c r="J432" s="9"/>
      <x:c r="K432" s="9"/>
      <x:c r="L432" s="9"/>
      <x:c r="M432" s="12" t="str">
        <x:f>IF(A432="","",IF(AND(ISNUMBER(G432),ISNUMBER(H432)),H432-G432,""))</x:f>
      </x:c>
      <x:c r="N432" s="12" t="str">
        <x:f>IF(A432="","",IF(NOT(ISNUMBER(G432)),"Réception manquante",IF(AND(ISNUMBER(H432),H432&lt;G432),"Incohérent",IF('Paramètres'!$E$9="",IF(ISNUMBER(H432),"Répondue / cible absente","Sans réponse / cible absente"),IF(ISNUMBER(H432),IF(M432&lt;='Paramètres'!$E$9,"Dans le délai","Hors délai"),IF('Tableau de bord'!$F$5-G432&gt;'Paramètres'!$E$9,"Retard","En attente"))))))</x:f>
      </x:c>
      <x:c r="O432" s="9"/>
    </x:row>
    <x:row r="433" ht="23" customHeight="1">
      <x:c r="A433" s="9"/>
      <x:c r="B433" s="9"/>
      <x:c r="C433" s="9"/>
      <x:c r="D433" s="9"/>
      <x:c r="E433" s="9"/>
      <x:c r="F433" s="11"/>
      <x:c r="G433" s="11"/>
      <x:c r="H433" s="11"/>
      <x:c r="I433" s="9"/>
      <x:c r="J433" s="9"/>
      <x:c r="K433" s="9"/>
      <x:c r="L433" s="9"/>
      <x:c r="M433" s="12" t="str">
        <x:f>IF(A433="","",IF(AND(ISNUMBER(G433),ISNUMBER(H433)),H433-G433,""))</x:f>
      </x:c>
      <x:c r="N433" s="12" t="str">
        <x:f>IF(A433="","",IF(NOT(ISNUMBER(G433)),"Réception manquante",IF(AND(ISNUMBER(H433),H433&lt;G433),"Incohérent",IF('Paramètres'!$E$9="",IF(ISNUMBER(H433),"Répondue / cible absente","Sans réponse / cible absente"),IF(ISNUMBER(H433),IF(M433&lt;='Paramètres'!$E$9,"Dans le délai","Hors délai"),IF('Tableau de bord'!$F$5-G433&gt;'Paramètres'!$E$9,"Retard","En attente"))))))</x:f>
      </x:c>
      <x:c r="O433" s="9"/>
    </x:row>
    <x:row r="434" ht="23" customHeight="1">
      <x:c r="A434" s="9"/>
      <x:c r="B434" s="9"/>
      <x:c r="C434" s="9"/>
      <x:c r="D434" s="9"/>
      <x:c r="E434" s="9"/>
      <x:c r="F434" s="11"/>
      <x:c r="G434" s="11"/>
      <x:c r="H434" s="11"/>
      <x:c r="I434" s="9"/>
      <x:c r="J434" s="9"/>
      <x:c r="K434" s="9"/>
      <x:c r="L434" s="9"/>
      <x:c r="M434" s="12" t="str">
        <x:f>IF(A434="","",IF(AND(ISNUMBER(G434),ISNUMBER(H434)),H434-G434,""))</x:f>
      </x:c>
      <x:c r="N434" s="12" t="str">
        <x:f>IF(A434="","",IF(NOT(ISNUMBER(G434)),"Réception manquante",IF(AND(ISNUMBER(H434),H434&lt;G434),"Incohérent",IF('Paramètres'!$E$9="",IF(ISNUMBER(H434),"Répondue / cible absente","Sans réponse / cible absente"),IF(ISNUMBER(H434),IF(M434&lt;='Paramètres'!$E$9,"Dans le délai","Hors délai"),IF('Tableau de bord'!$F$5-G434&gt;'Paramètres'!$E$9,"Retard","En attente"))))))</x:f>
      </x:c>
      <x:c r="O434" s="9"/>
    </x:row>
    <x:row r="435" ht="23" customHeight="1">
      <x:c r="A435" s="9"/>
      <x:c r="B435" s="9"/>
      <x:c r="C435" s="9"/>
      <x:c r="D435" s="9"/>
      <x:c r="E435" s="9"/>
      <x:c r="F435" s="11"/>
      <x:c r="G435" s="11"/>
      <x:c r="H435" s="11"/>
      <x:c r="I435" s="9"/>
      <x:c r="J435" s="9"/>
      <x:c r="K435" s="9"/>
      <x:c r="L435" s="9"/>
      <x:c r="M435" s="12" t="str">
        <x:f>IF(A435="","",IF(AND(ISNUMBER(G435),ISNUMBER(H435)),H435-G435,""))</x:f>
      </x:c>
      <x:c r="N435" s="12" t="str">
        <x:f>IF(A435="","",IF(NOT(ISNUMBER(G435)),"Réception manquante",IF(AND(ISNUMBER(H435),H435&lt;G435),"Incohérent",IF('Paramètres'!$E$9="",IF(ISNUMBER(H435),"Répondue / cible absente","Sans réponse / cible absente"),IF(ISNUMBER(H435),IF(M435&lt;='Paramètres'!$E$9,"Dans le délai","Hors délai"),IF('Tableau de bord'!$F$5-G435&gt;'Paramètres'!$E$9,"Retard","En attente"))))))</x:f>
      </x:c>
      <x:c r="O435" s="9"/>
    </x:row>
    <x:row r="436" ht="23" customHeight="1">
      <x:c r="A436" s="9"/>
      <x:c r="B436" s="9"/>
      <x:c r="C436" s="9"/>
      <x:c r="D436" s="9"/>
      <x:c r="E436" s="9"/>
      <x:c r="F436" s="11"/>
      <x:c r="G436" s="11"/>
      <x:c r="H436" s="11"/>
      <x:c r="I436" s="9"/>
      <x:c r="J436" s="9"/>
      <x:c r="K436" s="9"/>
      <x:c r="L436" s="9"/>
      <x:c r="M436" s="12" t="str">
        <x:f>IF(A436="","",IF(AND(ISNUMBER(G436),ISNUMBER(H436)),H436-G436,""))</x:f>
      </x:c>
      <x:c r="N436" s="12" t="str">
        <x:f>IF(A436="","",IF(NOT(ISNUMBER(G436)),"Réception manquante",IF(AND(ISNUMBER(H436),H436&lt;G436),"Incohérent",IF('Paramètres'!$E$9="",IF(ISNUMBER(H436),"Répondue / cible absente","Sans réponse / cible absente"),IF(ISNUMBER(H436),IF(M436&lt;='Paramètres'!$E$9,"Dans le délai","Hors délai"),IF('Tableau de bord'!$F$5-G436&gt;'Paramètres'!$E$9,"Retard","En attente"))))))</x:f>
      </x:c>
      <x:c r="O436" s="9"/>
    </x:row>
    <x:row r="437" ht="23" customHeight="1">
      <x:c r="A437" s="9"/>
      <x:c r="B437" s="9"/>
      <x:c r="C437" s="9"/>
      <x:c r="D437" s="9"/>
      <x:c r="E437" s="9"/>
      <x:c r="F437" s="11"/>
      <x:c r="G437" s="11"/>
      <x:c r="H437" s="11"/>
      <x:c r="I437" s="9"/>
      <x:c r="J437" s="9"/>
      <x:c r="K437" s="9"/>
      <x:c r="L437" s="9"/>
      <x:c r="M437" s="12" t="str">
        <x:f>IF(A437="","",IF(AND(ISNUMBER(G437),ISNUMBER(H437)),H437-G437,""))</x:f>
      </x:c>
      <x:c r="N437" s="12" t="str">
        <x:f>IF(A437="","",IF(NOT(ISNUMBER(G437)),"Réception manquante",IF(AND(ISNUMBER(H437),H437&lt;G437),"Incohérent",IF('Paramètres'!$E$9="",IF(ISNUMBER(H437),"Répondue / cible absente","Sans réponse / cible absente"),IF(ISNUMBER(H437),IF(M437&lt;='Paramètres'!$E$9,"Dans le délai","Hors délai"),IF('Tableau de bord'!$F$5-G437&gt;'Paramètres'!$E$9,"Retard","En attente"))))))</x:f>
      </x:c>
      <x:c r="O437" s="9"/>
    </x:row>
    <x:row r="438" ht="23" customHeight="1">
      <x:c r="A438" s="9"/>
      <x:c r="B438" s="9"/>
      <x:c r="C438" s="9"/>
      <x:c r="D438" s="9"/>
      <x:c r="E438" s="9"/>
      <x:c r="F438" s="11"/>
      <x:c r="G438" s="11"/>
      <x:c r="H438" s="11"/>
      <x:c r="I438" s="9"/>
      <x:c r="J438" s="9"/>
      <x:c r="K438" s="9"/>
      <x:c r="L438" s="9"/>
      <x:c r="M438" s="12" t="str">
        <x:f>IF(A438="","",IF(AND(ISNUMBER(G438),ISNUMBER(H438)),H438-G438,""))</x:f>
      </x:c>
      <x:c r="N438" s="12" t="str">
        <x:f>IF(A438="","",IF(NOT(ISNUMBER(G438)),"Réception manquante",IF(AND(ISNUMBER(H438),H438&lt;G438),"Incohérent",IF('Paramètres'!$E$9="",IF(ISNUMBER(H438),"Répondue / cible absente","Sans réponse / cible absente"),IF(ISNUMBER(H438),IF(M438&lt;='Paramètres'!$E$9,"Dans le délai","Hors délai"),IF('Tableau de bord'!$F$5-G438&gt;'Paramètres'!$E$9,"Retard","En attente"))))))</x:f>
      </x:c>
      <x:c r="O438" s="9"/>
    </x:row>
    <x:row r="439" ht="23" customHeight="1">
      <x:c r="A439" s="9"/>
      <x:c r="B439" s="9"/>
      <x:c r="C439" s="9"/>
      <x:c r="D439" s="9"/>
      <x:c r="E439" s="9"/>
      <x:c r="F439" s="11"/>
      <x:c r="G439" s="11"/>
      <x:c r="H439" s="11"/>
      <x:c r="I439" s="9"/>
      <x:c r="J439" s="9"/>
      <x:c r="K439" s="9"/>
      <x:c r="L439" s="9"/>
      <x:c r="M439" s="12" t="str">
        <x:f>IF(A439="","",IF(AND(ISNUMBER(G439),ISNUMBER(H439)),H439-G439,""))</x:f>
      </x:c>
      <x:c r="N439" s="12" t="str">
        <x:f>IF(A439="","",IF(NOT(ISNUMBER(G439)),"Réception manquante",IF(AND(ISNUMBER(H439),H439&lt;G439),"Incohérent",IF('Paramètres'!$E$9="",IF(ISNUMBER(H439),"Répondue / cible absente","Sans réponse / cible absente"),IF(ISNUMBER(H439),IF(M439&lt;='Paramètres'!$E$9,"Dans le délai","Hors délai"),IF('Tableau de bord'!$F$5-G439&gt;'Paramètres'!$E$9,"Retard","En attente"))))))</x:f>
      </x:c>
      <x:c r="O439" s="9"/>
    </x:row>
    <x:row r="440" ht="23" customHeight="1">
      <x:c r="A440" s="9"/>
      <x:c r="B440" s="9"/>
      <x:c r="C440" s="9"/>
      <x:c r="D440" s="9"/>
      <x:c r="E440" s="9"/>
      <x:c r="F440" s="11"/>
      <x:c r="G440" s="11"/>
      <x:c r="H440" s="11"/>
      <x:c r="I440" s="9"/>
      <x:c r="J440" s="9"/>
      <x:c r="K440" s="9"/>
      <x:c r="L440" s="9"/>
      <x:c r="M440" s="12" t="str">
        <x:f>IF(A440="","",IF(AND(ISNUMBER(G440),ISNUMBER(H440)),H440-G440,""))</x:f>
      </x:c>
      <x:c r="N440" s="12" t="str">
        <x:f>IF(A440="","",IF(NOT(ISNUMBER(G440)),"Réception manquante",IF(AND(ISNUMBER(H440),H440&lt;G440),"Incohérent",IF('Paramètres'!$E$9="",IF(ISNUMBER(H440),"Répondue / cible absente","Sans réponse / cible absente"),IF(ISNUMBER(H440),IF(M440&lt;='Paramètres'!$E$9,"Dans le délai","Hors délai"),IF('Tableau de bord'!$F$5-G440&gt;'Paramètres'!$E$9,"Retard","En attente"))))))</x:f>
      </x:c>
      <x:c r="O440" s="9"/>
    </x:row>
    <x:row r="441" ht="23" customHeight="1">
      <x:c r="A441" s="9"/>
      <x:c r="B441" s="9"/>
      <x:c r="C441" s="9"/>
      <x:c r="D441" s="9"/>
      <x:c r="E441" s="9"/>
      <x:c r="F441" s="11"/>
      <x:c r="G441" s="11"/>
      <x:c r="H441" s="11"/>
      <x:c r="I441" s="9"/>
      <x:c r="J441" s="9"/>
      <x:c r="K441" s="9"/>
      <x:c r="L441" s="9"/>
      <x:c r="M441" s="12" t="str">
        <x:f>IF(A441="","",IF(AND(ISNUMBER(G441),ISNUMBER(H441)),H441-G441,""))</x:f>
      </x:c>
      <x:c r="N441" s="12" t="str">
        <x:f>IF(A441="","",IF(NOT(ISNUMBER(G441)),"Réception manquante",IF(AND(ISNUMBER(H441),H441&lt;G441),"Incohérent",IF('Paramètres'!$E$9="",IF(ISNUMBER(H441),"Répondue / cible absente","Sans réponse / cible absente"),IF(ISNUMBER(H441),IF(M441&lt;='Paramètres'!$E$9,"Dans le délai","Hors délai"),IF('Tableau de bord'!$F$5-G441&gt;'Paramètres'!$E$9,"Retard","En attente"))))))</x:f>
      </x:c>
      <x:c r="O441" s="9"/>
    </x:row>
    <x:row r="442" ht="23" customHeight="1">
      <x:c r="A442" s="9"/>
      <x:c r="B442" s="9"/>
      <x:c r="C442" s="9"/>
      <x:c r="D442" s="9"/>
      <x:c r="E442" s="9"/>
      <x:c r="F442" s="11"/>
      <x:c r="G442" s="11"/>
      <x:c r="H442" s="11"/>
      <x:c r="I442" s="9"/>
      <x:c r="J442" s="9"/>
      <x:c r="K442" s="9"/>
      <x:c r="L442" s="9"/>
      <x:c r="M442" s="12" t="str">
        <x:f>IF(A442="","",IF(AND(ISNUMBER(G442),ISNUMBER(H442)),H442-G442,""))</x:f>
      </x:c>
      <x:c r="N442" s="12" t="str">
        <x:f>IF(A442="","",IF(NOT(ISNUMBER(G442)),"Réception manquante",IF(AND(ISNUMBER(H442),H442&lt;G442),"Incohérent",IF('Paramètres'!$E$9="",IF(ISNUMBER(H442),"Répondue / cible absente","Sans réponse / cible absente"),IF(ISNUMBER(H442),IF(M442&lt;='Paramètres'!$E$9,"Dans le délai","Hors délai"),IF('Tableau de bord'!$F$5-G442&gt;'Paramètres'!$E$9,"Retard","En attente"))))))</x:f>
      </x:c>
      <x:c r="O442" s="9"/>
    </x:row>
    <x:row r="443" ht="23" customHeight="1">
      <x:c r="A443" s="9"/>
      <x:c r="B443" s="9"/>
      <x:c r="C443" s="9"/>
      <x:c r="D443" s="9"/>
      <x:c r="E443" s="9"/>
      <x:c r="F443" s="11"/>
      <x:c r="G443" s="11"/>
      <x:c r="H443" s="11"/>
      <x:c r="I443" s="9"/>
      <x:c r="J443" s="9"/>
      <x:c r="K443" s="9"/>
      <x:c r="L443" s="9"/>
      <x:c r="M443" s="12" t="str">
        <x:f>IF(A443="","",IF(AND(ISNUMBER(G443),ISNUMBER(H443)),H443-G443,""))</x:f>
      </x:c>
      <x:c r="N443" s="12" t="str">
        <x:f>IF(A443="","",IF(NOT(ISNUMBER(G443)),"Réception manquante",IF(AND(ISNUMBER(H443),H443&lt;G443),"Incohérent",IF('Paramètres'!$E$9="",IF(ISNUMBER(H443),"Répondue / cible absente","Sans réponse / cible absente"),IF(ISNUMBER(H443),IF(M443&lt;='Paramètres'!$E$9,"Dans le délai","Hors délai"),IF('Tableau de bord'!$F$5-G443&gt;'Paramètres'!$E$9,"Retard","En attente"))))))</x:f>
      </x:c>
      <x:c r="O443" s="9"/>
    </x:row>
    <x:row r="444" ht="23" customHeight="1">
      <x:c r="A444" s="9"/>
      <x:c r="B444" s="9"/>
      <x:c r="C444" s="9"/>
      <x:c r="D444" s="9"/>
      <x:c r="E444" s="9"/>
      <x:c r="F444" s="11"/>
      <x:c r="G444" s="11"/>
      <x:c r="H444" s="11"/>
      <x:c r="I444" s="9"/>
      <x:c r="J444" s="9"/>
      <x:c r="K444" s="9"/>
      <x:c r="L444" s="9"/>
      <x:c r="M444" s="12" t="str">
        <x:f>IF(A444="","",IF(AND(ISNUMBER(G444),ISNUMBER(H444)),H444-G444,""))</x:f>
      </x:c>
      <x:c r="N444" s="12" t="str">
        <x:f>IF(A444="","",IF(NOT(ISNUMBER(G444)),"Réception manquante",IF(AND(ISNUMBER(H444),H444&lt;G444),"Incohérent",IF('Paramètres'!$E$9="",IF(ISNUMBER(H444),"Répondue / cible absente","Sans réponse / cible absente"),IF(ISNUMBER(H444),IF(M444&lt;='Paramètres'!$E$9,"Dans le délai","Hors délai"),IF('Tableau de bord'!$F$5-G444&gt;'Paramètres'!$E$9,"Retard","En attente"))))))</x:f>
      </x:c>
      <x:c r="O444" s="9"/>
    </x:row>
    <x:row r="445" ht="23" customHeight="1">
      <x:c r="A445" s="9"/>
      <x:c r="B445" s="9"/>
      <x:c r="C445" s="9"/>
      <x:c r="D445" s="9"/>
      <x:c r="E445" s="9"/>
      <x:c r="F445" s="11"/>
      <x:c r="G445" s="11"/>
      <x:c r="H445" s="11"/>
      <x:c r="I445" s="9"/>
      <x:c r="J445" s="9"/>
      <x:c r="K445" s="9"/>
      <x:c r="L445" s="9"/>
      <x:c r="M445" s="12" t="str">
        <x:f>IF(A445="","",IF(AND(ISNUMBER(G445),ISNUMBER(H445)),H445-G445,""))</x:f>
      </x:c>
      <x:c r="N445" s="12" t="str">
        <x:f>IF(A445="","",IF(NOT(ISNUMBER(G445)),"Réception manquante",IF(AND(ISNUMBER(H445),H445&lt;G445),"Incohérent",IF('Paramètres'!$E$9="",IF(ISNUMBER(H445),"Répondue / cible absente","Sans réponse / cible absente"),IF(ISNUMBER(H445),IF(M445&lt;='Paramètres'!$E$9,"Dans le délai","Hors délai"),IF('Tableau de bord'!$F$5-G445&gt;'Paramètres'!$E$9,"Retard","En attente"))))))</x:f>
      </x:c>
      <x:c r="O445" s="9"/>
    </x:row>
    <x:row r="446" ht="23" customHeight="1">
      <x:c r="A446" s="9"/>
      <x:c r="B446" s="9"/>
      <x:c r="C446" s="9"/>
      <x:c r="D446" s="9"/>
      <x:c r="E446" s="9"/>
      <x:c r="F446" s="11"/>
      <x:c r="G446" s="11"/>
      <x:c r="H446" s="11"/>
      <x:c r="I446" s="9"/>
      <x:c r="J446" s="9"/>
      <x:c r="K446" s="9"/>
      <x:c r="L446" s="9"/>
      <x:c r="M446" s="12" t="str">
        <x:f>IF(A446="","",IF(AND(ISNUMBER(G446),ISNUMBER(H446)),H446-G446,""))</x:f>
      </x:c>
      <x:c r="N446" s="12" t="str">
        <x:f>IF(A446="","",IF(NOT(ISNUMBER(G446)),"Réception manquante",IF(AND(ISNUMBER(H446),H446&lt;G446),"Incohérent",IF('Paramètres'!$E$9="",IF(ISNUMBER(H446),"Répondue / cible absente","Sans réponse / cible absente"),IF(ISNUMBER(H446),IF(M446&lt;='Paramètres'!$E$9,"Dans le délai","Hors délai"),IF('Tableau de bord'!$F$5-G446&gt;'Paramètres'!$E$9,"Retard","En attente"))))))</x:f>
      </x:c>
      <x:c r="O446" s="9"/>
    </x:row>
    <x:row r="447" ht="23" customHeight="1">
      <x:c r="A447" s="9"/>
      <x:c r="B447" s="9"/>
      <x:c r="C447" s="9"/>
      <x:c r="D447" s="9"/>
      <x:c r="E447" s="9"/>
      <x:c r="F447" s="11"/>
      <x:c r="G447" s="11"/>
      <x:c r="H447" s="11"/>
      <x:c r="I447" s="9"/>
      <x:c r="J447" s="9"/>
      <x:c r="K447" s="9"/>
      <x:c r="L447" s="9"/>
      <x:c r="M447" s="12" t="str">
        <x:f>IF(A447="","",IF(AND(ISNUMBER(G447),ISNUMBER(H447)),H447-G447,""))</x:f>
      </x:c>
      <x:c r="N447" s="12" t="str">
        <x:f>IF(A447="","",IF(NOT(ISNUMBER(G447)),"Réception manquante",IF(AND(ISNUMBER(H447),H447&lt;G447),"Incohérent",IF('Paramètres'!$E$9="",IF(ISNUMBER(H447),"Répondue / cible absente","Sans réponse / cible absente"),IF(ISNUMBER(H447),IF(M447&lt;='Paramètres'!$E$9,"Dans le délai","Hors délai"),IF('Tableau de bord'!$F$5-G447&gt;'Paramètres'!$E$9,"Retard","En attente"))))))</x:f>
      </x:c>
      <x:c r="O447" s="9"/>
    </x:row>
    <x:row r="448" ht="23" customHeight="1">
      <x:c r="A448" s="9"/>
      <x:c r="B448" s="9"/>
      <x:c r="C448" s="9"/>
      <x:c r="D448" s="9"/>
      <x:c r="E448" s="9"/>
      <x:c r="F448" s="11"/>
      <x:c r="G448" s="11"/>
      <x:c r="H448" s="11"/>
      <x:c r="I448" s="9"/>
      <x:c r="J448" s="9"/>
      <x:c r="K448" s="9"/>
      <x:c r="L448" s="9"/>
      <x:c r="M448" s="12" t="str">
        <x:f>IF(A448="","",IF(AND(ISNUMBER(G448),ISNUMBER(H448)),H448-G448,""))</x:f>
      </x:c>
      <x:c r="N448" s="12" t="str">
        <x:f>IF(A448="","",IF(NOT(ISNUMBER(G448)),"Réception manquante",IF(AND(ISNUMBER(H448),H448&lt;G448),"Incohérent",IF('Paramètres'!$E$9="",IF(ISNUMBER(H448),"Répondue / cible absente","Sans réponse / cible absente"),IF(ISNUMBER(H448),IF(M448&lt;='Paramètres'!$E$9,"Dans le délai","Hors délai"),IF('Tableau de bord'!$F$5-G448&gt;'Paramètres'!$E$9,"Retard","En attente"))))))</x:f>
      </x:c>
      <x:c r="O448" s="9"/>
    </x:row>
    <x:row r="449" ht="23" customHeight="1">
      <x:c r="A449" s="9"/>
      <x:c r="B449" s="9"/>
      <x:c r="C449" s="9"/>
      <x:c r="D449" s="9"/>
      <x:c r="E449" s="9"/>
      <x:c r="F449" s="11"/>
      <x:c r="G449" s="11"/>
      <x:c r="H449" s="11"/>
      <x:c r="I449" s="9"/>
      <x:c r="J449" s="9"/>
      <x:c r="K449" s="9"/>
      <x:c r="L449" s="9"/>
      <x:c r="M449" s="12" t="str">
        <x:f>IF(A449="","",IF(AND(ISNUMBER(G449),ISNUMBER(H449)),H449-G449,""))</x:f>
      </x:c>
      <x:c r="N449" s="12" t="str">
        <x:f>IF(A449="","",IF(NOT(ISNUMBER(G449)),"Réception manquante",IF(AND(ISNUMBER(H449),H449&lt;G449),"Incohérent",IF('Paramètres'!$E$9="",IF(ISNUMBER(H449),"Répondue / cible absente","Sans réponse / cible absente"),IF(ISNUMBER(H449),IF(M449&lt;='Paramètres'!$E$9,"Dans le délai","Hors délai"),IF('Tableau de bord'!$F$5-G449&gt;'Paramètres'!$E$9,"Retard","En attente"))))))</x:f>
      </x:c>
      <x:c r="O449" s="9"/>
    </x:row>
    <x:row r="450" ht="23" customHeight="1">
      <x:c r="A450" s="9"/>
      <x:c r="B450" s="9"/>
      <x:c r="C450" s="9"/>
      <x:c r="D450" s="9"/>
      <x:c r="E450" s="9"/>
      <x:c r="F450" s="11"/>
      <x:c r="G450" s="11"/>
      <x:c r="H450" s="11"/>
      <x:c r="I450" s="9"/>
      <x:c r="J450" s="9"/>
      <x:c r="K450" s="9"/>
      <x:c r="L450" s="9"/>
      <x:c r="M450" s="12" t="str">
        <x:f>IF(A450="","",IF(AND(ISNUMBER(G450),ISNUMBER(H450)),H450-G450,""))</x:f>
      </x:c>
      <x:c r="N450" s="12" t="str">
        <x:f>IF(A450="","",IF(NOT(ISNUMBER(G450)),"Réception manquante",IF(AND(ISNUMBER(H450),H450&lt;G450),"Incohérent",IF('Paramètres'!$E$9="",IF(ISNUMBER(H450),"Répondue / cible absente","Sans réponse / cible absente"),IF(ISNUMBER(H450),IF(M450&lt;='Paramètres'!$E$9,"Dans le délai","Hors délai"),IF('Tableau de bord'!$F$5-G450&gt;'Paramètres'!$E$9,"Retard","En attente"))))))</x:f>
      </x:c>
      <x:c r="O450" s="9"/>
    </x:row>
    <x:row r="451" ht="23" customHeight="1">
      <x:c r="A451" s="9"/>
      <x:c r="B451" s="9"/>
      <x:c r="C451" s="9"/>
      <x:c r="D451" s="9"/>
      <x:c r="E451" s="9"/>
      <x:c r="F451" s="11"/>
      <x:c r="G451" s="11"/>
      <x:c r="H451" s="11"/>
      <x:c r="I451" s="9"/>
      <x:c r="J451" s="9"/>
      <x:c r="K451" s="9"/>
      <x:c r="L451" s="9"/>
      <x:c r="M451" s="12" t="str">
        <x:f>IF(A451="","",IF(AND(ISNUMBER(G451),ISNUMBER(H451)),H451-G451,""))</x:f>
      </x:c>
      <x:c r="N451" s="12" t="str">
        <x:f>IF(A451="","",IF(NOT(ISNUMBER(G451)),"Réception manquante",IF(AND(ISNUMBER(H451),H451&lt;G451),"Incohérent",IF('Paramètres'!$E$9="",IF(ISNUMBER(H451),"Répondue / cible absente","Sans réponse / cible absente"),IF(ISNUMBER(H451),IF(M451&lt;='Paramètres'!$E$9,"Dans le délai","Hors délai"),IF('Tableau de bord'!$F$5-G451&gt;'Paramètres'!$E$9,"Retard","En attente"))))))</x:f>
      </x:c>
      <x:c r="O451" s="9"/>
    </x:row>
    <x:row r="452" ht="23" customHeight="1">
      <x:c r="A452" s="9"/>
      <x:c r="B452" s="9"/>
      <x:c r="C452" s="9"/>
      <x:c r="D452" s="9"/>
      <x:c r="E452" s="9"/>
      <x:c r="F452" s="11"/>
      <x:c r="G452" s="11"/>
      <x:c r="H452" s="11"/>
      <x:c r="I452" s="9"/>
      <x:c r="J452" s="9"/>
      <x:c r="K452" s="9"/>
      <x:c r="L452" s="9"/>
      <x:c r="M452" s="12" t="str">
        <x:f>IF(A452="","",IF(AND(ISNUMBER(G452),ISNUMBER(H452)),H452-G452,""))</x:f>
      </x:c>
      <x:c r="N452" s="12" t="str">
        <x:f>IF(A452="","",IF(NOT(ISNUMBER(G452)),"Réception manquante",IF(AND(ISNUMBER(H452),H452&lt;G452),"Incohérent",IF('Paramètres'!$E$9="",IF(ISNUMBER(H452),"Répondue / cible absente","Sans réponse / cible absente"),IF(ISNUMBER(H452),IF(M452&lt;='Paramètres'!$E$9,"Dans le délai","Hors délai"),IF('Tableau de bord'!$F$5-G452&gt;'Paramètres'!$E$9,"Retard","En attente"))))))</x:f>
      </x:c>
      <x:c r="O452" s="9"/>
    </x:row>
    <x:row r="453" ht="23" customHeight="1">
      <x:c r="A453" s="9"/>
      <x:c r="B453" s="9"/>
      <x:c r="C453" s="9"/>
      <x:c r="D453" s="9"/>
      <x:c r="E453" s="9"/>
      <x:c r="F453" s="11"/>
      <x:c r="G453" s="11"/>
      <x:c r="H453" s="11"/>
      <x:c r="I453" s="9"/>
      <x:c r="J453" s="9"/>
      <x:c r="K453" s="9"/>
      <x:c r="L453" s="9"/>
      <x:c r="M453" s="12" t="str">
        <x:f>IF(A453="","",IF(AND(ISNUMBER(G453),ISNUMBER(H453)),H453-G453,""))</x:f>
      </x:c>
      <x:c r="N453" s="12" t="str">
        <x:f>IF(A453="","",IF(NOT(ISNUMBER(G453)),"Réception manquante",IF(AND(ISNUMBER(H453),H453&lt;G453),"Incohérent",IF('Paramètres'!$E$9="",IF(ISNUMBER(H453),"Répondue / cible absente","Sans réponse / cible absente"),IF(ISNUMBER(H453),IF(M453&lt;='Paramètres'!$E$9,"Dans le délai","Hors délai"),IF('Tableau de bord'!$F$5-G453&gt;'Paramètres'!$E$9,"Retard","En attente"))))))</x:f>
      </x:c>
      <x:c r="O453" s="9"/>
    </x:row>
    <x:row r="454" ht="23" customHeight="1">
      <x:c r="A454" s="9"/>
      <x:c r="B454" s="9"/>
      <x:c r="C454" s="9"/>
      <x:c r="D454" s="9"/>
      <x:c r="E454" s="9"/>
      <x:c r="F454" s="11"/>
      <x:c r="G454" s="11"/>
      <x:c r="H454" s="11"/>
      <x:c r="I454" s="9"/>
      <x:c r="J454" s="9"/>
      <x:c r="K454" s="9"/>
      <x:c r="L454" s="9"/>
      <x:c r="M454" s="12" t="str">
        <x:f>IF(A454="","",IF(AND(ISNUMBER(G454),ISNUMBER(H454)),H454-G454,""))</x:f>
      </x:c>
      <x:c r="N454" s="12" t="str">
        <x:f>IF(A454="","",IF(NOT(ISNUMBER(G454)),"Réception manquante",IF(AND(ISNUMBER(H454),H454&lt;G454),"Incohérent",IF('Paramètres'!$E$9="",IF(ISNUMBER(H454),"Répondue / cible absente","Sans réponse / cible absente"),IF(ISNUMBER(H454),IF(M454&lt;='Paramètres'!$E$9,"Dans le délai","Hors délai"),IF('Tableau de bord'!$F$5-G454&gt;'Paramètres'!$E$9,"Retard","En attente"))))))</x:f>
      </x:c>
      <x:c r="O454" s="9"/>
    </x:row>
    <x:row r="455" ht="23" customHeight="1">
      <x:c r="A455" s="9"/>
      <x:c r="B455" s="9"/>
      <x:c r="C455" s="9"/>
      <x:c r="D455" s="9"/>
      <x:c r="E455" s="9"/>
      <x:c r="F455" s="11"/>
      <x:c r="G455" s="11"/>
      <x:c r="H455" s="11"/>
      <x:c r="I455" s="9"/>
      <x:c r="J455" s="9"/>
      <x:c r="K455" s="9"/>
      <x:c r="L455" s="9"/>
      <x:c r="M455" s="12" t="str">
        <x:f>IF(A455="","",IF(AND(ISNUMBER(G455),ISNUMBER(H455)),H455-G455,""))</x:f>
      </x:c>
      <x:c r="N455" s="12" t="str">
        <x:f>IF(A455="","",IF(NOT(ISNUMBER(G455)),"Réception manquante",IF(AND(ISNUMBER(H455),H455&lt;G455),"Incohérent",IF('Paramètres'!$E$9="",IF(ISNUMBER(H455),"Répondue / cible absente","Sans réponse / cible absente"),IF(ISNUMBER(H455),IF(M455&lt;='Paramètres'!$E$9,"Dans le délai","Hors délai"),IF('Tableau de bord'!$F$5-G455&gt;'Paramètres'!$E$9,"Retard","En attente"))))))</x:f>
      </x:c>
      <x:c r="O455" s="9"/>
    </x:row>
    <x:row r="456" ht="23" customHeight="1">
      <x:c r="A456" s="9"/>
      <x:c r="B456" s="9"/>
      <x:c r="C456" s="9"/>
      <x:c r="D456" s="9"/>
      <x:c r="E456" s="9"/>
      <x:c r="F456" s="11"/>
      <x:c r="G456" s="11"/>
      <x:c r="H456" s="11"/>
      <x:c r="I456" s="9"/>
      <x:c r="J456" s="9"/>
      <x:c r="K456" s="9"/>
      <x:c r="L456" s="9"/>
      <x:c r="M456" s="12" t="str">
        <x:f>IF(A456="","",IF(AND(ISNUMBER(G456),ISNUMBER(H456)),H456-G456,""))</x:f>
      </x:c>
      <x:c r="N456" s="12" t="str">
        <x:f>IF(A456="","",IF(NOT(ISNUMBER(G456)),"Réception manquante",IF(AND(ISNUMBER(H456),H456&lt;G456),"Incohérent",IF('Paramètres'!$E$9="",IF(ISNUMBER(H456),"Répondue / cible absente","Sans réponse / cible absente"),IF(ISNUMBER(H456),IF(M456&lt;='Paramètres'!$E$9,"Dans le délai","Hors délai"),IF('Tableau de bord'!$F$5-G456&gt;'Paramètres'!$E$9,"Retard","En attente"))))))</x:f>
      </x:c>
      <x:c r="O456" s="9"/>
    </x:row>
    <x:row r="457" ht="23" customHeight="1">
      <x:c r="A457" s="9"/>
      <x:c r="B457" s="9"/>
      <x:c r="C457" s="9"/>
      <x:c r="D457" s="9"/>
      <x:c r="E457" s="9"/>
      <x:c r="F457" s="11"/>
      <x:c r="G457" s="11"/>
      <x:c r="H457" s="11"/>
      <x:c r="I457" s="9"/>
      <x:c r="J457" s="9"/>
      <x:c r="K457" s="9"/>
      <x:c r="L457" s="9"/>
      <x:c r="M457" s="12" t="str">
        <x:f>IF(A457="","",IF(AND(ISNUMBER(G457),ISNUMBER(H457)),H457-G457,""))</x:f>
      </x:c>
      <x:c r="N457" s="12" t="str">
        <x:f>IF(A457="","",IF(NOT(ISNUMBER(G457)),"Réception manquante",IF(AND(ISNUMBER(H457),H457&lt;G457),"Incohérent",IF('Paramètres'!$E$9="",IF(ISNUMBER(H457),"Répondue / cible absente","Sans réponse / cible absente"),IF(ISNUMBER(H457),IF(M457&lt;='Paramètres'!$E$9,"Dans le délai","Hors délai"),IF('Tableau de bord'!$F$5-G457&gt;'Paramètres'!$E$9,"Retard","En attente"))))))</x:f>
      </x:c>
      <x:c r="O457" s="9"/>
    </x:row>
    <x:row r="458" ht="23" customHeight="1">
      <x:c r="A458" s="9"/>
      <x:c r="B458" s="9"/>
      <x:c r="C458" s="9"/>
      <x:c r="D458" s="9"/>
      <x:c r="E458" s="9"/>
      <x:c r="F458" s="11"/>
      <x:c r="G458" s="11"/>
      <x:c r="H458" s="11"/>
      <x:c r="I458" s="9"/>
      <x:c r="J458" s="9"/>
      <x:c r="K458" s="9"/>
      <x:c r="L458" s="9"/>
      <x:c r="M458" s="12" t="str">
        <x:f>IF(A458="","",IF(AND(ISNUMBER(G458),ISNUMBER(H458)),H458-G458,""))</x:f>
      </x:c>
      <x:c r="N458" s="12" t="str">
        <x:f>IF(A458="","",IF(NOT(ISNUMBER(G458)),"Réception manquante",IF(AND(ISNUMBER(H458),H458&lt;G458),"Incohérent",IF('Paramètres'!$E$9="",IF(ISNUMBER(H458),"Répondue / cible absente","Sans réponse / cible absente"),IF(ISNUMBER(H458),IF(M458&lt;='Paramètres'!$E$9,"Dans le délai","Hors délai"),IF('Tableau de bord'!$F$5-G458&gt;'Paramètres'!$E$9,"Retard","En attente"))))))</x:f>
      </x:c>
      <x:c r="O458" s="9"/>
    </x:row>
    <x:row r="459" ht="23" customHeight="1">
      <x:c r="A459" s="9"/>
      <x:c r="B459" s="9"/>
      <x:c r="C459" s="9"/>
      <x:c r="D459" s="9"/>
      <x:c r="E459" s="9"/>
      <x:c r="F459" s="11"/>
      <x:c r="G459" s="11"/>
      <x:c r="H459" s="11"/>
      <x:c r="I459" s="9"/>
      <x:c r="J459" s="9"/>
      <x:c r="K459" s="9"/>
      <x:c r="L459" s="9"/>
      <x:c r="M459" s="12" t="str">
        <x:f>IF(A459="","",IF(AND(ISNUMBER(G459),ISNUMBER(H459)),H459-G459,""))</x:f>
      </x:c>
      <x:c r="N459" s="12" t="str">
        <x:f>IF(A459="","",IF(NOT(ISNUMBER(G459)),"Réception manquante",IF(AND(ISNUMBER(H459),H459&lt;G459),"Incohérent",IF('Paramètres'!$E$9="",IF(ISNUMBER(H459),"Répondue / cible absente","Sans réponse / cible absente"),IF(ISNUMBER(H459),IF(M459&lt;='Paramètres'!$E$9,"Dans le délai","Hors délai"),IF('Tableau de bord'!$F$5-G459&gt;'Paramètres'!$E$9,"Retard","En attente"))))))</x:f>
      </x:c>
      <x:c r="O459" s="9"/>
    </x:row>
    <x:row r="460" ht="23" customHeight="1">
      <x:c r="A460" s="9"/>
      <x:c r="B460" s="9"/>
      <x:c r="C460" s="9"/>
      <x:c r="D460" s="9"/>
      <x:c r="E460" s="9"/>
      <x:c r="F460" s="11"/>
      <x:c r="G460" s="11"/>
      <x:c r="H460" s="11"/>
      <x:c r="I460" s="9"/>
      <x:c r="J460" s="9"/>
      <x:c r="K460" s="9"/>
      <x:c r="L460" s="9"/>
      <x:c r="M460" s="12" t="str">
        <x:f>IF(A460="","",IF(AND(ISNUMBER(G460),ISNUMBER(H460)),H460-G460,""))</x:f>
      </x:c>
      <x:c r="N460" s="12" t="str">
        <x:f>IF(A460="","",IF(NOT(ISNUMBER(G460)),"Réception manquante",IF(AND(ISNUMBER(H460),H460&lt;G460),"Incohérent",IF('Paramètres'!$E$9="",IF(ISNUMBER(H460),"Répondue / cible absente","Sans réponse / cible absente"),IF(ISNUMBER(H460),IF(M460&lt;='Paramètres'!$E$9,"Dans le délai","Hors délai"),IF('Tableau de bord'!$F$5-G460&gt;'Paramètres'!$E$9,"Retard","En attente"))))))</x:f>
      </x:c>
      <x:c r="O460" s="9"/>
    </x:row>
    <x:row r="461" ht="23" customHeight="1">
      <x:c r="A461" s="9"/>
      <x:c r="B461" s="9"/>
      <x:c r="C461" s="9"/>
      <x:c r="D461" s="9"/>
      <x:c r="E461" s="9"/>
      <x:c r="F461" s="11"/>
      <x:c r="G461" s="11"/>
      <x:c r="H461" s="11"/>
      <x:c r="I461" s="9"/>
      <x:c r="J461" s="9"/>
      <x:c r="K461" s="9"/>
      <x:c r="L461" s="9"/>
      <x:c r="M461" s="12" t="str">
        <x:f>IF(A461="","",IF(AND(ISNUMBER(G461),ISNUMBER(H461)),H461-G461,""))</x:f>
      </x:c>
      <x:c r="N461" s="12" t="str">
        <x:f>IF(A461="","",IF(NOT(ISNUMBER(G461)),"Réception manquante",IF(AND(ISNUMBER(H461),H461&lt;G461),"Incohérent",IF('Paramètres'!$E$9="",IF(ISNUMBER(H461),"Répondue / cible absente","Sans réponse / cible absente"),IF(ISNUMBER(H461),IF(M461&lt;='Paramètres'!$E$9,"Dans le délai","Hors délai"),IF('Tableau de bord'!$F$5-G461&gt;'Paramètres'!$E$9,"Retard","En attente"))))))</x:f>
      </x:c>
      <x:c r="O461" s="9"/>
    </x:row>
    <x:row r="462" ht="23" customHeight="1">
      <x:c r="A462" s="9"/>
      <x:c r="B462" s="9"/>
      <x:c r="C462" s="9"/>
      <x:c r="D462" s="9"/>
      <x:c r="E462" s="9"/>
      <x:c r="F462" s="11"/>
      <x:c r="G462" s="11"/>
      <x:c r="H462" s="11"/>
      <x:c r="I462" s="9"/>
      <x:c r="J462" s="9"/>
      <x:c r="K462" s="9"/>
      <x:c r="L462" s="9"/>
      <x:c r="M462" s="12" t="str">
        <x:f>IF(A462="","",IF(AND(ISNUMBER(G462),ISNUMBER(H462)),H462-G462,""))</x:f>
      </x:c>
      <x:c r="N462" s="12" t="str">
        <x:f>IF(A462="","",IF(NOT(ISNUMBER(G462)),"Réception manquante",IF(AND(ISNUMBER(H462),H462&lt;G462),"Incohérent",IF('Paramètres'!$E$9="",IF(ISNUMBER(H462),"Répondue / cible absente","Sans réponse / cible absente"),IF(ISNUMBER(H462),IF(M462&lt;='Paramètres'!$E$9,"Dans le délai","Hors délai"),IF('Tableau de bord'!$F$5-G462&gt;'Paramètres'!$E$9,"Retard","En attente"))))))</x:f>
      </x:c>
      <x:c r="O462" s="9"/>
    </x:row>
    <x:row r="463" ht="23" customHeight="1">
      <x:c r="A463" s="9"/>
      <x:c r="B463" s="9"/>
      <x:c r="C463" s="9"/>
      <x:c r="D463" s="9"/>
      <x:c r="E463" s="9"/>
      <x:c r="F463" s="11"/>
      <x:c r="G463" s="11"/>
      <x:c r="H463" s="11"/>
      <x:c r="I463" s="9"/>
      <x:c r="J463" s="9"/>
      <x:c r="K463" s="9"/>
      <x:c r="L463" s="9"/>
      <x:c r="M463" s="12" t="str">
        <x:f>IF(A463="","",IF(AND(ISNUMBER(G463),ISNUMBER(H463)),H463-G463,""))</x:f>
      </x:c>
      <x:c r="N463" s="12" t="str">
        <x:f>IF(A463="","",IF(NOT(ISNUMBER(G463)),"Réception manquante",IF(AND(ISNUMBER(H463),H463&lt;G463),"Incohérent",IF('Paramètres'!$E$9="",IF(ISNUMBER(H463),"Répondue / cible absente","Sans réponse / cible absente"),IF(ISNUMBER(H463),IF(M463&lt;='Paramètres'!$E$9,"Dans le délai","Hors délai"),IF('Tableau de bord'!$F$5-G463&gt;'Paramètres'!$E$9,"Retard","En attente"))))))</x:f>
      </x:c>
      <x:c r="O463" s="9"/>
    </x:row>
    <x:row r="464" ht="23" customHeight="1">
      <x:c r="A464" s="9"/>
      <x:c r="B464" s="9"/>
      <x:c r="C464" s="9"/>
      <x:c r="D464" s="9"/>
      <x:c r="E464" s="9"/>
      <x:c r="F464" s="11"/>
      <x:c r="G464" s="11"/>
      <x:c r="H464" s="11"/>
      <x:c r="I464" s="9"/>
      <x:c r="J464" s="9"/>
      <x:c r="K464" s="9"/>
      <x:c r="L464" s="9"/>
      <x:c r="M464" s="12" t="str">
        <x:f>IF(A464="","",IF(AND(ISNUMBER(G464),ISNUMBER(H464)),H464-G464,""))</x:f>
      </x:c>
      <x:c r="N464" s="12" t="str">
        <x:f>IF(A464="","",IF(NOT(ISNUMBER(G464)),"Réception manquante",IF(AND(ISNUMBER(H464),H464&lt;G464),"Incohérent",IF('Paramètres'!$E$9="",IF(ISNUMBER(H464),"Répondue / cible absente","Sans réponse / cible absente"),IF(ISNUMBER(H464),IF(M464&lt;='Paramètres'!$E$9,"Dans le délai","Hors délai"),IF('Tableau de bord'!$F$5-G464&gt;'Paramètres'!$E$9,"Retard","En attente"))))))</x:f>
      </x:c>
      <x:c r="O464" s="9"/>
    </x:row>
    <x:row r="465" ht="23" customHeight="1">
      <x:c r="A465" s="9"/>
      <x:c r="B465" s="9"/>
      <x:c r="C465" s="9"/>
      <x:c r="D465" s="9"/>
      <x:c r="E465" s="9"/>
      <x:c r="F465" s="11"/>
      <x:c r="G465" s="11"/>
      <x:c r="H465" s="11"/>
      <x:c r="I465" s="9"/>
      <x:c r="J465" s="9"/>
      <x:c r="K465" s="9"/>
      <x:c r="L465" s="9"/>
      <x:c r="M465" s="12" t="str">
        <x:f>IF(A465="","",IF(AND(ISNUMBER(G465),ISNUMBER(H465)),H465-G465,""))</x:f>
      </x:c>
      <x:c r="N465" s="12" t="str">
        <x:f>IF(A465="","",IF(NOT(ISNUMBER(G465)),"Réception manquante",IF(AND(ISNUMBER(H465),H465&lt;G465),"Incohérent",IF('Paramètres'!$E$9="",IF(ISNUMBER(H465),"Répondue / cible absente","Sans réponse / cible absente"),IF(ISNUMBER(H465),IF(M465&lt;='Paramètres'!$E$9,"Dans le délai","Hors délai"),IF('Tableau de bord'!$F$5-G465&gt;'Paramètres'!$E$9,"Retard","En attente"))))))</x:f>
      </x:c>
      <x:c r="O465" s="9"/>
    </x:row>
    <x:row r="466" ht="23" customHeight="1">
      <x:c r="A466" s="9"/>
      <x:c r="B466" s="9"/>
      <x:c r="C466" s="9"/>
      <x:c r="D466" s="9"/>
      <x:c r="E466" s="9"/>
      <x:c r="F466" s="11"/>
      <x:c r="G466" s="11"/>
      <x:c r="H466" s="11"/>
      <x:c r="I466" s="9"/>
      <x:c r="J466" s="9"/>
      <x:c r="K466" s="9"/>
      <x:c r="L466" s="9"/>
      <x:c r="M466" s="12" t="str">
        <x:f>IF(A466="","",IF(AND(ISNUMBER(G466),ISNUMBER(H466)),H466-G466,""))</x:f>
      </x:c>
      <x:c r="N466" s="12" t="str">
        <x:f>IF(A466="","",IF(NOT(ISNUMBER(G466)),"Réception manquante",IF(AND(ISNUMBER(H466),H466&lt;G466),"Incohérent",IF('Paramètres'!$E$9="",IF(ISNUMBER(H466),"Répondue / cible absente","Sans réponse / cible absente"),IF(ISNUMBER(H466),IF(M466&lt;='Paramètres'!$E$9,"Dans le délai","Hors délai"),IF('Tableau de bord'!$F$5-G466&gt;'Paramètres'!$E$9,"Retard","En attente"))))))</x:f>
      </x:c>
      <x:c r="O466" s="9"/>
    </x:row>
    <x:row r="467" ht="23" customHeight="1">
      <x:c r="A467" s="9"/>
      <x:c r="B467" s="9"/>
      <x:c r="C467" s="9"/>
      <x:c r="D467" s="9"/>
      <x:c r="E467" s="9"/>
      <x:c r="F467" s="11"/>
      <x:c r="G467" s="11"/>
      <x:c r="H467" s="11"/>
      <x:c r="I467" s="9"/>
      <x:c r="J467" s="9"/>
      <x:c r="K467" s="9"/>
      <x:c r="L467" s="9"/>
      <x:c r="M467" s="12" t="str">
        <x:f>IF(A467="","",IF(AND(ISNUMBER(G467),ISNUMBER(H467)),H467-G467,""))</x:f>
      </x:c>
      <x:c r="N467" s="12" t="str">
        <x:f>IF(A467="","",IF(NOT(ISNUMBER(G467)),"Réception manquante",IF(AND(ISNUMBER(H467),H467&lt;G467),"Incohérent",IF('Paramètres'!$E$9="",IF(ISNUMBER(H467),"Répondue / cible absente","Sans réponse / cible absente"),IF(ISNUMBER(H467),IF(M467&lt;='Paramètres'!$E$9,"Dans le délai","Hors délai"),IF('Tableau de bord'!$F$5-G467&gt;'Paramètres'!$E$9,"Retard","En attente"))))))</x:f>
      </x:c>
      <x:c r="O467" s="9"/>
    </x:row>
    <x:row r="468" ht="23" customHeight="1">
      <x:c r="A468" s="9"/>
      <x:c r="B468" s="9"/>
      <x:c r="C468" s="9"/>
      <x:c r="D468" s="9"/>
      <x:c r="E468" s="9"/>
      <x:c r="F468" s="11"/>
      <x:c r="G468" s="11"/>
      <x:c r="H468" s="11"/>
      <x:c r="I468" s="9"/>
      <x:c r="J468" s="9"/>
      <x:c r="K468" s="9"/>
      <x:c r="L468" s="9"/>
      <x:c r="M468" s="12" t="str">
        <x:f>IF(A468="","",IF(AND(ISNUMBER(G468),ISNUMBER(H468)),H468-G468,""))</x:f>
      </x:c>
      <x:c r="N468" s="12" t="str">
        <x:f>IF(A468="","",IF(NOT(ISNUMBER(G468)),"Réception manquante",IF(AND(ISNUMBER(H468),H468&lt;G468),"Incohérent",IF('Paramètres'!$E$9="",IF(ISNUMBER(H468),"Répondue / cible absente","Sans réponse / cible absente"),IF(ISNUMBER(H468),IF(M468&lt;='Paramètres'!$E$9,"Dans le délai","Hors délai"),IF('Tableau de bord'!$F$5-G468&gt;'Paramètres'!$E$9,"Retard","En attente"))))))</x:f>
      </x:c>
      <x:c r="O468" s="9"/>
    </x:row>
    <x:row r="469" ht="23" customHeight="1">
      <x:c r="A469" s="9"/>
      <x:c r="B469" s="9"/>
      <x:c r="C469" s="9"/>
      <x:c r="D469" s="9"/>
      <x:c r="E469" s="9"/>
      <x:c r="F469" s="11"/>
      <x:c r="G469" s="11"/>
      <x:c r="H469" s="11"/>
      <x:c r="I469" s="9"/>
      <x:c r="J469" s="9"/>
      <x:c r="K469" s="9"/>
      <x:c r="L469" s="9"/>
      <x:c r="M469" s="12" t="str">
        <x:f>IF(A469="","",IF(AND(ISNUMBER(G469),ISNUMBER(H469)),H469-G469,""))</x:f>
      </x:c>
      <x:c r="N469" s="12" t="str">
        <x:f>IF(A469="","",IF(NOT(ISNUMBER(G469)),"Réception manquante",IF(AND(ISNUMBER(H469),H469&lt;G469),"Incohérent",IF('Paramètres'!$E$9="",IF(ISNUMBER(H469),"Répondue / cible absente","Sans réponse / cible absente"),IF(ISNUMBER(H469),IF(M469&lt;='Paramètres'!$E$9,"Dans le délai","Hors délai"),IF('Tableau de bord'!$F$5-G469&gt;'Paramètres'!$E$9,"Retard","En attente"))))))</x:f>
      </x:c>
      <x:c r="O469" s="9"/>
    </x:row>
    <x:row r="470" ht="23" customHeight="1">
      <x:c r="A470" s="9"/>
      <x:c r="B470" s="9"/>
      <x:c r="C470" s="9"/>
      <x:c r="D470" s="9"/>
      <x:c r="E470" s="9"/>
      <x:c r="F470" s="11"/>
      <x:c r="G470" s="11"/>
      <x:c r="H470" s="11"/>
      <x:c r="I470" s="9"/>
      <x:c r="J470" s="9"/>
      <x:c r="K470" s="9"/>
      <x:c r="L470" s="9"/>
      <x:c r="M470" s="12" t="str">
        <x:f>IF(A470="","",IF(AND(ISNUMBER(G470),ISNUMBER(H470)),H470-G470,""))</x:f>
      </x:c>
      <x:c r="N470" s="12" t="str">
        <x:f>IF(A470="","",IF(NOT(ISNUMBER(G470)),"Réception manquante",IF(AND(ISNUMBER(H470),H470&lt;G470),"Incohérent",IF('Paramètres'!$E$9="",IF(ISNUMBER(H470),"Répondue / cible absente","Sans réponse / cible absente"),IF(ISNUMBER(H470),IF(M470&lt;='Paramètres'!$E$9,"Dans le délai","Hors délai"),IF('Tableau de bord'!$F$5-G470&gt;'Paramètres'!$E$9,"Retard","En attente"))))))</x:f>
      </x:c>
      <x:c r="O470" s="9"/>
    </x:row>
    <x:row r="471" ht="23" customHeight="1">
      <x:c r="A471" s="9"/>
      <x:c r="B471" s="9"/>
      <x:c r="C471" s="9"/>
      <x:c r="D471" s="9"/>
      <x:c r="E471" s="9"/>
      <x:c r="F471" s="11"/>
      <x:c r="G471" s="11"/>
      <x:c r="H471" s="11"/>
      <x:c r="I471" s="9"/>
      <x:c r="J471" s="9"/>
      <x:c r="K471" s="9"/>
      <x:c r="L471" s="9"/>
      <x:c r="M471" s="12" t="str">
        <x:f>IF(A471="","",IF(AND(ISNUMBER(G471),ISNUMBER(H471)),H471-G471,""))</x:f>
      </x:c>
      <x:c r="N471" s="12" t="str">
        <x:f>IF(A471="","",IF(NOT(ISNUMBER(G471)),"Réception manquante",IF(AND(ISNUMBER(H471),H471&lt;G471),"Incohérent",IF('Paramètres'!$E$9="",IF(ISNUMBER(H471),"Répondue / cible absente","Sans réponse / cible absente"),IF(ISNUMBER(H471),IF(M471&lt;='Paramètres'!$E$9,"Dans le délai","Hors délai"),IF('Tableau de bord'!$F$5-G471&gt;'Paramètres'!$E$9,"Retard","En attente"))))))</x:f>
      </x:c>
      <x:c r="O471" s="9"/>
    </x:row>
    <x:row r="472" ht="23" customHeight="1">
      <x:c r="A472" s="9"/>
      <x:c r="B472" s="9"/>
      <x:c r="C472" s="9"/>
      <x:c r="D472" s="9"/>
      <x:c r="E472" s="9"/>
      <x:c r="F472" s="11"/>
      <x:c r="G472" s="11"/>
      <x:c r="H472" s="11"/>
      <x:c r="I472" s="9"/>
      <x:c r="J472" s="9"/>
      <x:c r="K472" s="9"/>
      <x:c r="L472" s="9"/>
      <x:c r="M472" s="12" t="str">
        <x:f>IF(A472="","",IF(AND(ISNUMBER(G472),ISNUMBER(H472)),H472-G472,""))</x:f>
      </x:c>
      <x:c r="N472" s="12" t="str">
        <x:f>IF(A472="","",IF(NOT(ISNUMBER(G472)),"Réception manquante",IF(AND(ISNUMBER(H472),H472&lt;G472),"Incohérent",IF('Paramètres'!$E$9="",IF(ISNUMBER(H472),"Répondue / cible absente","Sans réponse / cible absente"),IF(ISNUMBER(H472),IF(M472&lt;='Paramètres'!$E$9,"Dans le délai","Hors délai"),IF('Tableau de bord'!$F$5-G472&gt;'Paramètres'!$E$9,"Retard","En attente"))))))</x:f>
      </x:c>
      <x:c r="O472" s="9"/>
    </x:row>
    <x:row r="473" ht="23" customHeight="1">
      <x:c r="A473" s="9"/>
      <x:c r="B473" s="9"/>
      <x:c r="C473" s="9"/>
      <x:c r="D473" s="9"/>
      <x:c r="E473" s="9"/>
      <x:c r="F473" s="11"/>
      <x:c r="G473" s="11"/>
      <x:c r="H473" s="11"/>
      <x:c r="I473" s="9"/>
      <x:c r="J473" s="9"/>
      <x:c r="K473" s="9"/>
      <x:c r="L473" s="9"/>
      <x:c r="M473" s="12" t="str">
        <x:f>IF(A473="","",IF(AND(ISNUMBER(G473),ISNUMBER(H473)),H473-G473,""))</x:f>
      </x:c>
      <x:c r="N473" s="12" t="str">
        <x:f>IF(A473="","",IF(NOT(ISNUMBER(G473)),"Réception manquante",IF(AND(ISNUMBER(H473),H473&lt;G473),"Incohérent",IF('Paramètres'!$E$9="",IF(ISNUMBER(H473),"Répondue / cible absente","Sans réponse / cible absente"),IF(ISNUMBER(H473),IF(M473&lt;='Paramètres'!$E$9,"Dans le délai","Hors délai"),IF('Tableau de bord'!$F$5-G473&gt;'Paramètres'!$E$9,"Retard","En attente"))))))</x:f>
      </x:c>
      <x:c r="O473" s="9"/>
    </x:row>
    <x:row r="474" ht="23" customHeight="1">
      <x:c r="A474" s="9"/>
      <x:c r="B474" s="9"/>
      <x:c r="C474" s="9"/>
      <x:c r="D474" s="9"/>
      <x:c r="E474" s="9"/>
      <x:c r="F474" s="11"/>
      <x:c r="G474" s="11"/>
      <x:c r="H474" s="11"/>
      <x:c r="I474" s="9"/>
      <x:c r="J474" s="9"/>
      <x:c r="K474" s="9"/>
      <x:c r="L474" s="9"/>
      <x:c r="M474" s="12" t="str">
        <x:f>IF(A474="","",IF(AND(ISNUMBER(G474),ISNUMBER(H474)),H474-G474,""))</x:f>
      </x:c>
      <x:c r="N474" s="12" t="str">
        <x:f>IF(A474="","",IF(NOT(ISNUMBER(G474)),"Réception manquante",IF(AND(ISNUMBER(H474),H474&lt;G474),"Incohérent",IF('Paramètres'!$E$9="",IF(ISNUMBER(H474),"Répondue / cible absente","Sans réponse / cible absente"),IF(ISNUMBER(H474),IF(M474&lt;='Paramètres'!$E$9,"Dans le délai","Hors délai"),IF('Tableau de bord'!$F$5-G474&gt;'Paramètres'!$E$9,"Retard","En attente"))))))</x:f>
      </x:c>
      <x:c r="O474" s="9"/>
    </x:row>
    <x:row r="475" ht="23" customHeight="1">
      <x:c r="A475" s="9"/>
      <x:c r="B475" s="9"/>
      <x:c r="C475" s="9"/>
      <x:c r="D475" s="9"/>
      <x:c r="E475" s="9"/>
      <x:c r="F475" s="11"/>
      <x:c r="G475" s="11"/>
      <x:c r="H475" s="11"/>
      <x:c r="I475" s="9"/>
      <x:c r="J475" s="9"/>
      <x:c r="K475" s="9"/>
      <x:c r="L475" s="9"/>
      <x:c r="M475" s="12" t="str">
        <x:f>IF(A475="","",IF(AND(ISNUMBER(G475),ISNUMBER(H475)),H475-G475,""))</x:f>
      </x:c>
      <x:c r="N475" s="12" t="str">
        <x:f>IF(A475="","",IF(NOT(ISNUMBER(G475)),"Réception manquante",IF(AND(ISNUMBER(H475),H475&lt;G475),"Incohérent",IF('Paramètres'!$E$9="",IF(ISNUMBER(H475),"Répondue / cible absente","Sans réponse / cible absente"),IF(ISNUMBER(H475),IF(M475&lt;='Paramètres'!$E$9,"Dans le délai","Hors délai"),IF('Tableau de bord'!$F$5-G475&gt;'Paramètres'!$E$9,"Retard","En attente"))))))</x:f>
      </x:c>
      <x:c r="O475" s="9"/>
    </x:row>
    <x:row r="476" ht="23" customHeight="1">
      <x:c r="A476" s="9"/>
      <x:c r="B476" s="9"/>
      <x:c r="C476" s="9"/>
      <x:c r="D476" s="9"/>
      <x:c r="E476" s="9"/>
      <x:c r="F476" s="11"/>
      <x:c r="G476" s="11"/>
      <x:c r="H476" s="11"/>
      <x:c r="I476" s="9"/>
      <x:c r="J476" s="9"/>
      <x:c r="K476" s="9"/>
      <x:c r="L476" s="9"/>
      <x:c r="M476" s="12" t="str">
        <x:f>IF(A476="","",IF(AND(ISNUMBER(G476),ISNUMBER(H476)),H476-G476,""))</x:f>
      </x:c>
      <x:c r="N476" s="12" t="str">
        <x:f>IF(A476="","",IF(NOT(ISNUMBER(G476)),"Réception manquante",IF(AND(ISNUMBER(H476),H476&lt;G476),"Incohérent",IF('Paramètres'!$E$9="",IF(ISNUMBER(H476),"Répondue / cible absente","Sans réponse / cible absente"),IF(ISNUMBER(H476),IF(M476&lt;='Paramètres'!$E$9,"Dans le délai","Hors délai"),IF('Tableau de bord'!$F$5-G476&gt;'Paramètres'!$E$9,"Retard","En attente"))))))</x:f>
      </x:c>
      <x:c r="O476" s="9"/>
    </x:row>
    <x:row r="477" ht="23" customHeight="1">
      <x:c r="A477" s="9"/>
      <x:c r="B477" s="9"/>
      <x:c r="C477" s="9"/>
      <x:c r="D477" s="9"/>
      <x:c r="E477" s="9"/>
      <x:c r="F477" s="11"/>
      <x:c r="G477" s="11"/>
      <x:c r="H477" s="11"/>
      <x:c r="I477" s="9"/>
      <x:c r="J477" s="9"/>
      <x:c r="K477" s="9"/>
      <x:c r="L477" s="9"/>
      <x:c r="M477" s="12" t="str">
        <x:f>IF(A477="","",IF(AND(ISNUMBER(G477),ISNUMBER(H477)),H477-G477,""))</x:f>
      </x:c>
      <x:c r="N477" s="12" t="str">
        <x:f>IF(A477="","",IF(NOT(ISNUMBER(G477)),"Réception manquante",IF(AND(ISNUMBER(H477),H477&lt;G477),"Incohérent",IF('Paramètres'!$E$9="",IF(ISNUMBER(H477),"Répondue / cible absente","Sans réponse / cible absente"),IF(ISNUMBER(H477),IF(M477&lt;='Paramètres'!$E$9,"Dans le délai","Hors délai"),IF('Tableau de bord'!$F$5-G477&gt;'Paramètres'!$E$9,"Retard","En attente"))))))</x:f>
      </x:c>
      <x:c r="O477" s="9"/>
    </x:row>
    <x:row r="478" ht="23" customHeight="1">
      <x:c r="A478" s="9"/>
      <x:c r="B478" s="9"/>
      <x:c r="C478" s="9"/>
      <x:c r="D478" s="9"/>
      <x:c r="E478" s="9"/>
      <x:c r="F478" s="11"/>
      <x:c r="G478" s="11"/>
      <x:c r="H478" s="11"/>
      <x:c r="I478" s="9"/>
      <x:c r="J478" s="9"/>
      <x:c r="K478" s="9"/>
      <x:c r="L478" s="9"/>
      <x:c r="M478" s="12" t="str">
        <x:f>IF(A478="","",IF(AND(ISNUMBER(G478),ISNUMBER(H478)),H478-G478,""))</x:f>
      </x:c>
      <x:c r="N478" s="12" t="str">
        <x:f>IF(A478="","",IF(NOT(ISNUMBER(G478)),"Réception manquante",IF(AND(ISNUMBER(H478),H478&lt;G478),"Incohérent",IF('Paramètres'!$E$9="",IF(ISNUMBER(H478),"Répondue / cible absente","Sans réponse / cible absente"),IF(ISNUMBER(H478),IF(M478&lt;='Paramètres'!$E$9,"Dans le délai","Hors délai"),IF('Tableau de bord'!$F$5-G478&gt;'Paramètres'!$E$9,"Retard","En attente"))))))</x:f>
      </x:c>
      <x:c r="O478" s="9"/>
    </x:row>
    <x:row r="479" ht="23" customHeight="1">
      <x:c r="A479" s="9"/>
      <x:c r="B479" s="9"/>
      <x:c r="C479" s="9"/>
      <x:c r="D479" s="9"/>
      <x:c r="E479" s="9"/>
      <x:c r="F479" s="11"/>
      <x:c r="G479" s="11"/>
      <x:c r="H479" s="11"/>
      <x:c r="I479" s="9"/>
      <x:c r="J479" s="9"/>
      <x:c r="K479" s="9"/>
      <x:c r="L479" s="9"/>
      <x:c r="M479" s="12" t="str">
        <x:f>IF(A479="","",IF(AND(ISNUMBER(G479),ISNUMBER(H479)),H479-G479,""))</x:f>
      </x:c>
      <x:c r="N479" s="12" t="str">
        <x:f>IF(A479="","",IF(NOT(ISNUMBER(G479)),"Réception manquante",IF(AND(ISNUMBER(H479),H479&lt;G479),"Incohérent",IF('Paramètres'!$E$9="",IF(ISNUMBER(H479),"Répondue / cible absente","Sans réponse / cible absente"),IF(ISNUMBER(H479),IF(M479&lt;='Paramètres'!$E$9,"Dans le délai","Hors délai"),IF('Tableau de bord'!$F$5-G479&gt;'Paramètres'!$E$9,"Retard","En attente"))))))</x:f>
      </x:c>
      <x:c r="O479" s="9"/>
    </x:row>
    <x:row r="480" ht="23" customHeight="1">
      <x:c r="A480" s="9"/>
      <x:c r="B480" s="9"/>
      <x:c r="C480" s="9"/>
      <x:c r="D480" s="9"/>
      <x:c r="E480" s="9"/>
      <x:c r="F480" s="11"/>
      <x:c r="G480" s="11"/>
      <x:c r="H480" s="11"/>
      <x:c r="I480" s="9"/>
      <x:c r="J480" s="9"/>
      <x:c r="K480" s="9"/>
      <x:c r="L480" s="9"/>
      <x:c r="M480" s="12" t="str">
        <x:f>IF(A480="","",IF(AND(ISNUMBER(G480),ISNUMBER(H480)),H480-G480,""))</x:f>
      </x:c>
      <x:c r="N480" s="12" t="str">
        <x:f>IF(A480="","",IF(NOT(ISNUMBER(G480)),"Réception manquante",IF(AND(ISNUMBER(H480),H480&lt;G480),"Incohérent",IF('Paramètres'!$E$9="",IF(ISNUMBER(H480),"Répondue / cible absente","Sans réponse / cible absente"),IF(ISNUMBER(H480),IF(M480&lt;='Paramètres'!$E$9,"Dans le délai","Hors délai"),IF('Tableau de bord'!$F$5-G480&gt;'Paramètres'!$E$9,"Retard","En attente"))))))</x:f>
      </x:c>
      <x:c r="O480" s="9"/>
    </x:row>
    <x:row r="481" ht="23" customHeight="1">
      <x:c r="A481" s="9"/>
      <x:c r="B481" s="9"/>
      <x:c r="C481" s="9"/>
      <x:c r="D481" s="9"/>
      <x:c r="E481" s="9"/>
      <x:c r="F481" s="11"/>
      <x:c r="G481" s="11"/>
      <x:c r="H481" s="11"/>
      <x:c r="I481" s="9"/>
      <x:c r="J481" s="9"/>
      <x:c r="K481" s="9"/>
      <x:c r="L481" s="9"/>
      <x:c r="M481" s="12" t="str">
        <x:f>IF(A481="","",IF(AND(ISNUMBER(G481),ISNUMBER(H481)),H481-G481,""))</x:f>
      </x:c>
      <x:c r="N481" s="12" t="str">
        <x:f>IF(A481="","",IF(NOT(ISNUMBER(G481)),"Réception manquante",IF(AND(ISNUMBER(H481),H481&lt;G481),"Incohérent",IF('Paramètres'!$E$9="",IF(ISNUMBER(H481),"Répondue / cible absente","Sans réponse / cible absente"),IF(ISNUMBER(H481),IF(M481&lt;='Paramètres'!$E$9,"Dans le délai","Hors délai"),IF('Tableau de bord'!$F$5-G481&gt;'Paramètres'!$E$9,"Retard","En attente"))))))</x:f>
      </x:c>
      <x:c r="O481" s="9"/>
    </x:row>
    <x:row r="482" ht="23" customHeight="1">
      <x:c r="A482" s="9"/>
      <x:c r="B482" s="9"/>
      <x:c r="C482" s="9"/>
      <x:c r="D482" s="9"/>
      <x:c r="E482" s="9"/>
      <x:c r="F482" s="11"/>
      <x:c r="G482" s="11"/>
      <x:c r="H482" s="11"/>
      <x:c r="I482" s="9"/>
      <x:c r="J482" s="9"/>
      <x:c r="K482" s="9"/>
      <x:c r="L482" s="9"/>
      <x:c r="M482" s="12" t="str">
        <x:f>IF(A482="","",IF(AND(ISNUMBER(G482),ISNUMBER(H482)),H482-G482,""))</x:f>
      </x:c>
      <x:c r="N482" s="12" t="str">
        <x:f>IF(A482="","",IF(NOT(ISNUMBER(G482)),"Réception manquante",IF(AND(ISNUMBER(H482),H482&lt;G482),"Incohérent",IF('Paramètres'!$E$9="",IF(ISNUMBER(H482),"Répondue / cible absente","Sans réponse / cible absente"),IF(ISNUMBER(H482),IF(M482&lt;='Paramètres'!$E$9,"Dans le délai","Hors délai"),IF('Tableau de bord'!$F$5-G482&gt;'Paramètres'!$E$9,"Retard","En attente"))))))</x:f>
      </x:c>
      <x:c r="O482" s="9"/>
    </x:row>
    <x:row r="483" ht="23" customHeight="1">
      <x:c r="A483" s="9"/>
      <x:c r="B483" s="9"/>
      <x:c r="C483" s="9"/>
      <x:c r="D483" s="9"/>
      <x:c r="E483" s="9"/>
      <x:c r="F483" s="11"/>
      <x:c r="G483" s="11"/>
      <x:c r="H483" s="11"/>
      <x:c r="I483" s="9"/>
      <x:c r="J483" s="9"/>
      <x:c r="K483" s="9"/>
      <x:c r="L483" s="9"/>
      <x:c r="M483" s="12" t="str">
        <x:f>IF(A483="","",IF(AND(ISNUMBER(G483),ISNUMBER(H483)),H483-G483,""))</x:f>
      </x:c>
      <x:c r="N483" s="12" t="str">
        <x:f>IF(A483="","",IF(NOT(ISNUMBER(G483)),"Réception manquante",IF(AND(ISNUMBER(H483),H483&lt;G483),"Incohérent",IF('Paramètres'!$E$9="",IF(ISNUMBER(H483),"Répondue / cible absente","Sans réponse / cible absente"),IF(ISNUMBER(H483),IF(M483&lt;='Paramètres'!$E$9,"Dans le délai","Hors délai"),IF('Tableau de bord'!$F$5-G483&gt;'Paramètres'!$E$9,"Retard","En attente"))))))</x:f>
      </x:c>
      <x:c r="O483" s="9"/>
    </x:row>
    <x:row r="484" ht="23" customHeight="1">
      <x:c r="A484" s="9"/>
      <x:c r="B484" s="9"/>
      <x:c r="C484" s="9"/>
      <x:c r="D484" s="9"/>
      <x:c r="E484" s="9"/>
      <x:c r="F484" s="11"/>
      <x:c r="G484" s="11"/>
      <x:c r="H484" s="11"/>
      <x:c r="I484" s="9"/>
      <x:c r="J484" s="9"/>
      <x:c r="K484" s="9"/>
      <x:c r="L484" s="9"/>
      <x:c r="M484" s="12" t="str">
        <x:f>IF(A484="","",IF(AND(ISNUMBER(G484),ISNUMBER(H484)),H484-G484,""))</x:f>
      </x:c>
      <x:c r="N484" s="12" t="str">
        <x:f>IF(A484="","",IF(NOT(ISNUMBER(G484)),"Réception manquante",IF(AND(ISNUMBER(H484),H484&lt;G484),"Incohérent",IF('Paramètres'!$E$9="",IF(ISNUMBER(H484),"Répondue / cible absente","Sans réponse / cible absente"),IF(ISNUMBER(H484),IF(M484&lt;='Paramètres'!$E$9,"Dans le délai","Hors délai"),IF('Tableau de bord'!$F$5-G484&gt;'Paramètres'!$E$9,"Retard","En attente"))))))</x:f>
      </x:c>
      <x:c r="O484" s="9"/>
    </x:row>
    <x:row r="485" ht="23" customHeight="1">
      <x:c r="A485" s="9"/>
      <x:c r="B485" s="9"/>
      <x:c r="C485" s="9"/>
      <x:c r="D485" s="9"/>
      <x:c r="E485" s="9"/>
      <x:c r="F485" s="11"/>
      <x:c r="G485" s="11"/>
      <x:c r="H485" s="11"/>
      <x:c r="I485" s="9"/>
      <x:c r="J485" s="9"/>
      <x:c r="K485" s="9"/>
      <x:c r="L485" s="9"/>
      <x:c r="M485" s="12" t="str">
        <x:f>IF(A485="","",IF(AND(ISNUMBER(G485),ISNUMBER(H485)),H485-G485,""))</x:f>
      </x:c>
      <x:c r="N485" s="12" t="str">
        <x:f>IF(A485="","",IF(NOT(ISNUMBER(G485)),"Réception manquante",IF(AND(ISNUMBER(H485),H485&lt;G485),"Incohérent",IF('Paramètres'!$E$9="",IF(ISNUMBER(H485),"Répondue / cible absente","Sans réponse / cible absente"),IF(ISNUMBER(H485),IF(M485&lt;='Paramètres'!$E$9,"Dans le délai","Hors délai"),IF('Tableau de bord'!$F$5-G485&gt;'Paramètres'!$E$9,"Retard","En attente"))))))</x:f>
      </x:c>
      <x:c r="O485" s="9"/>
    </x:row>
    <x:row r="486" ht="23" customHeight="1">
      <x:c r="A486" s="9"/>
      <x:c r="B486" s="9"/>
      <x:c r="C486" s="9"/>
      <x:c r="D486" s="9"/>
      <x:c r="E486" s="9"/>
      <x:c r="F486" s="11"/>
      <x:c r="G486" s="11"/>
      <x:c r="H486" s="11"/>
      <x:c r="I486" s="9"/>
      <x:c r="J486" s="9"/>
      <x:c r="K486" s="9"/>
      <x:c r="L486" s="9"/>
      <x:c r="M486" s="12" t="str">
        <x:f>IF(A486="","",IF(AND(ISNUMBER(G486),ISNUMBER(H486)),H486-G486,""))</x:f>
      </x:c>
      <x:c r="N486" s="12" t="str">
        <x:f>IF(A486="","",IF(NOT(ISNUMBER(G486)),"Réception manquante",IF(AND(ISNUMBER(H486),H486&lt;G486),"Incohérent",IF('Paramètres'!$E$9="",IF(ISNUMBER(H486),"Répondue / cible absente","Sans réponse / cible absente"),IF(ISNUMBER(H486),IF(M486&lt;='Paramètres'!$E$9,"Dans le délai","Hors délai"),IF('Tableau de bord'!$F$5-G486&gt;'Paramètres'!$E$9,"Retard","En attente"))))))</x:f>
      </x:c>
      <x:c r="O486" s="9"/>
    </x:row>
    <x:row r="487" ht="23" customHeight="1">
      <x:c r="A487" s="9"/>
      <x:c r="B487" s="9"/>
      <x:c r="C487" s="9"/>
      <x:c r="D487" s="9"/>
      <x:c r="E487" s="9"/>
      <x:c r="F487" s="11"/>
      <x:c r="G487" s="11"/>
      <x:c r="H487" s="11"/>
      <x:c r="I487" s="9"/>
      <x:c r="J487" s="9"/>
      <x:c r="K487" s="9"/>
      <x:c r="L487" s="9"/>
      <x:c r="M487" s="12" t="str">
        <x:f>IF(A487="","",IF(AND(ISNUMBER(G487),ISNUMBER(H487)),H487-G487,""))</x:f>
      </x:c>
      <x:c r="N487" s="12" t="str">
        <x:f>IF(A487="","",IF(NOT(ISNUMBER(G487)),"Réception manquante",IF(AND(ISNUMBER(H487),H487&lt;G487),"Incohérent",IF('Paramètres'!$E$9="",IF(ISNUMBER(H487),"Répondue / cible absente","Sans réponse / cible absente"),IF(ISNUMBER(H487),IF(M487&lt;='Paramètres'!$E$9,"Dans le délai","Hors délai"),IF('Tableau de bord'!$F$5-G487&gt;'Paramètres'!$E$9,"Retard","En attente"))))))</x:f>
      </x:c>
      <x:c r="O487" s="9"/>
    </x:row>
    <x:row r="488" ht="23" customHeight="1">
      <x:c r="A488" s="9"/>
      <x:c r="B488" s="9"/>
      <x:c r="C488" s="9"/>
      <x:c r="D488" s="9"/>
      <x:c r="E488" s="9"/>
      <x:c r="F488" s="11"/>
      <x:c r="G488" s="11"/>
      <x:c r="H488" s="11"/>
      <x:c r="I488" s="9"/>
      <x:c r="J488" s="9"/>
      <x:c r="K488" s="9"/>
      <x:c r="L488" s="9"/>
      <x:c r="M488" s="12" t="str">
        <x:f>IF(A488="","",IF(AND(ISNUMBER(G488),ISNUMBER(H488)),H488-G488,""))</x:f>
      </x:c>
      <x:c r="N488" s="12" t="str">
        <x:f>IF(A488="","",IF(NOT(ISNUMBER(G488)),"Réception manquante",IF(AND(ISNUMBER(H488),H488&lt;G488),"Incohérent",IF('Paramètres'!$E$9="",IF(ISNUMBER(H488),"Répondue / cible absente","Sans réponse / cible absente"),IF(ISNUMBER(H488),IF(M488&lt;='Paramètres'!$E$9,"Dans le délai","Hors délai"),IF('Tableau de bord'!$F$5-G488&gt;'Paramètres'!$E$9,"Retard","En attente"))))))</x:f>
      </x:c>
      <x:c r="O488" s="9"/>
    </x:row>
    <x:row r="489" ht="23" customHeight="1">
      <x:c r="A489" s="9"/>
      <x:c r="B489" s="9"/>
      <x:c r="C489" s="9"/>
      <x:c r="D489" s="9"/>
      <x:c r="E489" s="9"/>
      <x:c r="F489" s="11"/>
      <x:c r="G489" s="11"/>
      <x:c r="H489" s="11"/>
      <x:c r="I489" s="9"/>
      <x:c r="J489" s="9"/>
      <x:c r="K489" s="9"/>
      <x:c r="L489" s="9"/>
      <x:c r="M489" s="12" t="str">
        <x:f>IF(A489="","",IF(AND(ISNUMBER(G489),ISNUMBER(H489)),H489-G489,""))</x:f>
      </x:c>
      <x:c r="N489" s="12" t="str">
        <x:f>IF(A489="","",IF(NOT(ISNUMBER(G489)),"Réception manquante",IF(AND(ISNUMBER(H489),H489&lt;G489),"Incohérent",IF('Paramètres'!$E$9="",IF(ISNUMBER(H489),"Répondue / cible absente","Sans réponse / cible absente"),IF(ISNUMBER(H489),IF(M489&lt;='Paramètres'!$E$9,"Dans le délai","Hors délai"),IF('Tableau de bord'!$F$5-G489&gt;'Paramètres'!$E$9,"Retard","En attente"))))))</x:f>
      </x:c>
      <x:c r="O489" s="9"/>
    </x:row>
    <x:row r="490" ht="23" customHeight="1">
      <x:c r="A490" s="9"/>
      <x:c r="B490" s="9"/>
      <x:c r="C490" s="9"/>
      <x:c r="D490" s="9"/>
      <x:c r="E490" s="9"/>
      <x:c r="F490" s="11"/>
      <x:c r="G490" s="11"/>
      <x:c r="H490" s="11"/>
      <x:c r="I490" s="9"/>
      <x:c r="J490" s="9"/>
      <x:c r="K490" s="9"/>
      <x:c r="L490" s="9"/>
      <x:c r="M490" s="12" t="str">
        <x:f>IF(A490="","",IF(AND(ISNUMBER(G490),ISNUMBER(H490)),H490-G490,""))</x:f>
      </x:c>
      <x:c r="N490" s="12" t="str">
        <x:f>IF(A490="","",IF(NOT(ISNUMBER(G490)),"Réception manquante",IF(AND(ISNUMBER(H490),H490&lt;G490),"Incohérent",IF('Paramètres'!$E$9="",IF(ISNUMBER(H490),"Répondue / cible absente","Sans réponse / cible absente"),IF(ISNUMBER(H490),IF(M490&lt;='Paramètres'!$E$9,"Dans le délai","Hors délai"),IF('Tableau de bord'!$F$5-G490&gt;'Paramètres'!$E$9,"Retard","En attente"))))))</x:f>
      </x:c>
      <x:c r="O490" s="9"/>
    </x:row>
    <x:row r="491" ht="23" customHeight="1">
      <x:c r="A491" s="9"/>
      <x:c r="B491" s="9"/>
      <x:c r="C491" s="9"/>
      <x:c r="D491" s="9"/>
      <x:c r="E491" s="9"/>
      <x:c r="F491" s="11"/>
      <x:c r="G491" s="11"/>
      <x:c r="H491" s="11"/>
      <x:c r="I491" s="9"/>
      <x:c r="J491" s="9"/>
      <x:c r="K491" s="9"/>
      <x:c r="L491" s="9"/>
      <x:c r="M491" s="12" t="str">
        <x:f>IF(A491="","",IF(AND(ISNUMBER(G491),ISNUMBER(H491)),H491-G491,""))</x:f>
      </x:c>
      <x:c r="N491" s="12" t="str">
        <x:f>IF(A491="","",IF(NOT(ISNUMBER(G491)),"Réception manquante",IF(AND(ISNUMBER(H491),H491&lt;G491),"Incohérent",IF('Paramètres'!$E$9="",IF(ISNUMBER(H491),"Répondue / cible absente","Sans réponse / cible absente"),IF(ISNUMBER(H491),IF(M491&lt;='Paramètres'!$E$9,"Dans le délai","Hors délai"),IF('Tableau de bord'!$F$5-G491&gt;'Paramètres'!$E$9,"Retard","En attente"))))))</x:f>
      </x:c>
      <x:c r="O491" s="9"/>
    </x:row>
    <x:row r="492" ht="23" customHeight="1">
      <x:c r="A492" s="9"/>
      <x:c r="B492" s="9"/>
      <x:c r="C492" s="9"/>
      <x:c r="D492" s="9"/>
      <x:c r="E492" s="9"/>
      <x:c r="F492" s="11"/>
      <x:c r="G492" s="11"/>
      <x:c r="H492" s="11"/>
      <x:c r="I492" s="9"/>
      <x:c r="J492" s="9"/>
      <x:c r="K492" s="9"/>
      <x:c r="L492" s="9"/>
      <x:c r="M492" s="12" t="str">
        <x:f>IF(A492="","",IF(AND(ISNUMBER(G492),ISNUMBER(H492)),H492-G492,""))</x:f>
      </x:c>
      <x:c r="N492" s="12" t="str">
        <x:f>IF(A492="","",IF(NOT(ISNUMBER(G492)),"Réception manquante",IF(AND(ISNUMBER(H492),H492&lt;G492),"Incohérent",IF('Paramètres'!$E$9="",IF(ISNUMBER(H492),"Répondue / cible absente","Sans réponse / cible absente"),IF(ISNUMBER(H492),IF(M492&lt;='Paramètres'!$E$9,"Dans le délai","Hors délai"),IF('Tableau de bord'!$F$5-G492&gt;'Paramètres'!$E$9,"Retard","En attente"))))))</x:f>
      </x:c>
      <x:c r="O492" s="9"/>
    </x:row>
    <x:row r="493" ht="23" customHeight="1">
      <x:c r="A493" s="9"/>
      <x:c r="B493" s="9"/>
      <x:c r="C493" s="9"/>
      <x:c r="D493" s="9"/>
      <x:c r="E493" s="9"/>
      <x:c r="F493" s="11"/>
      <x:c r="G493" s="11"/>
      <x:c r="H493" s="11"/>
      <x:c r="I493" s="9"/>
      <x:c r="J493" s="9"/>
      <x:c r="K493" s="9"/>
      <x:c r="L493" s="9"/>
      <x:c r="M493" s="12" t="str">
        <x:f>IF(A493="","",IF(AND(ISNUMBER(G493),ISNUMBER(H493)),H493-G493,""))</x:f>
      </x:c>
      <x:c r="N493" s="12" t="str">
        <x:f>IF(A493="","",IF(NOT(ISNUMBER(G493)),"Réception manquante",IF(AND(ISNUMBER(H493),H493&lt;G493),"Incohérent",IF('Paramètres'!$E$9="",IF(ISNUMBER(H493),"Répondue / cible absente","Sans réponse / cible absente"),IF(ISNUMBER(H493),IF(M493&lt;='Paramètres'!$E$9,"Dans le délai","Hors délai"),IF('Tableau de bord'!$F$5-G493&gt;'Paramètres'!$E$9,"Retard","En attente"))))))</x:f>
      </x:c>
      <x:c r="O493" s="9"/>
    </x:row>
    <x:row r="494" ht="23" customHeight="1">
      <x:c r="A494" s="9"/>
      <x:c r="B494" s="9"/>
      <x:c r="C494" s="9"/>
      <x:c r="D494" s="9"/>
      <x:c r="E494" s="9"/>
      <x:c r="F494" s="11"/>
      <x:c r="G494" s="11"/>
      <x:c r="H494" s="11"/>
      <x:c r="I494" s="9"/>
      <x:c r="J494" s="9"/>
      <x:c r="K494" s="9"/>
      <x:c r="L494" s="9"/>
      <x:c r="M494" s="12" t="str">
        <x:f>IF(A494="","",IF(AND(ISNUMBER(G494),ISNUMBER(H494)),H494-G494,""))</x:f>
      </x:c>
      <x:c r="N494" s="12" t="str">
        <x:f>IF(A494="","",IF(NOT(ISNUMBER(G494)),"Réception manquante",IF(AND(ISNUMBER(H494),H494&lt;G494),"Incohérent",IF('Paramètres'!$E$9="",IF(ISNUMBER(H494),"Répondue / cible absente","Sans réponse / cible absente"),IF(ISNUMBER(H494),IF(M494&lt;='Paramètres'!$E$9,"Dans le délai","Hors délai"),IF('Tableau de bord'!$F$5-G494&gt;'Paramètres'!$E$9,"Retard","En attente"))))))</x:f>
      </x:c>
      <x:c r="O494" s="9"/>
    </x:row>
    <x:row r="495" ht="23" customHeight="1">
      <x:c r="A495" s="9"/>
      <x:c r="B495" s="9"/>
      <x:c r="C495" s="9"/>
      <x:c r="D495" s="9"/>
      <x:c r="E495" s="9"/>
      <x:c r="F495" s="11"/>
      <x:c r="G495" s="11"/>
      <x:c r="H495" s="11"/>
      <x:c r="I495" s="9"/>
      <x:c r="J495" s="9"/>
      <x:c r="K495" s="9"/>
      <x:c r="L495" s="9"/>
      <x:c r="M495" s="12" t="str">
        <x:f>IF(A495="","",IF(AND(ISNUMBER(G495),ISNUMBER(H495)),H495-G495,""))</x:f>
      </x:c>
      <x:c r="N495" s="12" t="str">
        <x:f>IF(A495="","",IF(NOT(ISNUMBER(G495)),"Réception manquante",IF(AND(ISNUMBER(H495),H495&lt;G495),"Incohérent",IF('Paramètres'!$E$9="",IF(ISNUMBER(H495),"Répondue / cible absente","Sans réponse / cible absente"),IF(ISNUMBER(H495),IF(M495&lt;='Paramètres'!$E$9,"Dans le délai","Hors délai"),IF('Tableau de bord'!$F$5-G495&gt;'Paramètres'!$E$9,"Retard","En attente"))))))</x:f>
      </x:c>
      <x:c r="O495" s="9"/>
    </x:row>
    <x:row r="496" ht="23" customHeight="1">
      <x:c r="A496" s="9"/>
      <x:c r="B496" s="9"/>
      <x:c r="C496" s="9"/>
      <x:c r="D496" s="9"/>
      <x:c r="E496" s="9"/>
      <x:c r="F496" s="11"/>
      <x:c r="G496" s="11"/>
      <x:c r="H496" s="11"/>
      <x:c r="I496" s="9"/>
      <x:c r="J496" s="9"/>
      <x:c r="K496" s="9"/>
      <x:c r="L496" s="9"/>
      <x:c r="M496" s="12" t="str">
        <x:f>IF(A496="","",IF(AND(ISNUMBER(G496),ISNUMBER(H496)),H496-G496,""))</x:f>
      </x:c>
      <x:c r="N496" s="12" t="str">
        <x:f>IF(A496="","",IF(NOT(ISNUMBER(G496)),"Réception manquante",IF(AND(ISNUMBER(H496),H496&lt;G496),"Incohérent",IF('Paramètres'!$E$9="",IF(ISNUMBER(H496),"Répondue / cible absente","Sans réponse / cible absente"),IF(ISNUMBER(H496),IF(M496&lt;='Paramètres'!$E$9,"Dans le délai","Hors délai"),IF('Tableau de bord'!$F$5-G496&gt;'Paramètres'!$E$9,"Retard","En attente"))))))</x:f>
      </x:c>
      <x:c r="O496" s="9"/>
    </x:row>
    <x:row r="497" ht="23" customHeight="1">
      <x:c r="A497" s="9"/>
      <x:c r="B497" s="9"/>
      <x:c r="C497" s="9"/>
      <x:c r="D497" s="9"/>
      <x:c r="E497" s="9"/>
      <x:c r="F497" s="11"/>
      <x:c r="G497" s="11"/>
      <x:c r="H497" s="11"/>
      <x:c r="I497" s="9"/>
      <x:c r="J497" s="9"/>
      <x:c r="K497" s="9"/>
      <x:c r="L497" s="9"/>
      <x:c r="M497" s="12" t="str">
        <x:f>IF(A497="","",IF(AND(ISNUMBER(G497),ISNUMBER(H497)),H497-G497,""))</x:f>
      </x:c>
      <x:c r="N497" s="12" t="str">
        <x:f>IF(A497="","",IF(NOT(ISNUMBER(G497)),"Réception manquante",IF(AND(ISNUMBER(H497),H497&lt;G497),"Incohérent",IF('Paramètres'!$E$9="",IF(ISNUMBER(H497),"Répondue / cible absente","Sans réponse / cible absente"),IF(ISNUMBER(H497),IF(M497&lt;='Paramètres'!$E$9,"Dans le délai","Hors délai"),IF('Tableau de bord'!$F$5-G497&gt;'Paramètres'!$E$9,"Retard","En attente"))))))</x:f>
      </x:c>
      <x:c r="O497" s="9"/>
    </x:row>
    <x:row r="498" ht="23" customHeight="1">
      <x:c r="A498" s="9"/>
      <x:c r="B498" s="9"/>
      <x:c r="C498" s="9"/>
      <x:c r="D498" s="9"/>
      <x:c r="E498" s="9"/>
      <x:c r="F498" s="11"/>
      <x:c r="G498" s="11"/>
      <x:c r="H498" s="11"/>
      <x:c r="I498" s="9"/>
      <x:c r="J498" s="9"/>
      <x:c r="K498" s="9"/>
      <x:c r="L498" s="9"/>
      <x:c r="M498" s="12" t="str">
        <x:f>IF(A498="","",IF(AND(ISNUMBER(G498),ISNUMBER(H498)),H498-G498,""))</x:f>
      </x:c>
      <x:c r="N498" s="12" t="str">
        <x:f>IF(A498="","",IF(NOT(ISNUMBER(G498)),"Réception manquante",IF(AND(ISNUMBER(H498),H498&lt;G498),"Incohérent",IF('Paramètres'!$E$9="",IF(ISNUMBER(H498),"Répondue / cible absente","Sans réponse / cible absente"),IF(ISNUMBER(H498),IF(M498&lt;='Paramètres'!$E$9,"Dans le délai","Hors délai"),IF('Tableau de bord'!$F$5-G498&gt;'Paramètres'!$E$9,"Retard","En attente"))))))</x:f>
      </x:c>
      <x:c r="O498" s="9"/>
    </x:row>
    <x:row r="499" ht="23" customHeight="1">
      <x:c r="A499" s="9"/>
      <x:c r="B499" s="9"/>
      <x:c r="C499" s="9"/>
      <x:c r="D499" s="9"/>
      <x:c r="E499" s="9"/>
      <x:c r="F499" s="11"/>
      <x:c r="G499" s="11"/>
      <x:c r="H499" s="11"/>
      <x:c r="I499" s="9"/>
      <x:c r="J499" s="9"/>
      <x:c r="K499" s="9"/>
      <x:c r="L499" s="9"/>
      <x:c r="M499" s="12" t="str">
        <x:f>IF(A499="","",IF(AND(ISNUMBER(G499),ISNUMBER(H499)),H499-G499,""))</x:f>
      </x:c>
      <x:c r="N499" s="12" t="str">
        <x:f>IF(A499="","",IF(NOT(ISNUMBER(G499)),"Réception manquante",IF(AND(ISNUMBER(H499),H499&lt;G499),"Incohérent",IF('Paramètres'!$E$9="",IF(ISNUMBER(H499),"Répondue / cible absente","Sans réponse / cible absente"),IF(ISNUMBER(H499),IF(M499&lt;='Paramètres'!$E$9,"Dans le délai","Hors délai"),IF('Tableau de bord'!$F$5-G499&gt;'Paramètres'!$E$9,"Retard","En attente"))))))</x:f>
      </x:c>
      <x:c r="O499" s="9"/>
    </x:row>
    <x:row r="500" ht="23" customHeight="1">
      <x:c r="A500" s="9"/>
      <x:c r="B500" s="9"/>
      <x:c r="C500" s="9"/>
      <x:c r="D500" s="9"/>
      <x:c r="E500" s="9"/>
      <x:c r="F500" s="11"/>
      <x:c r="G500" s="11"/>
      <x:c r="H500" s="11"/>
      <x:c r="I500" s="9"/>
      <x:c r="J500" s="9"/>
      <x:c r="K500" s="9"/>
      <x:c r="L500" s="9"/>
      <x:c r="M500" s="12" t="str">
        <x:f>IF(A500="","",IF(AND(ISNUMBER(G500),ISNUMBER(H500)),H500-G500,""))</x:f>
      </x:c>
      <x:c r="N500" s="12" t="str">
        <x:f>IF(A500="","",IF(NOT(ISNUMBER(G500)),"Réception manquante",IF(AND(ISNUMBER(H500),H500&lt;G500),"Incohérent",IF('Paramètres'!$E$9="",IF(ISNUMBER(H500),"Répondue / cible absente","Sans réponse / cible absente"),IF(ISNUMBER(H500),IF(M500&lt;='Paramètres'!$E$9,"Dans le délai","Hors délai"),IF('Tableau de bord'!$F$5-G500&gt;'Paramètres'!$E$9,"Retard","En attente"))))))</x:f>
      </x:c>
      <x:c r="O500" s="9"/>
    </x:row>
    <x:row r="501" ht="23" customHeight="1">
      <x:c r="A501" s="9"/>
      <x:c r="B501" s="9"/>
      <x:c r="C501" s="9"/>
      <x:c r="D501" s="9"/>
      <x:c r="E501" s="9"/>
      <x:c r="F501" s="11"/>
      <x:c r="G501" s="11"/>
      <x:c r="H501" s="11"/>
      <x:c r="I501" s="9"/>
      <x:c r="J501" s="9"/>
      <x:c r="K501" s="9"/>
      <x:c r="L501" s="9"/>
      <x:c r="M501" s="12" t="str">
        <x:f>IF(A501="","",IF(AND(ISNUMBER(G501),ISNUMBER(H501)),H501-G501,""))</x:f>
      </x:c>
      <x:c r="N501" s="12" t="str">
        <x:f>IF(A501="","",IF(NOT(ISNUMBER(G501)),"Réception manquante",IF(AND(ISNUMBER(H501),H501&lt;G501),"Incohérent",IF('Paramètres'!$E$9="",IF(ISNUMBER(H501),"Répondue / cible absente","Sans réponse / cible absente"),IF(ISNUMBER(H501),IF(M501&lt;='Paramètres'!$E$9,"Dans le délai","Hors délai"),IF('Tableau de bord'!$F$5-G501&gt;'Paramètres'!$E$9,"Retard","En attente"))))))</x:f>
      </x:c>
      <x:c r="O501" s="9"/>
    </x:row>
    <x:row r="502" ht="23" customHeight="1">
      <x:c r="A502" s="9"/>
      <x:c r="B502" s="9"/>
      <x:c r="C502" s="9"/>
      <x:c r="D502" s="9"/>
      <x:c r="E502" s="9"/>
      <x:c r="F502" s="11"/>
      <x:c r="G502" s="11"/>
      <x:c r="H502" s="11"/>
      <x:c r="I502" s="9"/>
      <x:c r="J502" s="9"/>
      <x:c r="K502" s="9"/>
      <x:c r="L502" s="9"/>
      <x:c r="M502" s="12" t="str">
        <x:f>IF(A502="","",IF(AND(ISNUMBER(G502),ISNUMBER(H502)),H502-G502,""))</x:f>
      </x:c>
      <x:c r="N502" s="12" t="str">
        <x:f>IF(A502="","",IF(NOT(ISNUMBER(G502)),"Réception manquante",IF(AND(ISNUMBER(H502),H502&lt;G502),"Incohérent",IF('Paramètres'!$E$9="",IF(ISNUMBER(H502),"Répondue / cible absente","Sans réponse / cible absente"),IF(ISNUMBER(H502),IF(M502&lt;='Paramètres'!$E$9,"Dans le délai","Hors délai"),IF('Tableau de bord'!$F$5-G502&gt;'Paramètres'!$E$9,"Retard","En attente"))))))</x:f>
      </x:c>
      <x:c r="O502" s="9"/>
    </x:row>
    <x:row r="503" ht="23" customHeight="1">
      <x:c r="A503" s="9"/>
      <x:c r="B503" s="9"/>
      <x:c r="C503" s="9"/>
      <x:c r="D503" s="9"/>
      <x:c r="E503" s="9"/>
      <x:c r="F503" s="11"/>
      <x:c r="G503" s="11"/>
      <x:c r="H503" s="11"/>
      <x:c r="I503" s="9"/>
      <x:c r="J503" s="9"/>
      <x:c r="K503" s="9"/>
      <x:c r="L503" s="9"/>
      <x:c r="M503" s="12" t="str">
        <x:f>IF(A503="","",IF(AND(ISNUMBER(G503),ISNUMBER(H503)),H503-G503,""))</x:f>
      </x:c>
      <x:c r="N503" s="12" t="str">
        <x:f>IF(A503="","",IF(NOT(ISNUMBER(G503)),"Réception manquante",IF(AND(ISNUMBER(H503),H503&lt;G503),"Incohérent",IF('Paramètres'!$E$9="",IF(ISNUMBER(H503),"Répondue / cible absente","Sans réponse / cible absente"),IF(ISNUMBER(H503),IF(M503&lt;='Paramètres'!$E$9,"Dans le délai","Hors délai"),IF('Tableau de bord'!$F$5-G503&gt;'Paramètres'!$E$9,"Retard","En attente"))))))</x:f>
      </x:c>
      <x:c r="O503" s="9"/>
    </x:row>
    <x:row r="504" ht="23" customHeight="1">
      <x:c r="A504" s="9"/>
      <x:c r="B504" s="9"/>
      <x:c r="C504" s="9"/>
      <x:c r="D504" s="9"/>
      <x:c r="E504" s="9"/>
      <x:c r="F504" s="11"/>
      <x:c r="G504" s="11"/>
      <x:c r="H504" s="11"/>
      <x:c r="I504" s="9"/>
      <x:c r="J504" s="9"/>
      <x:c r="K504" s="9"/>
      <x:c r="L504" s="9"/>
      <x:c r="M504" s="12" t="str">
        <x:f>IF(A504="","",IF(AND(ISNUMBER(G504),ISNUMBER(H504)),H504-G504,""))</x:f>
      </x:c>
      <x:c r="N504" s="12" t="str">
        <x:f>IF(A504="","",IF(NOT(ISNUMBER(G504)),"Réception manquante",IF(AND(ISNUMBER(H504),H504&lt;G504),"Incohérent",IF('Paramètres'!$E$9="",IF(ISNUMBER(H504),"Répondue / cible absente","Sans réponse / cible absente"),IF(ISNUMBER(H504),IF(M504&lt;='Paramètres'!$E$9,"Dans le délai","Hors délai"),IF('Tableau de bord'!$F$5-G504&gt;'Paramètres'!$E$9,"Retard","En attente"))))))</x:f>
      </x:c>
      <x:c r="O504" s="9"/>
    </x:row>
    <x:row r="505" ht="23" customHeight="1">
      <x:c r="A505" s="9"/>
      <x:c r="B505" s="9"/>
      <x:c r="C505" s="9"/>
      <x:c r="D505" s="9"/>
      <x:c r="E505" s="9"/>
      <x:c r="F505" s="11"/>
      <x:c r="G505" s="11"/>
      <x:c r="H505" s="11"/>
      <x:c r="I505" s="9"/>
      <x:c r="J505" s="9"/>
      <x:c r="K505" s="9"/>
      <x:c r="L505" s="9"/>
      <x:c r="M505" s="12" t="str">
        <x:f>IF(A505="","",IF(AND(ISNUMBER(G505),ISNUMBER(H505)),H505-G505,""))</x:f>
      </x:c>
      <x:c r="N505" s="12" t="str">
        <x:f>IF(A505="","",IF(NOT(ISNUMBER(G505)),"Réception manquante",IF(AND(ISNUMBER(H505),H505&lt;G505),"Incohérent",IF('Paramètres'!$E$9="",IF(ISNUMBER(H505),"Répondue / cible absente","Sans réponse / cible absente"),IF(ISNUMBER(H505),IF(M505&lt;='Paramètres'!$E$9,"Dans le délai","Hors délai"),IF('Tableau de bord'!$F$5-G505&gt;'Paramètres'!$E$9,"Retard","En attente"))))))</x:f>
      </x:c>
      <x:c r="O505" s="9"/>
    </x:row>
  </x:sheetData>
  <x:conditionalFormatting sqref="N6:N505">
    <x:cfRule type="containsText" dxfId="42" priority="1" operator="containsText" text="Retard"/>
    <x:cfRule type="containsText" dxfId="43" priority="2" operator="containsText" text="Expiré"/>
    <x:cfRule type="containsText" dxfId="44" priority="3" operator="containsText" text="À compléter"/>
    <x:cfRule type="containsText" dxfId="45" priority="4" operator="containsText" text="Incohérent"/>
    <x:cfRule type="containsText" dxfId="46" priority="5" operator="containsText" text="Doublon"/>
    <x:cfRule type="containsText" dxfId="47" priority="6" operator="containsText" text="À renouveler"/>
  </x:conditionalFormatting>
  <x:dataValidations count="1">
    <x:dataValidation type="list" sqref="A6:A505">
      <x:formula1>'Paramètres'!$A$6:$A$25</x:formula1>
    </x:dataValidation>
  </x:dataValidations>
  <x:pageMargins left="0.7" right="0.7" top="0.75" bottom="0.75" header="0.3" footer="0.3"/>
  <x:tableParts count="1">
    <x:tablePart xmlns:r="http://schemas.openxmlformats.org/officeDocument/2006/relationships" r:id="Rfcbb5627f6fe4b19"/>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0" hidden="0" customWidth="1"/>
    <x:col min="2" max="2" width="14" hidden="0" customWidth="1"/>
    <x:col min="3" max="3" width="20" hidden="0" customWidth="1"/>
    <x:col min="4" max="4" width="18" hidden="0" customWidth="1"/>
    <x:col min="5" max="5" width="20" hidden="0" customWidth="1"/>
    <x:col min="6" max="6" width="16" hidden="0" customWidth="1"/>
    <x:col min="7" max="7" width="18" hidden="0" customWidth="1"/>
    <x:col min="8" max="8" width="16" hidden="0" customWidth="1"/>
    <x:col min="9" max="9" width="16" hidden="0" customWidth="1"/>
    <x:col min="10" max="10" width="16" hidden="0" customWidth="1"/>
    <x:col min="11" max="11" width="16" hidden="0" customWidth="1"/>
    <x:col min="12" max="12" width="18" hidden="0" customWidth="1"/>
    <x:col min="13" max="13" width="18" hidden="0" customWidth="1"/>
    <x:col min="14" max="14" width="18" hidden="0" customWidth="1"/>
    <x:col min="15" max="15" width="20" hidden="0" customWidth="1"/>
    <x:col min="16" max="16" width="20" hidden="0" customWidth="1"/>
    <x:col min="17" max="17" width="64" hidden="0" customWidth="1"/>
    <x:col min="18" max="18" width="26" hidden="0" customWidth="1"/>
  </x:cols>
  <x:sheetData>
    <x:row r="1" ht="23" customHeight="1">
      <x:c r="A1" s="2"/>
      <x:c r="B1" s="2"/>
      <x:c r="C1" s="2"/>
      <x:c r="D1" s="2"/>
      <x:c r="E1" s="2"/>
      <x:c r="F1" s="2"/>
      <x:c r="G1" s="2"/>
      <x:c r="H1" s="2"/>
      <x:c r="I1" s="2"/>
      <x:c r="J1" s="2"/>
      <x:c r="K1" s="2"/>
      <x:c r="L1" s="2"/>
      <x:c r="M1" s="2"/>
      <x:c r="N1" s="2"/>
      <x:c r="O1" s="2"/>
      <x:c r="P1" s="2"/>
      <x:c r="Q1" s="2"/>
      <x:c r="R1" s="2"/>
    </x:row>
    <x:row r="2" ht="23" customHeight="1">
      <x:c r="A2" s="3" t="str">
        <x:v>Suivi mensuel</x:v>
      </x:c>
      <x:c r="B2" s="2"/>
      <x:c r="C2" s="2"/>
      <x:c r="D2" s="2"/>
      <x:c r="E2" s="2"/>
      <x:c r="F2" s="2"/>
      <x:c r="G2" s="2"/>
      <x:c r="H2" s="2"/>
      <x:c r="I2" s="2"/>
      <x:c r="J2" s="2"/>
      <x:c r="K2" s="2"/>
      <x:c r="L2" s="2"/>
      <x:c r="M2" s="2"/>
      <x:c r="N2" s="2"/>
      <x:c r="O2" s="2"/>
      <x:c r="P2" s="2"/>
      <x:c r="Q2" s="2"/>
      <x:c r="R2" s="2"/>
    </x:row>
    <x:row r="3" ht="23" customHeight="1">
      <x:c r="A3" s="4"/>
      <x:c r="B3" s="4"/>
      <x:c r="C3" s="4"/>
      <x:c r="D3" s="4"/>
      <x:c r="E3" s="4"/>
      <x:c r="F3" s="4"/>
      <x:c r="G3" s="4"/>
      <x:c r="H3" s="4"/>
      <x:c r="I3" s="4"/>
      <x:c r="J3" s="4"/>
      <x:c r="K3" s="4"/>
      <x:c r="L3" s="4"/>
      <x:c r="M3" s="4"/>
      <x:c r="N3" s="4"/>
      <x:c r="O3" s="4"/>
      <x:c r="P3" s="4"/>
      <x:c r="Q3" s="4"/>
      <x:c r="R3" s="4"/>
    </x:row>
    <x:row r="4" ht="23" customHeight="1">
      <x:c r="A4" s="2" t="str">
        <x:v>Source : Lille_TDB QSE.xlsm. Saisie jaune, calculs gris. 500 lignes extensibles. Filtrer Ville.</x:v>
      </x:c>
      <x:c r="B4" s="2"/>
      <x:c r="C4" s="2"/>
      <x:c r="D4" s="2"/>
      <x:c r="E4" s="2"/>
      <x:c r="F4" s="2"/>
      <x:c r="G4" s="2"/>
      <x:c r="H4" s="2"/>
      <x:c r="I4" s="2"/>
      <x:c r="J4" s="2"/>
      <x:c r="K4" s="2"/>
      <x:c r="L4" s="2"/>
      <x:c r="M4" s="2"/>
      <x:c r="N4" s="2"/>
      <x:c r="O4" s="2"/>
      <x:c r="P4" s="2"/>
      <x:c r="Q4" s="2"/>
      <x:c r="R4" s="2"/>
    </x:row>
    <x:row r="5" ht="38" customHeight="1">
      <x:c r="A5" s="8" t="str">
        <x:v>Ville</x:v>
      </x:c>
      <x:c r="B5" s="8" t="str">
        <x:v>Mois</x:v>
      </x:c>
      <x:c r="C5" s="8" t="str">
        <x:v>Produits écolabellisés (%)</x:v>
      </x:c>
      <x:c r="D5" s="8" t="str">
        <x:v>Papier (feuilles)</x:v>
      </x:c>
      <x:c r="E5" s="8" t="str">
        <x:v>Électricité (kWh)</x:v>
      </x:c>
      <x:c r="F5" s="8" t="str">
        <x:v>CO2 (kg)</x:v>
      </x:c>
      <x:c r="G5" s="8" t="str">
        <x:v>Distance (km)</x:v>
      </x:c>
      <x:c r="H5" s="8" t="str">
        <x:v>AT avec arrêt</x:v>
      </x:c>
      <x:c r="I5" s="8" t="str">
        <x:v>AT analysés</x:v>
      </x:c>
      <x:c r="J5" s="8" t="str">
        <x:v>Audits prévus</x:v>
      </x:c>
      <x:c r="K5" s="8" t="str">
        <x:v>Audits réalisés</x:v>
      </x:c>
      <x:c r="L5" s="8" t="str">
        <x:v>Satisfaction (%)</x:v>
      </x:c>
      <x:c r="M5" s="8" t="str">
        <x:v>Avis suivis (stock)</x:v>
      </x:c>
      <x:c r="N5" s="8" t="str">
        <x:v>Avis clôturés (stock)</x:v>
      </x:c>
      <x:c r="O5" s="8" t="str">
        <x:v>Urgences à traiter (stock)</x:v>
      </x:c>
      <x:c r="P5" s="8" t="str">
        <x:v>Urgences traitées (stock)</x:v>
      </x:c>
      <x:c r="Q5" s="8" t="str">
        <x:v>Commentaires / source</x:v>
      </x:c>
      <x:c r="R5" s="8" t="str">
        <x:v>Contrôle saisie</x:v>
      </x:c>
    </x:row>
    <x:row r="6" ht="23" customHeight="1">
      <x:c r="A6" s="9" t="str">
        <x:v>Lille</x:v>
      </x:c>
      <x:c r="B6" s="11" t="n">
        <x:v>46023</x:v>
      </x:c>
      <x:c r="C6" s="10" t="n">
        <x:v>0.3853</x:v>
      </x:c>
      <x:c r="D6" s="9"/>
      <x:c r="E6" s="9"/>
      <x:c r="F6" s="9"/>
      <x:c r="G6" s="9"/>
      <x:c r="H6" s="9"/>
      <x:c r="I6" s="9"/>
      <x:c r="J6" s="9"/>
      <x:c r="K6" s="9"/>
      <x:c r="L6" s="10"/>
      <x:c r="M6" s="9"/>
      <x:c r="N6" s="9"/>
      <x:c r="O6" s="9"/>
      <x:c r="P6" s="9"/>
      <x:c r="Q6" s="9" t="str">
        <x:v>TX ECO!B3. Taux source, base de pondération non disponible.</x:v>
      </x:c>
      <x:c r="R6" s="12" t="str">
        <x:f>IF(A6="","",IF(B6="","À compléter",IF(COUNTIFS($A$6:$A$505,A6,$B$6:$B$505,B6)&gt;1,"Doublon ville/mois",IF(OR(AND(ISNUMBER(H6),ISNUMBER(I6),I6&gt;H6),AND(ISNUMBER(M6),ISNUMBER(N6),N6&gt;M6),AND(ISNUMBER(O6),ISNUMBER(P6),P6&gt;O6)),"Incohérent",""))))</x:f>
      </x:c>
    </x:row>
    <x:row r="7" ht="23" customHeight="1">
      <x:c r="A7" s="9" t="str">
        <x:v>Lille</x:v>
      </x:c>
      <x:c r="B7" s="11" t="n">
        <x:v>46054</x:v>
      </x:c>
      <x:c r="C7" s="10" t="n">
        <x:v>0.4508</x:v>
      </x:c>
      <x:c r="D7" s="9"/>
      <x:c r="E7" s="9"/>
      <x:c r="F7" s="9"/>
      <x:c r="G7" s="9"/>
      <x:c r="H7" s="9"/>
      <x:c r="I7" s="9"/>
      <x:c r="J7" s="9"/>
      <x:c r="K7" s="9"/>
      <x:c r="L7" s="10"/>
      <x:c r="M7" s="9"/>
      <x:c r="N7" s="9"/>
      <x:c r="O7" s="9"/>
      <x:c r="P7" s="9"/>
      <x:c r="Q7" s="9" t="str">
        <x:v>TX ECO!B4. Taux source, base de pondération non disponible.</x:v>
      </x:c>
      <x:c r="R7" s="12" t="str">
        <x:f>IF(A7="","",IF(B7="","À compléter",IF(COUNTIFS($A$6:$A$505,A7,$B$6:$B$505,B7)&gt;1,"Doublon ville/mois",IF(OR(AND(ISNUMBER(H7),ISNUMBER(I7),I7&gt;H7),AND(ISNUMBER(M7),ISNUMBER(N7),N7&gt;M7),AND(ISNUMBER(O7),ISNUMBER(P7),P7&gt;O7)),"Incohérent",""))))</x:f>
      </x:c>
    </x:row>
    <x:row r="8" ht="23" customHeight="1">
      <x:c r="A8" s="9" t="str">
        <x:v>Lille</x:v>
      </x:c>
      <x:c r="B8" s="11" t="n">
        <x:v>46082</x:v>
      </x:c>
      <x:c r="C8" s="10"/>
      <x:c r="D8" s="9"/>
      <x:c r="E8" s="9"/>
      <x:c r="F8" s="9"/>
      <x:c r="G8" s="9"/>
      <x:c r="H8" s="9"/>
      <x:c r="I8" s="9"/>
      <x:c r="J8" s="9"/>
      <x:c r="K8" s="9"/>
      <x:c r="L8" s="10"/>
      <x:c r="M8" s="9"/>
      <x:c r="N8" s="9"/>
      <x:c r="O8" s="9"/>
      <x:c r="P8" s="9"/>
      <x:c r="Q8" s="9"/>
      <x:c r="R8" s="12" t="str">
        <x:f>IF(A8="","",IF(B8="","À compléter",IF(COUNTIFS($A$6:$A$505,A8,$B$6:$B$505,B8)&gt;1,"Doublon ville/mois",IF(OR(AND(ISNUMBER(H8),ISNUMBER(I8),I8&gt;H8),AND(ISNUMBER(M8),ISNUMBER(N8),N8&gt;M8),AND(ISNUMBER(O8),ISNUMBER(P8),P8&gt;O8)),"Incohérent",""))))</x:f>
      </x:c>
    </x:row>
    <x:row r="9" ht="23" customHeight="1">
      <x:c r="A9" s="9" t="str">
        <x:v>Lille</x:v>
      </x:c>
      <x:c r="B9" s="11" t="n">
        <x:v>46113</x:v>
      </x:c>
      <x:c r="C9" s="10"/>
      <x:c r="D9" s="9"/>
      <x:c r="E9" s="9"/>
      <x:c r="F9" s="9"/>
      <x:c r="G9" s="9"/>
      <x:c r="H9" s="9"/>
      <x:c r="I9" s="9"/>
      <x:c r="J9" s="9"/>
      <x:c r="K9" s="9"/>
      <x:c r="L9" s="10"/>
      <x:c r="M9" s="9"/>
      <x:c r="N9" s="9"/>
      <x:c r="O9" s="9"/>
      <x:c r="P9" s="9"/>
      <x:c r="Q9" s="9"/>
      <x:c r="R9" s="12" t="str">
        <x:f>IF(A9="","",IF(B9="","À compléter",IF(COUNTIFS($A$6:$A$505,A9,$B$6:$B$505,B9)&gt;1,"Doublon ville/mois",IF(OR(AND(ISNUMBER(H9),ISNUMBER(I9),I9&gt;H9),AND(ISNUMBER(M9),ISNUMBER(N9),N9&gt;M9),AND(ISNUMBER(O9),ISNUMBER(P9),P9&gt;O9)),"Incohérent",""))))</x:f>
      </x:c>
    </x:row>
    <x:row r="10" ht="23" customHeight="1">
      <x:c r="A10" s="9" t="str">
        <x:v>Lille</x:v>
      </x:c>
      <x:c r="B10" s="11" t="n">
        <x:v>46143</x:v>
      </x:c>
      <x:c r="C10" s="10"/>
      <x:c r="D10" s="9"/>
      <x:c r="E10" s="9"/>
      <x:c r="F10" s="9"/>
      <x:c r="G10" s="9"/>
      <x:c r="H10" s="9"/>
      <x:c r="I10" s="9"/>
      <x:c r="J10" s="9"/>
      <x:c r="K10" s="9"/>
      <x:c r="L10" s="10"/>
      <x:c r="M10" s="9"/>
      <x:c r="N10" s="9"/>
      <x:c r="O10" s="9"/>
      <x:c r="P10" s="9"/>
      <x:c r="Q10" s="9"/>
      <x:c r="R10" s="12" t="str">
        <x:f>IF(A10="","",IF(B10="","À compléter",IF(COUNTIFS($A$6:$A$505,A10,$B$6:$B$505,B10)&gt;1,"Doublon ville/mois",IF(OR(AND(ISNUMBER(H10),ISNUMBER(I10),I10&gt;H10),AND(ISNUMBER(M10),ISNUMBER(N10),N10&gt;M10),AND(ISNUMBER(O10),ISNUMBER(P10),P10&gt;O10)),"Incohérent",""))))</x:f>
      </x:c>
    </x:row>
    <x:row r="11" ht="23" customHeight="1">
      <x:c r="A11" s="9" t="str">
        <x:v>Lille</x:v>
      </x:c>
      <x:c r="B11" s="11" t="n">
        <x:v>46174</x:v>
      </x:c>
      <x:c r="C11" s="10"/>
      <x:c r="D11" s="9"/>
      <x:c r="E11" s="9"/>
      <x:c r="F11" s="9"/>
      <x:c r="G11" s="9"/>
      <x:c r="H11" s="9"/>
      <x:c r="I11" s="9"/>
      <x:c r="J11" s="9"/>
      <x:c r="K11" s="9"/>
      <x:c r="L11" s="10"/>
      <x:c r="M11" s="9"/>
      <x:c r="N11" s="9"/>
      <x:c r="O11" s="9"/>
      <x:c r="P11" s="9"/>
      <x:c r="Q11" s="9"/>
      <x:c r="R11" s="12" t="str">
        <x:f>IF(A11="","",IF(B11="","À compléter",IF(COUNTIFS($A$6:$A$505,A11,$B$6:$B$505,B11)&gt;1,"Doublon ville/mois",IF(OR(AND(ISNUMBER(H11),ISNUMBER(I11),I11&gt;H11),AND(ISNUMBER(M11),ISNUMBER(N11),N11&gt;M11),AND(ISNUMBER(O11),ISNUMBER(P11),P11&gt;O11)),"Incohérent",""))))</x:f>
      </x:c>
    </x:row>
    <x:row r="12" ht="23" customHeight="1">
      <x:c r="A12" s="9" t="str">
        <x:v>Lille</x:v>
      </x:c>
      <x:c r="B12" s="11" t="n">
        <x:v>46204</x:v>
      </x:c>
      <x:c r="C12" s="10"/>
      <x:c r="D12" s="9"/>
      <x:c r="E12" s="9"/>
      <x:c r="F12" s="9"/>
      <x:c r="G12" s="9"/>
      <x:c r="H12" s="9"/>
      <x:c r="I12" s="9"/>
      <x:c r="J12" s="9"/>
      <x:c r="K12" s="9"/>
      <x:c r="L12" s="10"/>
      <x:c r="M12" s="9"/>
      <x:c r="N12" s="9"/>
      <x:c r="O12" s="9"/>
      <x:c r="P12" s="9"/>
      <x:c r="Q12" s="9"/>
      <x:c r="R12" s="12" t="str">
        <x:f>IF(A12="","",IF(B12="","À compléter",IF(COUNTIFS($A$6:$A$505,A12,$B$6:$B$505,B12)&gt;1,"Doublon ville/mois",IF(OR(AND(ISNUMBER(H12),ISNUMBER(I12),I12&gt;H12),AND(ISNUMBER(M12),ISNUMBER(N12),N12&gt;M12),AND(ISNUMBER(O12),ISNUMBER(P12),P12&gt;O12)),"Incohérent",""))))</x:f>
      </x:c>
    </x:row>
    <x:row r="13" ht="23" customHeight="1">
      <x:c r="A13" s="9" t="str">
        <x:v>Lille</x:v>
      </x:c>
      <x:c r="B13" s="11" t="n">
        <x:v>46235</x:v>
      </x:c>
      <x:c r="C13" s="10"/>
      <x:c r="D13" s="9"/>
      <x:c r="E13" s="9"/>
      <x:c r="F13" s="9"/>
      <x:c r="G13" s="9"/>
      <x:c r="H13" s="9"/>
      <x:c r="I13" s="9"/>
      <x:c r="J13" s="9"/>
      <x:c r="K13" s="9"/>
      <x:c r="L13" s="10"/>
      <x:c r="M13" s="9"/>
      <x:c r="N13" s="9"/>
      <x:c r="O13" s="9"/>
      <x:c r="P13" s="9"/>
      <x:c r="Q13" s="9"/>
      <x:c r="R13" s="12" t="str">
        <x:f>IF(A13="","",IF(B13="","À compléter",IF(COUNTIFS($A$6:$A$505,A13,$B$6:$B$505,B13)&gt;1,"Doublon ville/mois",IF(OR(AND(ISNUMBER(H13),ISNUMBER(I13),I13&gt;H13),AND(ISNUMBER(M13),ISNUMBER(N13),N13&gt;M13),AND(ISNUMBER(O13),ISNUMBER(P13),P13&gt;O13)),"Incohérent",""))))</x:f>
      </x:c>
    </x:row>
    <x:row r="14" ht="23" customHeight="1">
      <x:c r="A14" s="9" t="str">
        <x:v>Lille</x:v>
      </x:c>
      <x:c r="B14" s="11" t="n">
        <x:v>46266</x:v>
      </x:c>
      <x:c r="C14" s="10"/>
      <x:c r="D14" s="9"/>
      <x:c r="E14" s="9"/>
      <x:c r="F14" s="9"/>
      <x:c r="G14" s="9"/>
      <x:c r="H14" s="9"/>
      <x:c r="I14" s="9"/>
      <x:c r="J14" s="9"/>
      <x:c r="K14" s="9"/>
      <x:c r="L14" s="10"/>
      <x:c r="M14" s="9" t="n">
        <x:v>24</x:v>
      </x:c>
      <x:c r="N14" s="9" t="n">
        <x:v>23</x:v>
      </x:c>
      <x:c r="O14" s="9"/>
      <x:c r="P14" s="9"/>
      <x:c r="Q14" s="9" t="str">
        <x:v>Restrictions!A11:M34 : état constaté au 14/09/2026. Les autres mesures restent à renseigner.</x:v>
      </x:c>
      <x:c r="R14" s="12" t="str">
        <x:f>IF(A14="","",IF(B14="","À compléter",IF(COUNTIFS($A$6:$A$505,A14,$B$6:$B$505,B14)&gt;1,"Doublon ville/mois",IF(OR(AND(ISNUMBER(H14),ISNUMBER(I14),I14&gt;H14),AND(ISNUMBER(M14),ISNUMBER(N14),N14&gt;M14),AND(ISNUMBER(O14),ISNUMBER(P14),P14&gt;O14)),"Incohérent",""))))</x:f>
      </x:c>
    </x:row>
    <x:row r="15" ht="23" customHeight="1">
      <x:c r="A15" s="9" t="str">
        <x:v>Lille</x:v>
      </x:c>
      <x:c r="B15" s="11" t="n">
        <x:v>46296</x:v>
      </x:c>
      <x:c r="C15" s="10"/>
      <x:c r="D15" s="9"/>
      <x:c r="E15" s="9"/>
      <x:c r="F15" s="9"/>
      <x:c r="G15" s="9"/>
      <x:c r="H15" s="9"/>
      <x:c r="I15" s="9"/>
      <x:c r="J15" s="9"/>
      <x:c r="K15" s="9"/>
      <x:c r="L15" s="10"/>
      <x:c r="M15" s="9"/>
      <x:c r="N15" s="9"/>
      <x:c r="O15" s="9"/>
      <x:c r="P15" s="9"/>
      <x:c r="Q15" s="9"/>
      <x:c r="R15" s="12" t="str">
        <x:f>IF(A15="","",IF(B15="","À compléter",IF(COUNTIFS($A$6:$A$505,A15,$B$6:$B$505,B15)&gt;1,"Doublon ville/mois",IF(OR(AND(ISNUMBER(H15),ISNUMBER(I15),I15&gt;H15),AND(ISNUMBER(M15),ISNUMBER(N15),N15&gt;M15),AND(ISNUMBER(O15),ISNUMBER(P15),P15&gt;O15)),"Incohérent",""))))</x:f>
      </x:c>
    </x:row>
    <x:row r="16" ht="23" customHeight="1">
      <x:c r="A16" s="9" t="str">
        <x:v>Lille</x:v>
      </x:c>
      <x:c r="B16" s="11" t="n">
        <x:v>46327</x:v>
      </x:c>
      <x:c r="C16" s="10"/>
      <x:c r="D16" s="9"/>
      <x:c r="E16" s="9"/>
      <x:c r="F16" s="9"/>
      <x:c r="G16" s="9"/>
      <x:c r="H16" s="9"/>
      <x:c r="I16" s="9"/>
      <x:c r="J16" s="9"/>
      <x:c r="K16" s="9"/>
      <x:c r="L16" s="10"/>
      <x:c r="M16" s="9"/>
      <x:c r="N16" s="9"/>
      <x:c r="O16" s="9"/>
      <x:c r="P16" s="9"/>
      <x:c r="Q16" s="9"/>
      <x:c r="R16" s="12" t="str">
        <x:f>IF(A16="","",IF(B16="","À compléter",IF(COUNTIFS($A$6:$A$505,A16,$B$6:$B$505,B16)&gt;1,"Doublon ville/mois",IF(OR(AND(ISNUMBER(H16),ISNUMBER(I16),I16&gt;H16),AND(ISNUMBER(M16),ISNUMBER(N16),N16&gt;M16),AND(ISNUMBER(O16),ISNUMBER(P16),P16&gt;O16)),"Incohérent",""))))</x:f>
      </x:c>
    </x:row>
    <x:row r="17" ht="23" customHeight="1">
      <x:c r="A17" s="9" t="str">
        <x:v>Lille</x:v>
      </x:c>
      <x:c r="B17" s="11" t="n">
        <x:v>46357</x:v>
      </x:c>
      <x:c r="C17" s="10"/>
      <x:c r="D17" s="9"/>
      <x:c r="E17" s="9"/>
      <x:c r="F17" s="9"/>
      <x:c r="G17" s="9"/>
      <x:c r="H17" s="9"/>
      <x:c r="I17" s="9"/>
      <x:c r="J17" s="9"/>
      <x:c r="K17" s="9"/>
      <x:c r="L17" s="10"/>
      <x:c r="M17" s="9"/>
      <x:c r="N17" s="9"/>
      <x:c r="O17" s="9"/>
      <x:c r="P17" s="9"/>
      <x:c r="Q17" s="9"/>
      <x:c r="R17" s="12" t="str">
        <x:f>IF(A17="","",IF(B17="","À compléter",IF(COUNTIFS($A$6:$A$505,A17,$B$6:$B$505,B17)&gt;1,"Doublon ville/mois",IF(OR(AND(ISNUMBER(H17),ISNUMBER(I17),I17&gt;H17),AND(ISNUMBER(M17),ISNUMBER(N17),N17&gt;M17),AND(ISNUMBER(O17),ISNUMBER(P17),P17&gt;O17)),"Incohérent",""))))</x:f>
      </x:c>
    </x:row>
    <x:row r="18" ht="23" customHeight="1">
      <x:c r="A18" s="9"/>
      <x:c r="B18" s="11"/>
      <x:c r="C18" s="10"/>
      <x:c r="D18" s="9"/>
      <x:c r="E18" s="9"/>
      <x:c r="F18" s="9"/>
      <x:c r="G18" s="9"/>
      <x:c r="H18" s="9"/>
      <x:c r="I18" s="9"/>
      <x:c r="J18" s="9"/>
      <x:c r="K18" s="9"/>
      <x:c r="L18" s="10"/>
      <x:c r="M18" s="9"/>
      <x:c r="N18" s="9"/>
      <x:c r="O18" s="9"/>
      <x:c r="P18" s="9"/>
      <x:c r="Q18" s="9"/>
      <x:c r="R18" s="12" t="str">
        <x:f>IF(A18="","",IF(B18="","À compléter",IF(COUNTIFS($A$6:$A$505,A18,$B$6:$B$505,B18)&gt;1,"Doublon ville/mois",IF(OR(AND(ISNUMBER(H18),ISNUMBER(I18),I18&gt;H18),AND(ISNUMBER(M18),ISNUMBER(N18),N18&gt;M18),AND(ISNUMBER(O18),ISNUMBER(P18),P18&gt;O18)),"Incohérent",""))))</x:f>
      </x:c>
    </x:row>
    <x:row r="19" ht="23" customHeight="1">
      <x:c r="A19" s="9"/>
      <x:c r="B19" s="11"/>
      <x:c r="C19" s="10"/>
      <x:c r="D19" s="9"/>
      <x:c r="E19" s="9"/>
      <x:c r="F19" s="9"/>
      <x:c r="G19" s="9"/>
      <x:c r="H19" s="9"/>
      <x:c r="I19" s="9"/>
      <x:c r="J19" s="9"/>
      <x:c r="K19" s="9"/>
      <x:c r="L19" s="10"/>
      <x:c r="M19" s="9"/>
      <x:c r="N19" s="9"/>
      <x:c r="O19" s="9"/>
      <x:c r="P19" s="9"/>
      <x:c r="Q19" s="9"/>
      <x:c r="R19" s="12" t="str">
        <x:f>IF(A19="","",IF(B19="","À compléter",IF(COUNTIFS($A$6:$A$505,A19,$B$6:$B$505,B19)&gt;1,"Doublon ville/mois",IF(OR(AND(ISNUMBER(H19),ISNUMBER(I19),I19&gt;H19),AND(ISNUMBER(M19),ISNUMBER(N19),N19&gt;M19),AND(ISNUMBER(O19),ISNUMBER(P19),P19&gt;O19)),"Incohérent",""))))</x:f>
      </x:c>
    </x:row>
    <x:row r="20" ht="23" customHeight="1">
      <x:c r="A20" s="9"/>
      <x:c r="B20" s="11"/>
      <x:c r="C20" s="10"/>
      <x:c r="D20" s="9"/>
      <x:c r="E20" s="9"/>
      <x:c r="F20" s="9"/>
      <x:c r="G20" s="9"/>
      <x:c r="H20" s="9"/>
      <x:c r="I20" s="9"/>
      <x:c r="J20" s="9"/>
      <x:c r="K20" s="9"/>
      <x:c r="L20" s="10"/>
      <x:c r="M20" s="9"/>
      <x:c r="N20" s="9"/>
      <x:c r="O20" s="9"/>
      <x:c r="P20" s="9"/>
      <x:c r="Q20" s="9"/>
      <x:c r="R20" s="12" t="str">
        <x:f>IF(A20="","",IF(B20="","À compléter",IF(COUNTIFS($A$6:$A$505,A20,$B$6:$B$505,B20)&gt;1,"Doublon ville/mois",IF(OR(AND(ISNUMBER(H20),ISNUMBER(I20),I20&gt;H20),AND(ISNUMBER(M20),ISNUMBER(N20),N20&gt;M20),AND(ISNUMBER(O20),ISNUMBER(P20),P20&gt;O20)),"Incohérent",""))))</x:f>
      </x:c>
    </x:row>
    <x:row r="21" ht="23" customHeight="1">
      <x:c r="A21" s="9"/>
      <x:c r="B21" s="11"/>
      <x:c r="C21" s="10"/>
      <x:c r="D21" s="9"/>
      <x:c r="E21" s="9"/>
      <x:c r="F21" s="9"/>
      <x:c r="G21" s="9"/>
      <x:c r="H21" s="9"/>
      <x:c r="I21" s="9"/>
      <x:c r="J21" s="9"/>
      <x:c r="K21" s="9"/>
      <x:c r="L21" s="10"/>
      <x:c r="M21" s="9"/>
      <x:c r="N21" s="9"/>
      <x:c r="O21" s="9"/>
      <x:c r="P21" s="9"/>
      <x:c r="Q21" s="9"/>
      <x:c r="R21" s="12" t="str">
        <x:f>IF(A21="","",IF(B21="","À compléter",IF(COUNTIFS($A$6:$A$505,A21,$B$6:$B$505,B21)&gt;1,"Doublon ville/mois",IF(OR(AND(ISNUMBER(H21),ISNUMBER(I21),I21&gt;H21),AND(ISNUMBER(M21),ISNUMBER(N21),N21&gt;M21),AND(ISNUMBER(O21),ISNUMBER(P21),P21&gt;O21)),"Incohérent",""))))</x:f>
      </x:c>
    </x:row>
    <x:row r="22" ht="23" customHeight="1">
      <x:c r="A22" s="9"/>
      <x:c r="B22" s="11"/>
      <x:c r="C22" s="10"/>
      <x:c r="D22" s="9"/>
      <x:c r="E22" s="9"/>
      <x:c r="F22" s="9"/>
      <x:c r="G22" s="9"/>
      <x:c r="H22" s="9"/>
      <x:c r="I22" s="9"/>
      <x:c r="J22" s="9"/>
      <x:c r="K22" s="9"/>
      <x:c r="L22" s="10"/>
      <x:c r="M22" s="9"/>
      <x:c r="N22" s="9"/>
      <x:c r="O22" s="9"/>
      <x:c r="P22" s="9"/>
      <x:c r="Q22" s="9"/>
      <x:c r="R22" s="12" t="str">
        <x:f>IF(A22="","",IF(B22="","À compléter",IF(COUNTIFS($A$6:$A$505,A22,$B$6:$B$505,B22)&gt;1,"Doublon ville/mois",IF(OR(AND(ISNUMBER(H22),ISNUMBER(I22),I22&gt;H22),AND(ISNUMBER(M22),ISNUMBER(N22),N22&gt;M22),AND(ISNUMBER(O22),ISNUMBER(P22),P22&gt;O22)),"Incohérent",""))))</x:f>
      </x:c>
    </x:row>
    <x:row r="23" ht="23" customHeight="1">
      <x:c r="A23" s="9"/>
      <x:c r="B23" s="11"/>
      <x:c r="C23" s="10"/>
      <x:c r="D23" s="9"/>
      <x:c r="E23" s="9"/>
      <x:c r="F23" s="9"/>
      <x:c r="G23" s="9"/>
      <x:c r="H23" s="9"/>
      <x:c r="I23" s="9"/>
      <x:c r="J23" s="9"/>
      <x:c r="K23" s="9"/>
      <x:c r="L23" s="10"/>
      <x:c r="M23" s="9"/>
      <x:c r="N23" s="9"/>
      <x:c r="O23" s="9"/>
      <x:c r="P23" s="9"/>
      <x:c r="Q23" s="9"/>
      <x:c r="R23" s="12" t="str">
        <x:f>IF(A23="","",IF(B23="","À compléter",IF(COUNTIFS($A$6:$A$505,A23,$B$6:$B$505,B23)&gt;1,"Doublon ville/mois",IF(OR(AND(ISNUMBER(H23),ISNUMBER(I23),I23&gt;H23),AND(ISNUMBER(M23),ISNUMBER(N23),N23&gt;M23),AND(ISNUMBER(O23),ISNUMBER(P23),P23&gt;O23)),"Incohérent",""))))</x:f>
      </x:c>
    </x:row>
    <x:row r="24" ht="23" customHeight="1">
      <x:c r="A24" s="9"/>
      <x:c r="B24" s="11"/>
      <x:c r="C24" s="10"/>
      <x:c r="D24" s="9"/>
      <x:c r="E24" s="9"/>
      <x:c r="F24" s="9"/>
      <x:c r="G24" s="9"/>
      <x:c r="H24" s="9"/>
      <x:c r="I24" s="9"/>
      <x:c r="J24" s="9"/>
      <x:c r="K24" s="9"/>
      <x:c r="L24" s="10"/>
      <x:c r="M24" s="9"/>
      <x:c r="N24" s="9"/>
      <x:c r="O24" s="9"/>
      <x:c r="P24" s="9"/>
      <x:c r="Q24" s="9"/>
      <x:c r="R24" s="12" t="str">
        <x:f>IF(A24="","",IF(B24="","À compléter",IF(COUNTIFS($A$6:$A$505,A24,$B$6:$B$505,B24)&gt;1,"Doublon ville/mois",IF(OR(AND(ISNUMBER(H24),ISNUMBER(I24),I24&gt;H24),AND(ISNUMBER(M24),ISNUMBER(N24),N24&gt;M24),AND(ISNUMBER(O24),ISNUMBER(P24),P24&gt;O24)),"Incohérent",""))))</x:f>
      </x:c>
    </x:row>
    <x:row r="25" ht="23" customHeight="1">
      <x:c r="A25" s="9"/>
      <x:c r="B25" s="11"/>
      <x:c r="C25" s="10"/>
      <x:c r="D25" s="9"/>
      <x:c r="E25" s="9"/>
      <x:c r="F25" s="9"/>
      <x:c r="G25" s="9"/>
      <x:c r="H25" s="9"/>
      <x:c r="I25" s="9"/>
      <x:c r="J25" s="9"/>
      <x:c r="K25" s="9"/>
      <x:c r="L25" s="10"/>
      <x:c r="M25" s="9"/>
      <x:c r="N25" s="9"/>
      <x:c r="O25" s="9"/>
      <x:c r="P25" s="9"/>
      <x:c r="Q25" s="9"/>
      <x:c r="R25" s="12" t="str">
        <x:f>IF(A25="","",IF(B25="","À compléter",IF(COUNTIFS($A$6:$A$505,A25,$B$6:$B$505,B25)&gt;1,"Doublon ville/mois",IF(OR(AND(ISNUMBER(H25),ISNUMBER(I25),I25&gt;H25),AND(ISNUMBER(M25),ISNUMBER(N25),N25&gt;M25),AND(ISNUMBER(O25),ISNUMBER(P25),P25&gt;O25)),"Incohérent",""))))</x:f>
      </x:c>
    </x:row>
    <x:row r="26" ht="23" customHeight="1">
      <x:c r="A26" s="9"/>
      <x:c r="B26" s="11"/>
      <x:c r="C26" s="10"/>
      <x:c r="D26" s="9"/>
      <x:c r="E26" s="9"/>
      <x:c r="F26" s="9"/>
      <x:c r="G26" s="9"/>
      <x:c r="H26" s="9"/>
      <x:c r="I26" s="9"/>
      <x:c r="J26" s="9"/>
      <x:c r="K26" s="9"/>
      <x:c r="L26" s="10"/>
      <x:c r="M26" s="9"/>
      <x:c r="N26" s="9"/>
      <x:c r="O26" s="9"/>
      <x:c r="P26" s="9"/>
      <x:c r="Q26" s="9"/>
      <x:c r="R26" s="12" t="str">
        <x:f>IF(A26="","",IF(B26="","À compléter",IF(COUNTIFS($A$6:$A$505,A26,$B$6:$B$505,B26)&gt;1,"Doublon ville/mois",IF(OR(AND(ISNUMBER(H26),ISNUMBER(I26),I26&gt;H26),AND(ISNUMBER(M26),ISNUMBER(N26),N26&gt;M26),AND(ISNUMBER(O26),ISNUMBER(P26),P26&gt;O26)),"Incohérent",""))))</x:f>
      </x:c>
    </x:row>
    <x:row r="27" ht="23" customHeight="1">
      <x:c r="A27" s="9"/>
      <x:c r="B27" s="11"/>
      <x:c r="C27" s="10"/>
      <x:c r="D27" s="9"/>
      <x:c r="E27" s="9"/>
      <x:c r="F27" s="9"/>
      <x:c r="G27" s="9"/>
      <x:c r="H27" s="9"/>
      <x:c r="I27" s="9"/>
      <x:c r="J27" s="9"/>
      <x:c r="K27" s="9"/>
      <x:c r="L27" s="10"/>
      <x:c r="M27" s="9"/>
      <x:c r="N27" s="9"/>
      <x:c r="O27" s="9"/>
      <x:c r="P27" s="9"/>
      <x:c r="Q27" s="9"/>
      <x:c r="R27" s="12" t="str">
        <x:f>IF(A27="","",IF(B27="","À compléter",IF(COUNTIFS($A$6:$A$505,A27,$B$6:$B$505,B27)&gt;1,"Doublon ville/mois",IF(OR(AND(ISNUMBER(H27),ISNUMBER(I27),I27&gt;H27),AND(ISNUMBER(M27),ISNUMBER(N27),N27&gt;M27),AND(ISNUMBER(O27),ISNUMBER(P27),P27&gt;O27)),"Incohérent",""))))</x:f>
      </x:c>
    </x:row>
    <x:row r="28" ht="23" customHeight="1">
      <x:c r="A28" s="9"/>
      <x:c r="B28" s="11"/>
      <x:c r="C28" s="10"/>
      <x:c r="D28" s="9"/>
      <x:c r="E28" s="9"/>
      <x:c r="F28" s="9"/>
      <x:c r="G28" s="9"/>
      <x:c r="H28" s="9"/>
      <x:c r="I28" s="9"/>
      <x:c r="J28" s="9"/>
      <x:c r="K28" s="9"/>
      <x:c r="L28" s="10"/>
      <x:c r="M28" s="9"/>
      <x:c r="N28" s="9"/>
      <x:c r="O28" s="9"/>
      <x:c r="P28" s="9"/>
      <x:c r="Q28" s="9"/>
      <x:c r="R28" s="12" t="str">
        <x:f>IF(A28="","",IF(B28="","À compléter",IF(COUNTIFS($A$6:$A$505,A28,$B$6:$B$505,B28)&gt;1,"Doublon ville/mois",IF(OR(AND(ISNUMBER(H28),ISNUMBER(I28),I28&gt;H28),AND(ISNUMBER(M28),ISNUMBER(N28),N28&gt;M28),AND(ISNUMBER(O28),ISNUMBER(P28),P28&gt;O28)),"Incohérent",""))))</x:f>
      </x:c>
    </x:row>
    <x:row r="29" ht="23" customHeight="1">
      <x:c r="A29" s="9"/>
      <x:c r="B29" s="11"/>
      <x:c r="C29" s="10"/>
      <x:c r="D29" s="9"/>
      <x:c r="E29" s="9"/>
      <x:c r="F29" s="9"/>
      <x:c r="G29" s="9"/>
      <x:c r="H29" s="9"/>
      <x:c r="I29" s="9"/>
      <x:c r="J29" s="9"/>
      <x:c r="K29" s="9"/>
      <x:c r="L29" s="10"/>
      <x:c r="M29" s="9"/>
      <x:c r="N29" s="9"/>
      <x:c r="O29" s="9"/>
      <x:c r="P29" s="9"/>
      <x:c r="Q29" s="9"/>
      <x:c r="R29" s="12" t="str">
        <x:f>IF(A29="","",IF(B29="","À compléter",IF(COUNTIFS($A$6:$A$505,A29,$B$6:$B$505,B29)&gt;1,"Doublon ville/mois",IF(OR(AND(ISNUMBER(H29),ISNUMBER(I29),I29&gt;H29),AND(ISNUMBER(M29),ISNUMBER(N29),N29&gt;M29),AND(ISNUMBER(O29),ISNUMBER(P29),P29&gt;O29)),"Incohérent",""))))</x:f>
      </x:c>
    </x:row>
    <x:row r="30" ht="23" customHeight="1">
      <x:c r="A30" s="9"/>
      <x:c r="B30" s="11"/>
      <x:c r="C30" s="10"/>
      <x:c r="D30" s="9"/>
      <x:c r="E30" s="9"/>
      <x:c r="F30" s="9"/>
      <x:c r="G30" s="9"/>
      <x:c r="H30" s="9"/>
      <x:c r="I30" s="9"/>
      <x:c r="J30" s="9"/>
      <x:c r="K30" s="9"/>
      <x:c r="L30" s="10"/>
      <x:c r="M30" s="9"/>
      <x:c r="N30" s="9"/>
      <x:c r="O30" s="9"/>
      <x:c r="P30" s="9"/>
      <x:c r="Q30" s="9"/>
      <x:c r="R30" s="12" t="str">
        <x:f>IF(A30="","",IF(B30="","À compléter",IF(COUNTIFS($A$6:$A$505,A30,$B$6:$B$505,B30)&gt;1,"Doublon ville/mois",IF(OR(AND(ISNUMBER(H30),ISNUMBER(I30),I30&gt;H30),AND(ISNUMBER(M30),ISNUMBER(N30),N30&gt;M30),AND(ISNUMBER(O30),ISNUMBER(P30),P30&gt;O30)),"Incohérent",""))))</x:f>
      </x:c>
    </x:row>
    <x:row r="31" ht="23" customHeight="1">
      <x:c r="A31" s="9"/>
      <x:c r="B31" s="11"/>
      <x:c r="C31" s="10"/>
      <x:c r="D31" s="9"/>
      <x:c r="E31" s="9"/>
      <x:c r="F31" s="9"/>
      <x:c r="G31" s="9"/>
      <x:c r="H31" s="9"/>
      <x:c r="I31" s="9"/>
      <x:c r="J31" s="9"/>
      <x:c r="K31" s="9"/>
      <x:c r="L31" s="10"/>
      <x:c r="M31" s="9"/>
      <x:c r="N31" s="9"/>
      <x:c r="O31" s="9"/>
      <x:c r="P31" s="9"/>
      <x:c r="Q31" s="9"/>
      <x:c r="R31" s="12" t="str">
        <x:f>IF(A31="","",IF(B31="","À compléter",IF(COUNTIFS($A$6:$A$505,A31,$B$6:$B$505,B31)&gt;1,"Doublon ville/mois",IF(OR(AND(ISNUMBER(H31),ISNUMBER(I31),I31&gt;H31),AND(ISNUMBER(M31),ISNUMBER(N31),N31&gt;M31),AND(ISNUMBER(O31),ISNUMBER(P31),P31&gt;O31)),"Incohérent",""))))</x:f>
      </x:c>
    </x:row>
    <x:row r="32" ht="23" customHeight="1">
      <x:c r="A32" s="9"/>
      <x:c r="B32" s="11"/>
      <x:c r="C32" s="10"/>
      <x:c r="D32" s="9"/>
      <x:c r="E32" s="9"/>
      <x:c r="F32" s="9"/>
      <x:c r="G32" s="9"/>
      <x:c r="H32" s="9"/>
      <x:c r="I32" s="9"/>
      <x:c r="J32" s="9"/>
      <x:c r="K32" s="9"/>
      <x:c r="L32" s="10"/>
      <x:c r="M32" s="9"/>
      <x:c r="N32" s="9"/>
      <x:c r="O32" s="9"/>
      <x:c r="P32" s="9"/>
      <x:c r="Q32" s="9"/>
      <x:c r="R32" s="12" t="str">
        <x:f>IF(A32="","",IF(B32="","À compléter",IF(COUNTIFS($A$6:$A$505,A32,$B$6:$B$505,B32)&gt;1,"Doublon ville/mois",IF(OR(AND(ISNUMBER(H32),ISNUMBER(I32),I32&gt;H32),AND(ISNUMBER(M32),ISNUMBER(N32),N32&gt;M32),AND(ISNUMBER(O32),ISNUMBER(P32),P32&gt;O32)),"Incohérent",""))))</x:f>
      </x:c>
    </x:row>
    <x:row r="33" ht="23" customHeight="1">
      <x:c r="A33" s="9"/>
      <x:c r="B33" s="11"/>
      <x:c r="C33" s="10"/>
      <x:c r="D33" s="9"/>
      <x:c r="E33" s="9"/>
      <x:c r="F33" s="9"/>
      <x:c r="G33" s="9"/>
      <x:c r="H33" s="9"/>
      <x:c r="I33" s="9"/>
      <x:c r="J33" s="9"/>
      <x:c r="K33" s="9"/>
      <x:c r="L33" s="10"/>
      <x:c r="M33" s="9"/>
      <x:c r="N33" s="9"/>
      <x:c r="O33" s="9"/>
      <x:c r="P33" s="9"/>
      <x:c r="Q33" s="9"/>
      <x:c r="R33" s="12" t="str">
        <x:f>IF(A33="","",IF(B33="","À compléter",IF(COUNTIFS($A$6:$A$505,A33,$B$6:$B$505,B33)&gt;1,"Doublon ville/mois",IF(OR(AND(ISNUMBER(H33),ISNUMBER(I33),I33&gt;H33),AND(ISNUMBER(M33),ISNUMBER(N33),N33&gt;M33),AND(ISNUMBER(O33),ISNUMBER(P33),P33&gt;O33)),"Incohérent",""))))</x:f>
      </x:c>
    </x:row>
    <x:row r="34" ht="23" customHeight="1">
      <x:c r="A34" s="9"/>
      <x:c r="B34" s="11"/>
      <x:c r="C34" s="10"/>
      <x:c r="D34" s="9"/>
      <x:c r="E34" s="9"/>
      <x:c r="F34" s="9"/>
      <x:c r="G34" s="9"/>
      <x:c r="H34" s="9"/>
      <x:c r="I34" s="9"/>
      <x:c r="J34" s="9"/>
      <x:c r="K34" s="9"/>
      <x:c r="L34" s="10"/>
      <x:c r="M34" s="9"/>
      <x:c r="N34" s="9"/>
      <x:c r="O34" s="9"/>
      <x:c r="P34" s="9"/>
      <x:c r="Q34" s="9"/>
      <x:c r="R34" s="12" t="str">
        <x:f>IF(A34="","",IF(B34="","À compléter",IF(COUNTIFS($A$6:$A$505,A34,$B$6:$B$505,B34)&gt;1,"Doublon ville/mois",IF(OR(AND(ISNUMBER(H34),ISNUMBER(I34),I34&gt;H34),AND(ISNUMBER(M34),ISNUMBER(N34),N34&gt;M34),AND(ISNUMBER(O34),ISNUMBER(P34),P34&gt;O34)),"Incohérent",""))))</x:f>
      </x:c>
    </x:row>
    <x:row r="35" ht="23" customHeight="1">
      <x:c r="A35" s="9"/>
      <x:c r="B35" s="11"/>
      <x:c r="C35" s="10"/>
      <x:c r="D35" s="9"/>
      <x:c r="E35" s="9"/>
      <x:c r="F35" s="9"/>
      <x:c r="G35" s="9"/>
      <x:c r="H35" s="9"/>
      <x:c r="I35" s="9"/>
      <x:c r="J35" s="9"/>
      <x:c r="K35" s="9"/>
      <x:c r="L35" s="10"/>
      <x:c r="M35" s="9"/>
      <x:c r="N35" s="9"/>
      <x:c r="O35" s="9"/>
      <x:c r="P35" s="9"/>
      <x:c r="Q35" s="9"/>
      <x:c r="R35" s="12" t="str">
        <x:f>IF(A35="","",IF(B35="","À compléter",IF(COUNTIFS($A$6:$A$505,A35,$B$6:$B$505,B35)&gt;1,"Doublon ville/mois",IF(OR(AND(ISNUMBER(H35),ISNUMBER(I35),I35&gt;H35),AND(ISNUMBER(M35),ISNUMBER(N35),N35&gt;M35),AND(ISNUMBER(O35),ISNUMBER(P35),P35&gt;O35)),"Incohérent",""))))</x:f>
      </x:c>
    </x:row>
    <x:row r="36" ht="23" customHeight="1">
      <x:c r="A36" s="9"/>
      <x:c r="B36" s="11"/>
      <x:c r="C36" s="10"/>
      <x:c r="D36" s="9"/>
      <x:c r="E36" s="9"/>
      <x:c r="F36" s="9"/>
      <x:c r="G36" s="9"/>
      <x:c r="H36" s="9"/>
      <x:c r="I36" s="9"/>
      <x:c r="J36" s="9"/>
      <x:c r="K36" s="9"/>
      <x:c r="L36" s="10"/>
      <x:c r="M36" s="9"/>
      <x:c r="N36" s="9"/>
      <x:c r="O36" s="9"/>
      <x:c r="P36" s="9"/>
      <x:c r="Q36" s="9"/>
      <x:c r="R36" s="12" t="str">
        <x:f>IF(A36="","",IF(B36="","À compléter",IF(COUNTIFS($A$6:$A$505,A36,$B$6:$B$505,B36)&gt;1,"Doublon ville/mois",IF(OR(AND(ISNUMBER(H36),ISNUMBER(I36),I36&gt;H36),AND(ISNUMBER(M36),ISNUMBER(N36),N36&gt;M36),AND(ISNUMBER(O36),ISNUMBER(P36),P36&gt;O36)),"Incohérent",""))))</x:f>
      </x:c>
    </x:row>
    <x:row r="37" ht="23" customHeight="1">
      <x:c r="A37" s="9"/>
      <x:c r="B37" s="11"/>
      <x:c r="C37" s="10"/>
      <x:c r="D37" s="9"/>
      <x:c r="E37" s="9"/>
      <x:c r="F37" s="9"/>
      <x:c r="G37" s="9"/>
      <x:c r="H37" s="9"/>
      <x:c r="I37" s="9"/>
      <x:c r="J37" s="9"/>
      <x:c r="K37" s="9"/>
      <x:c r="L37" s="10"/>
      <x:c r="M37" s="9"/>
      <x:c r="N37" s="9"/>
      <x:c r="O37" s="9"/>
      <x:c r="P37" s="9"/>
      <x:c r="Q37" s="9"/>
      <x:c r="R37" s="12" t="str">
        <x:f>IF(A37="","",IF(B37="","À compléter",IF(COUNTIFS($A$6:$A$505,A37,$B$6:$B$505,B37)&gt;1,"Doublon ville/mois",IF(OR(AND(ISNUMBER(H37),ISNUMBER(I37),I37&gt;H37),AND(ISNUMBER(M37),ISNUMBER(N37),N37&gt;M37),AND(ISNUMBER(O37),ISNUMBER(P37),P37&gt;O37)),"Incohérent",""))))</x:f>
      </x:c>
    </x:row>
    <x:row r="38" ht="23" customHeight="1">
      <x:c r="A38" s="9"/>
      <x:c r="B38" s="11"/>
      <x:c r="C38" s="10"/>
      <x:c r="D38" s="9"/>
      <x:c r="E38" s="9"/>
      <x:c r="F38" s="9"/>
      <x:c r="G38" s="9"/>
      <x:c r="H38" s="9"/>
      <x:c r="I38" s="9"/>
      <x:c r="J38" s="9"/>
      <x:c r="K38" s="9"/>
      <x:c r="L38" s="10"/>
      <x:c r="M38" s="9"/>
      <x:c r="N38" s="9"/>
      <x:c r="O38" s="9"/>
      <x:c r="P38" s="9"/>
      <x:c r="Q38" s="9"/>
      <x:c r="R38" s="12" t="str">
        <x:f>IF(A38="","",IF(B38="","À compléter",IF(COUNTIFS($A$6:$A$505,A38,$B$6:$B$505,B38)&gt;1,"Doublon ville/mois",IF(OR(AND(ISNUMBER(H38),ISNUMBER(I38),I38&gt;H38),AND(ISNUMBER(M38),ISNUMBER(N38),N38&gt;M38),AND(ISNUMBER(O38),ISNUMBER(P38),P38&gt;O38)),"Incohérent",""))))</x:f>
      </x:c>
    </x:row>
    <x:row r="39" ht="23" customHeight="1">
      <x:c r="A39" s="9"/>
      <x:c r="B39" s="11"/>
      <x:c r="C39" s="10"/>
      <x:c r="D39" s="9"/>
      <x:c r="E39" s="9"/>
      <x:c r="F39" s="9"/>
      <x:c r="G39" s="9"/>
      <x:c r="H39" s="9"/>
      <x:c r="I39" s="9"/>
      <x:c r="J39" s="9"/>
      <x:c r="K39" s="9"/>
      <x:c r="L39" s="10"/>
      <x:c r="M39" s="9"/>
      <x:c r="N39" s="9"/>
      <x:c r="O39" s="9"/>
      <x:c r="P39" s="9"/>
      <x:c r="Q39" s="9"/>
      <x:c r="R39" s="12" t="str">
        <x:f>IF(A39="","",IF(B39="","À compléter",IF(COUNTIFS($A$6:$A$505,A39,$B$6:$B$505,B39)&gt;1,"Doublon ville/mois",IF(OR(AND(ISNUMBER(H39),ISNUMBER(I39),I39&gt;H39),AND(ISNUMBER(M39),ISNUMBER(N39),N39&gt;M39),AND(ISNUMBER(O39),ISNUMBER(P39),P39&gt;O39)),"Incohérent",""))))</x:f>
      </x:c>
    </x:row>
    <x:row r="40" ht="23" customHeight="1">
      <x:c r="A40" s="9"/>
      <x:c r="B40" s="11"/>
      <x:c r="C40" s="10"/>
      <x:c r="D40" s="9"/>
      <x:c r="E40" s="9"/>
      <x:c r="F40" s="9"/>
      <x:c r="G40" s="9"/>
      <x:c r="H40" s="9"/>
      <x:c r="I40" s="9"/>
      <x:c r="J40" s="9"/>
      <x:c r="K40" s="9"/>
      <x:c r="L40" s="10"/>
      <x:c r="M40" s="9"/>
      <x:c r="N40" s="9"/>
      <x:c r="O40" s="9"/>
      <x:c r="P40" s="9"/>
      <x:c r="Q40" s="9"/>
      <x:c r="R40" s="12" t="str">
        <x:f>IF(A40="","",IF(B40="","À compléter",IF(COUNTIFS($A$6:$A$505,A40,$B$6:$B$505,B40)&gt;1,"Doublon ville/mois",IF(OR(AND(ISNUMBER(H40),ISNUMBER(I40),I40&gt;H40),AND(ISNUMBER(M40),ISNUMBER(N40),N40&gt;M40),AND(ISNUMBER(O40),ISNUMBER(P40),P40&gt;O40)),"Incohérent",""))))</x:f>
      </x:c>
    </x:row>
    <x:row r="41" ht="23" customHeight="1">
      <x:c r="A41" s="9"/>
      <x:c r="B41" s="11"/>
      <x:c r="C41" s="10"/>
      <x:c r="D41" s="9"/>
      <x:c r="E41" s="9"/>
      <x:c r="F41" s="9"/>
      <x:c r="G41" s="9"/>
      <x:c r="H41" s="9"/>
      <x:c r="I41" s="9"/>
      <x:c r="J41" s="9"/>
      <x:c r="K41" s="9"/>
      <x:c r="L41" s="10"/>
      <x:c r="M41" s="9"/>
      <x:c r="N41" s="9"/>
      <x:c r="O41" s="9"/>
      <x:c r="P41" s="9"/>
      <x:c r="Q41" s="9"/>
      <x:c r="R41" s="12" t="str">
        <x:f>IF(A41="","",IF(B41="","À compléter",IF(COUNTIFS($A$6:$A$505,A41,$B$6:$B$505,B41)&gt;1,"Doublon ville/mois",IF(OR(AND(ISNUMBER(H41),ISNUMBER(I41),I41&gt;H41),AND(ISNUMBER(M41),ISNUMBER(N41),N41&gt;M41),AND(ISNUMBER(O41),ISNUMBER(P41),P41&gt;O41)),"Incohérent",""))))</x:f>
      </x:c>
    </x:row>
    <x:row r="42" ht="23" customHeight="1">
      <x:c r="A42" s="9"/>
      <x:c r="B42" s="11"/>
      <x:c r="C42" s="10"/>
      <x:c r="D42" s="9"/>
      <x:c r="E42" s="9"/>
      <x:c r="F42" s="9"/>
      <x:c r="G42" s="9"/>
      <x:c r="H42" s="9"/>
      <x:c r="I42" s="9"/>
      <x:c r="J42" s="9"/>
      <x:c r="K42" s="9"/>
      <x:c r="L42" s="10"/>
      <x:c r="M42" s="9"/>
      <x:c r="N42" s="9"/>
      <x:c r="O42" s="9"/>
      <x:c r="P42" s="9"/>
      <x:c r="Q42" s="9"/>
      <x:c r="R42" s="12" t="str">
        <x:f>IF(A42="","",IF(B42="","À compléter",IF(COUNTIFS($A$6:$A$505,A42,$B$6:$B$505,B42)&gt;1,"Doublon ville/mois",IF(OR(AND(ISNUMBER(H42),ISNUMBER(I42),I42&gt;H42),AND(ISNUMBER(M42),ISNUMBER(N42),N42&gt;M42),AND(ISNUMBER(O42),ISNUMBER(P42),P42&gt;O42)),"Incohérent",""))))</x:f>
      </x:c>
    </x:row>
    <x:row r="43" ht="23" customHeight="1">
      <x:c r="A43" s="9"/>
      <x:c r="B43" s="11"/>
      <x:c r="C43" s="10"/>
      <x:c r="D43" s="9"/>
      <x:c r="E43" s="9"/>
      <x:c r="F43" s="9"/>
      <x:c r="G43" s="9"/>
      <x:c r="H43" s="9"/>
      <x:c r="I43" s="9"/>
      <x:c r="J43" s="9"/>
      <x:c r="K43" s="9"/>
      <x:c r="L43" s="10"/>
      <x:c r="M43" s="9"/>
      <x:c r="N43" s="9"/>
      <x:c r="O43" s="9"/>
      <x:c r="P43" s="9"/>
      <x:c r="Q43" s="9"/>
      <x:c r="R43" s="12" t="str">
        <x:f>IF(A43="","",IF(B43="","À compléter",IF(COUNTIFS($A$6:$A$505,A43,$B$6:$B$505,B43)&gt;1,"Doublon ville/mois",IF(OR(AND(ISNUMBER(H43),ISNUMBER(I43),I43&gt;H43),AND(ISNUMBER(M43),ISNUMBER(N43),N43&gt;M43),AND(ISNUMBER(O43),ISNUMBER(P43),P43&gt;O43)),"Incohérent",""))))</x:f>
      </x:c>
    </x:row>
    <x:row r="44" ht="23" customHeight="1">
      <x:c r="A44" s="9"/>
      <x:c r="B44" s="11"/>
      <x:c r="C44" s="10"/>
      <x:c r="D44" s="9"/>
      <x:c r="E44" s="9"/>
      <x:c r="F44" s="9"/>
      <x:c r="G44" s="9"/>
      <x:c r="H44" s="9"/>
      <x:c r="I44" s="9"/>
      <x:c r="J44" s="9"/>
      <x:c r="K44" s="9"/>
      <x:c r="L44" s="10"/>
      <x:c r="M44" s="9"/>
      <x:c r="N44" s="9"/>
      <x:c r="O44" s="9"/>
      <x:c r="P44" s="9"/>
      <x:c r="Q44" s="9"/>
      <x:c r="R44" s="12" t="str">
        <x:f>IF(A44="","",IF(B44="","À compléter",IF(COUNTIFS($A$6:$A$505,A44,$B$6:$B$505,B44)&gt;1,"Doublon ville/mois",IF(OR(AND(ISNUMBER(H44),ISNUMBER(I44),I44&gt;H44),AND(ISNUMBER(M44),ISNUMBER(N44),N44&gt;M44),AND(ISNUMBER(O44),ISNUMBER(P44),P44&gt;O44)),"Incohérent",""))))</x:f>
      </x:c>
    </x:row>
    <x:row r="45" ht="23" customHeight="1">
      <x:c r="A45" s="9"/>
      <x:c r="B45" s="11"/>
      <x:c r="C45" s="10"/>
      <x:c r="D45" s="9"/>
      <x:c r="E45" s="9"/>
      <x:c r="F45" s="9"/>
      <x:c r="G45" s="9"/>
      <x:c r="H45" s="9"/>
      <x:c r="I45" s="9"/>
      <x:c r="J45" s="9"/>
      <x:c r="K45" s="9"/>
      <x:c r="L45" s="10"/>
      <x:c r="M45" s="9"/>
      <x:c r="N45" s="9"/>
      <x:c r="O45" s="9"/>
      <x:c r="P45" s="9"/>
      <x:c r="Q45" s="9"/>
      <x:c r="R45" s="12" t="str">
        <x:f>IF(A45="","",IF(B45="","À compléter",IF(COUNTIFS($A$6:$A$505,A45,$B$6:$B$505,B45)&gt;1,"Doublon ville/mois",IF(OR(AND(ISNUMBER(H45),ISNUMBER(I45),I45&gt;H45),AND(ISNUMBER(M45),ISNUMBER(N45),N45&gt;M45),AND(ISNUMBER(O45),ISNUMBER(P45),P45&gt;O45)),"Incohérent",""))))</x:f>
      </x:c>
    </x:row>
    <x:row r="46" ht="23" customHeight="1">
      <x:c r="A46" s="9"/>
      <x:c r="B46" s="11"/>
      <x:c r="C46" s="10"/>
      <x:c r="D46" s="9"/>
      <x:c r="E46" s="9"/>
      <x:c r="F46" s="9"/>
      <x:c r="G46" s="9"/>
      <x:c r="H46" s="9"/>
      <x:c r="I46" s="9"/>
      <x:c r="J46" s="9"/>
      <x:c r="K46" s="9"/>
      <x:c r="L46" s="10"/>
      <x:c r="M46" s="9"/>
      <x:c r="N46" s="9"/>
      <x:c r="O46" s="9"/>
      <x:c r="P46" s="9"/>
      <x:c r="Q46" s="9"/>
      <x:c r="R46" s="12" t="str">
        <x:f>IF(A46="","",IF(B46="","À compléter",IF(COUNTIFS($A$6:$A$505,A46,$B$6:$B$505,B46)&gt;1,"Doublon ville/mois",IF(OR(AND(ISNUMBER(H46),ISNUMBER(I46),I46&gt;H46),AND(ISNUMBER(M46),ISNUMBER(N46),N46&gt;M46),AND(ISNUMBER(O46),ISNUMBER(P46),P46&gt;O46)),"Incohérent",""))))</x:f>
      </x:c>
    </x:row>
    <x:row r="47" ht="23" customHeight="1">
      <x:c r="A47" s="9"/>
      <x:c r="B47" s="11"/>
      <x:c r="C47" s="10"/>
      <x:c r="D47" s="9"/>
      <x:c r="E47" s="9"/>
      <x:c r="F47" s="9"/>
      <x:c r="G47" s="9"/>
      <x:c r="H47" s="9"/>
      <x:c r="I47" s="9"/>
      <x:c r="J47" s="9"/>
      <x:c r="K47" s="9"/>
      <x:c r="L47" s="10"/>
      <x:c r="M47" s="9"/>
      <x:c r="N47" s="9"/>
      <x:c r="O47" s="9"/>
      <x:c r="P47" s="9"/>
      <x:c r="Q47" s="9"/>
      <x:c r="R47" s="12" t="str">
        <x:f>IF(A47="","",IF(B47="","À compléter",IF(COUNTIFS($A$6:$A$505,A47,$B$6:$B$505,B47)&gt;1,"Doublon ville/mois",IF(OR(AND(ISNUMBER(H47),ISNUMBER(I47),I47&gt;H47),AND(ISNUMBER(M47),ISNUMBER(N47),N47&gt;M47),AND(ISNUMBER(O47),ISNUMBER(P47),P47&gt;O47)),"Incohérent",""))))</x:f>
      </x:c>
    </x:row>
    <x:row r="48" ht="23" customHeight="1">
      <x:c r="A48" s="9"/>
      <x:c r="B48" s="11"/>
      <x:c r="C48" s="10"/>
      <x:c r="D48" s="9"/>
      <x:c r="E48" s="9"/>
      <x:c r="F48" s="9"/>
      <x:c r="G48" s="9"/>
      <x:c r="H48" s="9"/>
      <x:c r="I48" s="9"/>
      <x:c r="J48" s="9"/>
      <x:c r="K48" s="9"/>
      <x:c r="L48" s="10"/>
      <x:c r="M48" s="9"/>
      <x:c r="N48" s="9"/>
      <x:c r="O48" s="9"/>
      <x:c r="P48" s="9"/>
      <x:c r="Q48" s="9"/>
      <x:c r="R48" s="12" t="str">
        <x:f>IF(A48="","",IF(B48="","À compléter",IF(COUNTIFS($A$6:$A$505,A48,$B$6:$B$505,B48)&gt;1,"Doublon ville/mois",IF(OR(AND(ISNUMBER(H48),ISNUMBER(I48),I48&gt;H48),AND(ISNUMBER(M48),ISNUMBER(N48),N48&gt;M48),AND(ISNUMBER(O48),ISNUMBER(P48),P48&gt;O48)),"Incohérent",""))))</x:f>
      </x:c>
    </x:row>
    <x:row r="49" ht="23" customHeight="1">
      <x:c r="A49" s="9"/>
      <x:c r="B49" s="11"/>
      <x:c r="C49" s="10"/>
      <x:c r="D49" s="9"/>
      <x:c r="E49" s="9"/>
      <x:c r="F49" s="9"/>
      <x:c r="G49" s="9"/>
      <x:c r="H49" s="9"/>
      <x:c r="I49" s="9"/>
      <x:c r="J49" s="9"/>
      <x:c r="K49" s="9"/>
      <x:c r="L49" s="10"/>
      <x:c r="M49" s="9"/>
      <x:c r="N49" s="9"/>
      <x:c r="O49" s="9"/>
      <x:c r="P49" s="9"/>
      <x:c r="Q49" s="9"/>
      <x:c r="R49" s="12" t="str">
        <x:f>IF(A49="","",IF(B49="","À compléter",IF(COUNTIFS($A$6:$A$505,A49,$B$6:$B$505,B49)&gt;1,"Doublon ville/mois",IF(OR(AND(ISNUMBER(H49),ISNUMBER(I49),I49&gt;H49),AND(ISNUMBER(M49),ISNUMBER(N49),N49&gt;M49),AND(ISNUMBER(O49),ISNUMBER(P49),P49&gt;O49)),"Incohérent",""))))</x:f>
      </x:c>
    </x:row>
    <x:row r="50" ht="23" customHeight="1">
      <x:c r="A50" s="9"/>
      <x:c r="B50" s="11"/>
      <x:c r="C50" s="10"/>
      <x:c r="D50" s="9"/>
      <x:c r="E50" s="9"/>
      <x:c r="F50" s="9"/>
      <x:c r="G50" s="9"/>
      <x:c r="H50" s="9"/>
      <x:c r="I50" s="9"/>
      <x:c r="J50" s="9"/>
      <x:c r="K50" s="9"/>
      <x:c r="L50" s="10"/>
      <x:c r="M50" s="9"/>
      <x:c r="N50" s="9"/>
      <x:c r="O50" s="9"/>
      <x:c r="P50" s="9"/>
      <x:c r="Q50" s="9"/>
      <x:c r="R50" s="12" t="str">
        <x:f>IF(A50="","",IF(B50="","À compléter",IF(COUNTIFS($A$6:$A$505,A50,$B$6:$B$505,B50)&gt;1,"Doublon ville/mois",IF(OR(AND(ISNUMBER(H50),ISNUMBER(I50),I50&gt;H50),AND(ISNUMBER(M50),ISNUMBER(N50),N50&gt;M50),AND(ISNUMBER(O50),ISNUMBER(P50),P50&gt;O50)),"Incohérent",""))))</x:f>
      </x:c>
    </x:row>
    <x:row r="51" ht="23" customHeight="1">
      <x:c r="A51" s="9"/>
      <x:c r="B51" s="11"/>
      <x:c r="C51" s="10"/>
      <x:c r="D51" s="9"/>
      <x:c r="E51" s="9"/>
      <x:c r="F51" s="9"/>
      <x:c r="G51" s="9"/>
      <x:c r="H51" s="9"/>
      <x:c r="I51" s="9"/>
      <x:c r="J51" s="9"/>
      <x:c r="K51" s="9"/>
      <x:c r="L51" s="10"/>
      <x:c r="M51" s="9"/>
      <x:c r="N51" s="9"/>
      <x:c r="O51" s="9"/>
      <x:c r="P51" s="9"/>
      <x:c r="Q51" s="9"/>
      <x:c r="R51" s="12" t="str">
        <x:f>IF(A51="","",IF(B51="","À compléter",IF(COUNTIFS($A$6:$A$505,A51,$B$6:$B$505,B51)&gt;1,"Doublon ville/mois",IF(OR(AND(ISNUMBER(H51),ISNUMBER(I51),I51&gt;H51),AND(ISNUMBER(M51),ISNUMBER(N51),N51&gt;M51),AND(ISNUMBER(O51),ISNUMBER(P51),P51&gt;O51)),"Incohérent",""))))</x:f>
      </x:c>
    </x:row>
    <x:row r="52" ht="23" customHeight="1">
      <x:c r="A52" s="9"/>
      <x:c r="B52" s="11"/>
      <x:c r="C52" s="10"/>
      <x:c r="D52" s="9"/>
      <x:c r="E52" s="9"/>
      <x:c r="F52" s="9"/>
      <x:c r="G52" s="9"/>
      <x:c r="H52" s="9"/>
      <x:c r="I52" s="9"/>
      <x:c r="J52" s="9"/>
      <x:c r="K52" s="9"/>
      <x:c r="L52" s="10"/>
      <x:c r="M52" s="9"/>
      <x:c r="N52" s="9"/>
      <x:c r="O52" s="9"/>
      <x:c r="P52" s="9"/>
      <x:c r="Q52" s="9"/>
      <x:c r="R52" s="12" t="str">
        <x:f>IF(A52="","",IF(B52="","À compléter",IF(COUNTIFS($A$6:$A$505,A52,$B$6:$B$505,B52)&gt;1,"Doublon ville/mois",IF(OR(AND(ISNUMBER(H52),ISNUMBER(I52),I52&gt;H52),AND(ISNUMBER(M52),ISNUMBER(N52),N52&gt;M52),AND(ISNUMBER(O52),ISNUMBER(P52),P52&gt;O52)),"Incohérent",""))))</x:f>
      </x:c>
    </x:row>
    <x:row r="53" ht="23" customHeight="1">
      <x:c r="A53" s="9"/>
      <x:c r="B53" s="11"/>
      <x:c r="C53" s="10"/>
      <x:c r="D53" s="9"/>
      <x:c r="E53" s="9"/>
      <x:c r="F53" s="9"/>
      <x:c r="G53" s="9"/>
      <x:c r="H53" s="9"/>
      <x:c r="I53" s="9"/>
      <x:c r="J53" s="9"/>
      <x:c r="K53" s="9"/>
      <x:c r="L53" s="10"/>
      <x:c r="M53" s="9"/>
      <x:c r="N53" s="9"/>
      <x:c r="O53" s="9"/>
      <x:c r="P53" s="9"/>
      <x:c r="Q53" s="9"/>
      <x:c r="R53" s="12" t="str">
        <x:f>IF(A53="","",IF(B53="","À compléter",IF(COUNTIFS($A$6:$A$505,A53,$B$6:$B$505,B53)&gt;1,"Doublon ville/mois",IF(OR(AND(ISNUMBER(H53),ISNUMBER(I53),I53&gt;H53),AND(ISNUMBER(M53),ISNUMBER(N53),N53&gt;M53),AND(ISNUMBER(O53),ISNUMBER(P53),P53&gt;O53)),"Incohérent",""))))</x:f>
      </x:c>
    </x:row>
    <x:row r="54" ht="23" customHeight="1">
      <x:c r="A54" s="9"/>
      <x:c r="B54" s="11"/>
      <x:c r="C54" s="10"/>
      <x:c r="D54" s="9"/>
      <x:c r="E54" s="9"/>
      <x:c r="F54" s="9"/>
      <x:c r="G54" s="9"/>
      <x:c r="H54" s="9"/>
      <x:c r="I54" s="9"/>
      <x:c r="J54" s="9"/>
      <x:c r="K54" s="9"/>
      <x:c r="L54" s="10"/>
      <x:c r="M54" s="9"/>
      <x:c r="N54" s="9"/>
      <x:c r="O54" s="9"/>
      <x:c r="P54" s="9"/>
      <x:c r="Q54" s="9"/>
      <x:c r="R54" s="12" t="str">
        <x:f>IF(A54="","",IF(B54="","À compléter",IF(COUNTIFS($A$6:$A$505,A54,$B$6:$B$505,B54)&gt;1,"Doublon ville/mois",IF(OR(AND(ISNUMBER(H54),ISNUMBER(I54),I54&gt;H54),AND(ISNUMBER(M54),ISNUMBER(N54),N54&gt;M54),AND(ISNUMBER(O54),ISNUMBER(P54),P54&gt;O54)),"Incohérent",""))))</x:f>
      </x:c>
    </x:row>
    <x:row r="55" ht="23" customHeight="1">
      <x:c r="A55" s="9"/>
      <x:c r="B55" s="11"/>
      <x:c r="C55" s="10"/>
      <x:c r="D55" s="9"/>
      <x:c r="E55" s="9"/>
      <x:c r="F55" s="9"/>
      <x:c r="G55" s="9"/>
      <x:c r="H55" s="9"/>
      <x:c r="I55" s="9"/>
      <x:c r="J55" s="9"/>
      <x:c r="K55" s="9"/>
      <x:c r="L55" s="10"/>
      <x:c r="M55" s="9"/>
      <x:c r="N55" s="9"/>
      <x:c r="O55" s="9"/>
      <x:c r="P55" s="9"/>
      <x:c r="Q55" s="9"/>
      <x:c r="R55" s="12" t="str">
        <x:f>IF(A55="","",IF(B55="","À compléter",IF(COUNTIFS($A$6:$A$505,A55,$B$6:$B$505,B55)&gt;1,"Doublon ville/mois",IF(OR(AND(ISNUMBER(H55),ISNUMBER(I55),I55&gt;H55),AND(ISNUMBER(M55),ISNUMBER(N55),N55&gt;M55),AND(ISNUMBER(O55),ISNUMBER(P55),P55&gt;O55)),"Incohérent",""))))</x:f>
      </x:c>
    </x:row>
    <x:row r="56" ht="23" customHeight="1">
      <x:c r="A56" s="9"/>
      <x:c r="B56" s="11"/>
      <x:c r="C56" s="10"/>
      <x:c r="D56" s="9"/>
      <x:c r="E56" s="9"/>
      <x:c r="F56" s="9"/>
      <x:c r="G56" s="9"/>
      <x:c r="H56" s="9"/>
      <x:c r="I56" s="9"/>
      <x:c r="J56" s="9"/>
      <x:c r="K56" s="9"/>
      <x:c r="L56" s="10"/>
      <x:c r="M56" s="9"/>
      <x:c r="N56" s="9"/>
      <x:c r="O56" s="9"/>
      <x:c r="P56" s="9"/>
      <x:c r="Q56" s="9"/>
      <x:c r="R56" s="12" t="str">
        <x:f>IF(A56="","",IF(B56="","À compléter",IF(COUNTIFS($A$6:$A$505,A56,$B$6:$B$505,B56)&gt;1,"Doublon ville/mois",IF(OR(AND(ISNUMBER(H56),ISNUMBER(I56),I56&gt;H56),AND(ISNUMBER(M56),ISNUMBER(N56),N56&gt;M56),AND(ISNUMBER(O56),ISNUMBER(P56),P56&gt;O56)),"Incohérent",""))))</x:f>
      </x:c>
    </x:row>
    <x:row r="57" ht="23" customHeight="1">
      <x:c r="A57" s="9"/>
      <x:c r="B57" s="11"/>
      <x:c r="C57" s="10"/>
      <x:c r="D57" s="9"/>
      <x:c r="E57" s="9"/>
      <x:c r="F57" s="9"/>
      <x:c r="G57" s="9"/>
      <x:c r="H57" s="9"/>
      <x:c r="I57" s="9"/>
      <x:c r="J57" s="9"/>
      <x:c r="K57" s="9"/>
      <x:c r="L57" s="10"/>
      <x:c r="M57" s="9"/>
      <x:c r="N57" s="9"/>
      <x:c r="O57" s="9"/>
      <x:c r="P57" s="9"/>
      <x:c r="Q57" s="9"/>
      <x:c r="R57" s="12" t="str">
        <x:f>IF(A57="","",IF(B57="","À compléter",IF(COUNTIFS($A$6:$A$505,A57,$B$6:$B$505,B57)&gt;1,"Doublon ville/mois",IF(OR(AND(ISNUMBER(H57),ISNUMBER(I57),I57&gt;H57),AND(ISNUMBER(M57),ISNUMBER(N57),N57&gt;M57),AND(ISNUMBER(O57),ISNUMBER(P57),P57&gt;O57)),"Incohérent",""))))</x:f>
      </x:c>
    </x:row>
    <x:row r="58" ht="23" customHeight="1">
      <x:c r="A58" s="9"/>
      <x:c r="B58" s="11"/>
      <x:c r="C58" s="10"/>
      <x:c r="D58" s="9"/>
      <x:c r="E58" s="9"/>
      <x:c r="F58" s="9"/>
      <x:c r="G58" s="9"/>
      <x:c r="H58" s="9"/>
      <x:c r="I58" s="9"/>
      <x:c r="J58" s="9"/>
      <x:c r="K58" s="9"/>
      <x:c r="L58" s="10"/>
      <x:c r="M58" s="9"/>
      <x:c r="N58" s="9"/>
      <x:c r="O58" s="9"/>
      <x:c r="P58" s="9"/>
      <x:c r="Q58" s="9"/>
      <x:c r="R58" s="12" t="str">
        <x:f>IF(A58="","",IF(B58="","À compléter",IF(COUNTIFS($A$6:$A$505,A58,$B$6:$B$505,B58)&gt;1,"Doublon ville/mois",IF(OR(AND(ISNUMBER(H58),ISNUMBER(I58),I58&gt;H58),AND(ISNUMBER(M58),ISNUMBER(N58),N58&gt;M58),AND(ISNUMBER(O58),ISNUMBER(P58),P58&gt;O58)),"Incohérent",""))))</x:f>
      </x:c>
    </x:row>
    <x:row r="59" ht="23" customHeight="1">
      <x:c r="A59" s="9"/>
      <x:c r="B59" s="11"/>
      <x:c r="C59" s="10"/>
      <x:c r="D59" s="9"/>
      <x:c r="E59" s="9"/>
      <x:c r="F59" s="9"/>
      <x:c r="G59" s="9"/>
      <x:c r="H59" s="9"/>
      <x:c r="I59" s="9"/>
      <x:c r="J59" s="9"/>
      <x:c r="K59" s="9"/>
      <x:c r="L59" s="10"/>
      <x:c r="M59" s="9"/>
      <x:c r="N59" s="9"/>
      <x:c r="O59" s="9"/>
      <x:c r="P59" s="9"/>
      <x:c r="Q59" s="9"/>
      <x:c r="R59" s="12" t="str">
        <x:f>IF(A59="","",IF(B59="","À compléter",IF(COUNTIFS($A$6:$A$505,A59,$B$6:$B$505,B59)&gt;1,"Doublon ville/mois",IF(OR(AND(ISNUMBER(H59),ISNUMBER(I59),I59&gt;H59),AND(ISNUMBER(M59),ISNUMBER(N59),N59&gt;M59),AND(ISNUMBER(O59),ISNUMBER(P59),P59&gt;O59)),"Incohérent",""))))</x:f>
      </x:c>
    </x:row>
    <x:row r="60" ht="23" customHeight="1">
      <x:c r="A60" s="9"/>
      <x:c r="B60" s="11"/>
      <x:c r="C60" s="10"/>
      <x:c r="D60" s="9"/>
      <x:c r="E60" s="9"/>
      <x:c r="F60" s="9"/>
      <x:c r="G60" s="9"/>
      <x:c r="H60" s="9"/>
      <x:c r="I60" s="9"/>
      <x:c r="J60" s="9"/>
      <x:c r="K60" s="9"/>
      <x:c r="L60" s="10"/>
      <x:c r="M60" s="9"/>
      <x:c r="N60" s="9"/>
      <x:c r="O60" s="9"/>
      <x:c r="P60" s="9"/>
      <x:c r="Q60" s="9"/>
      <x:c r="R60" s="12" t="str">
        <x:f>IF(A60="","",IF(B60="","À compléter",IF(COUNTIFS($A$6:$A$505,A60,$B$6:$B$505,B60)&gt;1,"Doublon ville/mois",IF(OR(AND(ISNUMBER(H60),ISNUMBER(I60),I60&gt;H60),AND(ISNUMBER(M60),ISNUMBER(N60),N60&gt;M60),AND(ISNUMBER(O60),ISNUMBER(P60),P60&gt;O60)),"Incohérent",""))))</x:f>
      </x:c>
    </x:row>
    <x:row r="61" ht="23" customHeight="1">
      <x:c r="A61" s="9"/>
      <x:c r="B61" s="11"/>
      <x:c r="C61" s="10"/>
      <x:c r="D61" s="9"/>
      <x:c r="E61" s="9"/>
      <x:c r="F61" s="9"/>
      <x:c r="G61" s="9"/>
      <x:c r="H61" s="9"/>
      <x:c r="I61" s="9"/>
      <x:c r="J61" s="9"/>
      <x:c r="K61" s="9"/>
      <x:c r="L61" s="10"/>
      <x:c r="M61" s="9"/>
      <x:c r="N61" s="9"/>
      <x:c r="O61" s="9"/>
      <x:c r="P61" s="9"/>
      <x:c r="Q61" s="9"/>
      <x:c r="R61" s="12" t="str">
        <x:f>IF(A61="","",IF(B61="","À compléter",IF(COUNTIFS($A$6:$A$505,A61,$B$6:$B$505,B61)&gt;1,"Doublon ville/mois",IF(OR(AND(ISNUMBER(H61),ISNUMBER(I61),I61&gt;H61),AND(ISNUMBER(M61),ISNUMBER(N61),N61&gt;M61),AND(ISNUMBER(O61),ISNUMBER(P61),P61&gt;O61)),"Incohérent",""))))</x:f>
      </x:c>
    </x:row>
    <x:row r="62" ht="23" customHeight="1">
      <x:c r="A62" s="9"/>
      <x:c r="B62" s="11"/>
      <x:c r="C62" s="10"/>
      <x:c r="D62" s="9"/>
      <x:c r="E62" s="9"/>
      <x:c r="F62" s="9"/>
      <x:c r="G62" s="9"/>
      <x:c r="H62" s="9"/>
      <x:c r="I62" s="9"/>
      <x:c r="J62" s="9"/>
      <x:c r="K62" s="9"/>
      <x:c r="L62" s="10"/>
      <x:c r="M62" s="9"/>
      <x:c r="N62" s="9"/>
      <x:c r="O62" s="9"/>
      <x:c r="P62" s="9"/>
      <x:c r="Q62" s="9"/>
      <x:c r="R62" s="12" t="str">
        <x:f>IF(A62="","",IF(B62="","À compléter",IF(COUNTIFS($A$6:$A$505,A62,$B$6:$B$505,B62)&gt;1,"Doublon ville/mois",IF(OR(AND(ISNUMBER(H62),ISNUMBER(I62),I62&gt;H62),AND(ISNUMBER(M62),ISNUMBER(N62),N62&gt;M62),AND(ISNUMBER(O62),ISNUMBER(P62),P62&gt;O62)),"Incohérent",""))))</x:f>
      </x:c>
    </x:row>
    <x:row r="63" ht="23" customHeight="1">
      <x:c r="A63" s="9"/>
      <x:c r="B63" s="11"/>
      <x:c r="C63" s="10"/>
      <x:c r="D63" s="9"/>
      <x:c r="E63" s="9"/>
      <x:c r="F63" s="9"/>
      <x:c r="G63" s="9"/>
      <x:c r="H63" s="9"/>
      <x:c r="I63" s="9"/>
      <x:c r="J63" s="9"/>
      <x:c r="K63" s="9"/>
      <x:c r="L63" s="10"/>
      <x:c r="M63" s="9"/>
      <x:c r="N63" s="9"/>
      <x:c r="O63" s="9"/>
      <x:c r="P63" s="9"/>
      <x:c r="Q63" s="9"/>
      <x:c r="R63" s="12" t="str">
        <x:f>IF(A63="","",IF(B63="","À compléter",IF(COUNTIFS($A$6:$A$505,A63,$B$6:$B$505,B63)&gt;1,"Doublon ville/mois",IF(OR(AND(ISNUMBER(H63),ISNUMBER(I63),I63&gt;H63),AND(ISNUMBER(M63),ISNUMBER(N63),N63&gt;M63),AND(ISNUMBER(O63),ISNUMBER(P63),P63&gt;O63)),"Incohérent",""))))</x:f>
      </x:c>
    </x:row>
    <x:row r="64" ht="23" customHeight="1">
      <x:c r="A64" s="9"/>
      <x:c r="B64" s="11"/>
      <x:c r="C64" s="10"/>
      <x:c r="D64" s="9"/>
      <x:c r="E64" s="9"/>
      <x:c r="F64" s="9"/>
      <x:c r="G64" s="9"/>
      <x:c r="H64" s="9"/>
      <x:c r="I64" s="9"/>
      <x:c r="J64" s="9"/>
      <x:c r="K64" s="9"/>
      <x:c r="L64" s="10"/>
      <x:c r="M64" s="9"/>
      <x:c r="N64" s="9"/>
      <x:c r="O64" s="9"/>
      <x:c r="P64" s="9"/>
      <x:c r="Q64" s="9"/>
      <x:c r="R64" s="12" t="str">
        <x:f>IF(A64="","",IF(B64="","À compléter",IF(COUNTIFS($A$6:$A$505,A64,$B$6:$B$505,B64)&gt;1,"Doublon ville/mois",IF(OR(AND(ISNUMBER(H64),ISNUMBER(I64),I64&gt;H64),AND(ISNUMBER(M64),ISNUMBER(N64),N64&gt;M64),AND(ISNUMBER(O64),ISNUMBER(P64),P64&gt;O64)),"Incohérent",""))))</x:f>
      </x:c>
    </x:row>
    <x:row r="65" ht="23" customHeight="1">
      <x:c r="A65" s="9"/>
      <x:c r="B65" s="11"/>
      <x:c r="C65" s="10"/>
      <x:c r="D65" s="9"/>
      <x:c r="E65" s="9"/>
      <x:c r="F65" s="9"/>
      <x:c r="G65" s="9"/>
      <x:c r="H65" s="9"/>
      <x:c r="I65" s="9"/>
      <x:c r="J65" s="9"/>
      <x:c r="K65" s="9"/>
      <x:c r="L65" s="10"/>
      <x:c r="M65" s="9"/>
      <x:c r="N65" s="9"/>
      <x:c r="O65" s="9"/>
      <x:c r="P65" s="9"/>
      <x:c r="Q65" s="9"/>
      <x:c r="R65" s="12" t="str">
        <x:f>IF(A65="","",IF(B65="","À compléter",IF(COUNTIFS($A$6:$A$505,A65,$B$6:$B$505,B65)&gt;1,"Doublon ville/mois",IF(OR(AND(ISNUMBER(H65),ISNUMBER(I65),I65&gt;H65),AND(ISNUMBER(M65),ISNUMBER(N65),N65&gt;M65),AND(ISNUMBER(O65),ISNUMBER(P65),P65&gt;O65)),"Incohérent",""))))</x:f>
      </x:c>
    </x:row>
    <x:row r="66" ht="23" customHeight="1">
      <x:c r="A66" s="9"/>
      <x:c r="B66" s="11"/>
      <x:c r="C66" s="10"/>
      <x:c r="D66" s="9"/>
      <x:c r="E66" s="9"/>
      <x:c r="F66" s="9"/>
      <x:c r="G66" s="9"/>
      <x:c r="H66" s="9"/>
      <x:c r="I66" s="9"/>
      <x:c r="J66" s="9"/>
      <x:c r="K66" s="9"/>
      <x:c r="L66" s="10"/>
      <x:c r="M66" s="9"/>
      <x:c r="N66" s="9"/>
      <x:c r="O66" s="9"/>
      <x:c r="P66" s="9"/>
      <x:c r="Q66" s="9"/>
      <x:c r="R66" s="12" t="str">
        <x:f>IF(A66="","",IF(B66="","À compléter",IF(COUNTIFS($A$6:$A$505,A66,$B$6:$B$505,B66)&gt;1,"Doublon ville/mois",IF(OR(AND(ISNUMBER(H66),ISNUMBER(I66),I66&gt;H66),AND(ISNUMBER(M66),ISNUMBER(N66),N66&gt;M66),AND(ISNUMBER(O66),ISNUMBER(P66),P66&gt;O66)),"Incohérent",""))))</x:f>
      </x:c>
    </x:row>
    <x:row r="67" ht="23" customHeight="1">
      <x:c r="A67" s="9"/>
      <x:c r="B67" s="11"/>
      <x:c r="C67" s="10"/>
      <x:c r="D67" s="9"/>
      <x:c r="E67" s="9"/>
      <x:c r="F67" s="9"/>
      <x:c r="G67" s="9"/>
      <x:c r="H67" s="9"/>
      <x:c r="I67" s="9"/>
      <x:c r="J67" s="9"/>
      <x:c r="K67" s="9"/>
      <x:c r="L67" s="10"/>
      <x:c r="M67" s="9"/>
      <x:c r="N67" s="9"/>
      <x:c r="O67" s="9"/>
      <x:c r="P67" s="9"/>
      <x:c r="Q67" s="9"/>
      <x:c r="R67" s="12" t="str">
        <x:f>IF(A67="","",IF(B67="","À compléter",IF(COUNTIFS($A$6:$A$505,A67,$B$6:$B$505,B67)&gt;1,"Doublon ville/mois",IF(OR(AND(ISNUMBER(H67),ISNUMBER(I67),I67&gt;H67),AND(ISNUMBER(M67),ISNUMBER(N67),N67&gt;M67),AND(ISNUMBER(O67),ISNUMBER(P67),P67&gt;O67)),"Incohérent",""))))</x:f>
      </x:c>
    </x:row>
    <x:row r="68" ht="23" customHeight="1">
      <x:c r="A68" s="9"/>
      <x:c r="B68" s="11"/>
      <x:c r="C68" s="10"/>
      <x:c r="D68" s="9"/>
      <x:c r="E68" s="9"/>
      <x:c r="F68" s="9"/>
      <x:c r="G68" s="9"/>
      <x:c r="H68" s="9"/>
      <x:c r="I68" s="9"/>
      <x:c r="J68" s="9"/>
      <x:c r="K68" s="9"/>
      <x:c r="L68" s="10"/>
      <x:c r="M68" s="9"/>
      <x:c r="N68" s="9"/>
      <x:c r="O68" s="9"/>
      <x:c r="P68" s="9"/>
      <x:c r="Q68" s="9"/>
      <x:c r="R68" s="12" t="str">
        <x:f>IF(A68="","",IF(B68="","À compléter",IF(COUNTIFS($A$6:$A$505,A68,$B$6:$B$505,B68)&gt;1,"Doublon ville/mois",IF(OR(AND(ISNUMBER(H68),ISNUMBER(I68),I68&gt;H68),AND(ISNUMBER(M68),ISNUMBER(N68),N68&gt;M68),AND(ISNUMBER(O68),ISNUMBER(P68),P68&gt;O68)),"Incohérent",""))))</x:f>
      </x:c>
    </x:row>
    <x:row r="69" ht="23" customHeight="1">
      <x:c r="A69" s="9"/>
      <x:c r="B69" s="11"/>
      <x:c r="C69" s="10"/>
      <x:c r="D69" s="9"/>
      <x:c r="E69" s="9"/>
      <x:c r="F69" s="9"/>
      <x:c r="G69" s="9"/>
      <x:c r="H69" s="9"/>
      <x:c r="I69" s="9"/>
      <x:c r="J69" s="9"/>
      <x:c r="K69" s="9"/>
      <x:c r="L69" s="10"/>
      <x:c r="M69" s="9"/>
      <x:c r="N69" s="9"/>
      <x:c r="O69" s="9"/>
      <x:c r="P69" s="9"/>
      <x:c r="Q69" s="9"/>
      <x:c r="R69" s="12" t="str">
        <x:f>IF(A69="","",IF(B69="","À compléter",IF(COUNTIFS($A$6:$A$505,A69,$B$6:$B$505,B69)&gt;1,"Doublon ville/mois",IF(OR(AND(ISNUMBER(H69),ISNUMBER(I69),I69&gt;H69),AND(ISNUMBER(M69),ISNUMBER(N69),N69&gt;M69),AND(ISNUMBER(O69),ISNUMBER(P69),P69&gt;O69)),"Incohérent",""))))</x:f>
      </x:c>
    </x:row>
    <x:row r="70" ht="23" customHeight="1">
      <x:c r="A70" s="9"/>
      <x:c r="B70" s="11"/>
      <x:c r="C70" s="10"/>
      <x:c r="D70" s="9"/>
      <x:c r="E70" s="9"/>
      <x:c r="F70" s="9"/>
      <x:c r="G70" s="9"/>
      <x:c r="H70" s="9"/>
      <x:c r="I70" s="9"/>
      <x:c r="J70" s="9"/>
      <x:c r="K70" s="9"/>
      <x:c r="L70" s="10"/>
      <x:c r="M70" s="9"/>
      <x:c r="N70" s="9"/>
      <x:c r="O70" s="9"/>
      <x:c r="P70" s="9"/>
      <x:c r="Q70" s="9"/>
      <x:c r="R70" s="12" t="str">
        <x:f>IF(A70="","",IF(B70="","À compléter",IF(COUNTIFS($A$6:$A$505,A70,$B$6:$B$505,B70)&gt;1,"Doublon ville/mois",IF(OR(AND(ISNUMBER(H70),ISNUMBER(I70),I70&gt;H70),AND(ISNUMBER(M70),ISNUMBER(N70),N70&gt;M70),AND(ISNUMBER(O70),ISNUMBER(P70),P70&gt;O70)),"Incohérent",""))))</x:f>
      </x:c>
    </x:row>
    <x:row r="71" ht="23" customHeight="1">
      <x:c r="A71" s="9"/>
      <x:c r="B71" s="11"/>
      <x:c r="C71" s="10"/>
      <x:c r="D71" s="9"/>
      <x:c r="E71" s="9"/>
      <x:c r="F71" s="9"/>
      <x:c r="G71" s="9"/>
      <x:c r="H71" s="9"/>
      <x:c r="I71" s="9"/>
      <x:c r="J71" s="9"/>
      <x:c r="K71" s="9"/>
      <x:c r="L71" s="10"/>
      <x:c r="M71" s="9"/>
      <x:c r="N71" s="9"/>
      <x:c r="O71" s="9"/>
      <x:c r="P71" s="9"/>
      <x:c r="Q71" s="9"/>
      <x:c r="R71" s="12" t="str">
        <x:f>IF(A71="","",IF(B71="","À compléter",IF(COUNTIFS($A$6:$A$505,A71,$B$6:$B$505,B71)&gt;1,"Doublon ville/mois",IF(OR(AND(ISNUMBER(H71),ISNUMBER(I71),I71&gt;H71),AND(ISNUMBER(M71),ISNUMBER(N71),N71&gt;M71),AND(ISNUMBER(O71),ISNUMBER(P71),P71&gt;O71)),"Incohérent",""))))</x:f>
      </x:c>
    </x:row>
    <x:row r="72" ht="23" customHeight="1">
      <x:c r="A72" s="9"/>
      <x:c r="B72" s="11"/>
      <x:c r="C72" s="10"/>
      <x:c r="D72" s="9"/>
      <x:c r="E72" s="9"/>
      <x:c r="F72" s="9"/>
      <x:c r="G72" s="9"/>
      <x:c r="H72" s="9"/>
      <x:c r="I72" s="9"/>
      <x:c r="J72" s="9"/>
      <x:c r="K72" s="9"/>
      <x:c r="L72" s="10"/>
      <x:c r="M72" s="9"/>
      <x:c r="N72" s="9"/>
      <x:c r="O72" s="9"/>
      <x:c r="P72" s="9"/>
      <x:c r="Q72" s="9"/>
      <x:c r="R72" s="12" t="str">
        <x:f>IF(A72="","",IF(B72="","À compléter",IF(COUNTIFS($A$6:$A$505,A72,$B$6:$B$505,B72)&gt;1,"Doublon ville/mois",IF(OR(AND(ISNUMBER(H72),ISNUMBER(I72),I72&gt;H72),AND(ISNUMBER(M72),ISNUMBER(N72),N72&gt;M72),AND(ISNUMBER(O72),ISNUMBER(P72),P72&gt;O72)),"Incohérent",""))))</x:f>
      </x:c>
    </x:row>
    <x:row r="73" ht="23" customHeight="1">
      <x:c r="A73" s="9"/>
      <x:c r="B73" s="11"/>
      <x:c r="C73" s="10"/>
      <x:c r="D73" s="9"/>
      <x:c r="E73" s="9"/>
      <x:c r="F73" s="9"/>
      <x:c r="G73" s="9"/>
      <x:c r="H73" s="9"/>
      <x:c r="I73" s="9"/>
      <x:c r="J73" s="9"/>
      <x:c r="K73" s="9"/>
      <x:c r="L73" s="10"/>
      <x:c r="M73" s="9"/>
      <x:c r="N73" s="9"/>
      <x:c r="O73" s="9"/>
      <x:c r="P73" s="9"/>
      <x:c r="Q73" s="9"/>
      <x:c r="R73" s="12" t="str">
        <x:f>IF(A73="","",IF(B73="","À compléter",IF(COUNTIFS($A$6:$A$505,A73,$B$6:$B$505,B73)&gt;1,"Doublon ville/mois",IF(OR(AND(ISNUMBER(H73),ISNUMBER(I73),I73&gt;H73),AND(ISNUMBER(M73),ISNUMBER(N73),N73&gt;M73),AND(ISNUMBER(O73),ISNUMBER(P73),P73&gt;O73)),"Incohérent",""))))</x:f>
      </x:c>
    </x:row>
    <x:row r="74" ht="23" customHeight="1">
      <x:c r="A74" s="9"/>
      <x:c r="B74" s="11"/>
      <x:c r="C74" s="10"/>
      <x:c r="D74" s="9"/>
      <x:c r="E74" s="9"/>
      <x:c r="F74" s="9"/>
      <x:c r="G74" s="9"/>
      <x:c r="H74" s="9"/>
      <x:c r="I74" s="9"/>
      <x:c r="J74" s="9"/>
      <x:c r="K74" s="9"/>
      <x:c r="L74" s="10"/>
      <x:c r="M74" s="9"/>
      <x:c r="N74" s="9"/>
      <x:c r="O74" s="9"/>
      <x:c r="P74" s="9"/>
      <x:c r="Q74" s="9"/>
      <x:c r="R74" s="12" t="str">
        <x:f>IF(A74="","",IF(B74="","À compléter",IF(COUNTIFS($A$6:$A$505,A74,$B$6:$B$505,B74)&gt;1,"Doublon ville/mois",IF(OR(AND(ISNUMBER(H74),ISNUMBER(I74),I74&gt;H74),AND(ISNUMBER(M74),ISNUMBER(N74),N74&gt;M74),AND(ISNUMBER(O74),ISNUMBER(P74),P74&gt;O74)),"Incohérent",""))))</x:f>
      </x:c>
    </x:row>
    <x:row r="75" ht="23" customHeight="1">
      <x:c r="A75" s="9"/>
      <x:c r="B75" s="11"/>
      <x:c r="C75" s="10"/>
      <x:c r="D75" s="9"/>
      <x:c r="E75" s="9"/>
      <x:c r="F75" s="9"/>
      <x:c r="G75" s="9"/>
      <x:c r="H75" s="9"/>
      <x:c r="I75" s="9"/>
      <x:c r="J75" s="9"/>
      <x:c r="K75" s="9"/>
      <x:c r="L75" s="10"/>
      <x:c r="M75" s="9"/>
      <x:c r="N75" s="9"/>
      <x:c r="O75" s="9"/>
      <x:c r="P75" s="9"/>
      <x:c r="Q75" s="9"/>
      <x:c r="R75" s="12" t="str">
        <x:f>IF(A75="","",IF(B75="","À compléter",IF(COUNTIFS($A$6:$A$505,A75,$B$6:$B$505,B75)&gt;1,"Doublon ville/mois",IF(OR(AND(ISNUMBER(H75),ISNUMBER(I75),I75&gt;H75),AND(ISNUMBER(M75),ISNUMBER(N75),N75&gt;M75),AND(ISNUMBER(O75),ISNUMBER(P75),P75&gt;O75)),"Incohérent",""))))</x:f>
      </x:c>
    </x:row>
    <x:row r="76" ht="23" customHeight="1">
      <x:c r="A76" s="9"/>
      <x:c r="B76" s="11"/>
      <x:c r="C76" s="10"/>
      <x:c r="D76" s="9"/>
      <x:c r="E76" s="9"/>
      <x:c r="F76" s="9"/>
      <x:c r="G76" s="9"/>
      <x:c r="H76" s="9"/>
      <x:c r="I76" s="9"/>
      <x:c r="J76" s="9"/>
      <x:c r="K76" s="9"/>
      <x:c r="L76" s="10"/>
      <x:c r="M76" s="9"/>
      <x:c r="N76" s="9"/>
      <x:c r="O76" s="9"/>
      <x:c r="P76" s="9"/>
      <x:c r="Q76" s="9"/>
      <x:c r="R76" s="12" t="str">
        <x:f>IF(A76="","",IF(B76="","À compléter",IF(COUNTIFS($A$6:$A$505,A76,$B$6:$B$505,B76)&gt;1,"Doublon ville/mois",IF(OR(AND(ISNUMBER(H76),ISNUMBER(I76),I76&gt;H76),AND(ISNUMBER(M76),ISNUMBER(N76),N76&gt;M76),AND(ISNUMBER(O76),ISNUMBER(P76),P76&gt;O76)),"Incohérent",""))))</x:f>
      </x:c>
    </x:row>
    <x:row r="77" ht="23" customHeight="1">
      <x:c r="A77" s="9"/>
      <x:c r="B77" s="11"/>
      <x:c r="C77" s="10"/>
      <x:c r="D77" s="9"/>
      <x:c r="E77" s="9"/>
      <x:c r="F77" s="9"/>
      <x:c r="G77" s="9"/>
      <x:c r="H77" s="9"/>
      <x:c r="I77" s="9"/>
      <x:c r="J77" s="9"/>
      <x:c r="K77" s="9"/>
      <x:c r="L77" s="10"/>
      <x:c r="M77" s="9"/>
      <x:c r="N77" s="9"/>
      <x:c r="O77" s="9"/>
      <x:c r="P77" s="9"/>
      <x:c r="Q77" s="9"/>
      <x:c r="R77" s="12" t="str">
        <x:f>IF(A77="","",IF(B77="","À compléter",IF(COUNTIFS($A$6:$A$505,A77,$B$6:$B$505,B77)&gt;1,"Doublon ville/mois",IF(OR(AND(ISNUMBER(H77),ISNUMBER(I77),I77&gt;H77),AND(ISNUMBER(M77),ISNUMBER(N77),N77&gt;M77),AND(ISNUMBER(O77),ISNUMBER(P77),P77&gt;O77)),"Incohérent",""))))</x:f>
      </x:c>
    </x:row>
    <x:row r="78" ht="23" customHeight="1">
      <x:c r="A78" s="9"/>
      <x:c r="B78" s="11"/>
      <x:c r="C78" s="10"/>
      <x:c r="D78" s="9"/>
      <x:c r="E78" s="9"/>
      <x:c r="F78" s="9"/>
      <x:c r="G78" s="9"/>
      <x:c r="H78" s="9"/>
      <x:c r="I78" s="9"/>
      <x:c r="J78" s="9"/>
      <x:c r="K78" s="9"/>
      <x:c r="L78" s="10"/>
      <x:c r="M78" s="9"/>
      <x:c r="N78" s="9"/>
      <x:c r="O78" s="9"/>
      <x:c r="P78" s="9"/>
      <x:c r="Q78" s="9"/>
      <x:c r="R78" s="12" t="str">
        <x:f>IF(A78="","",IF(B78="","À compléter",IF(COUNTIFS($A$6:$A$505,A78,$B$6:$B$505,B78)&gt;1,"Doublon ville/mois",IF(OR(AND(ISNUMBER(H78),ISNUMBER(I78),I78&gt;H78),AND(ISNUMBER(M78),ISNUMBER(N78),N78&gt;M78),AND(ISNUMBER(O78),ISNUMBER(P78),P78&gt;O78)),"Incohérent",""))))</x:f>
      </x:c>
    </x:row>
    <x:row r="79" ht="23" customHeight="1">
      <x:c r="A79" s="9"/>
      <x:c r="B79" s="11"/>
      <x:c r="C79" s="10"/>
      <x:c r="D79" s="9"/>
      <x:c r="E79" s="9"/>
      <x:c r="F79" s="9"/>
      <x:c r="G79" s="9"/>
      <x:c r="H79" s="9"/>
      <x:c r="I79" s="9"/>
      <x:c r="J79" s="9"/>
      <x:c r="K79" s="9"/>
      <x:c r="L79" s="10"/>
      <x:c r="M79" s="9"/>
      <x:c r="N79" s="9"/>
      <x:c r="O79" s="9"/>
      <x:c r="P79" s="9"/>
      <x:c r="Q79" s="9"/>
      <x:c r="R79" s="12" t="str">
        <x:f>IF(A79="","",IF(B79="","À compléter",IF(COUNTIFS($A$6:$A$505,A79,$B$6:$B$505,B79)&gt;1,"Doublon ville/mois",IF(OR(AND(ISNUMBER(H79),ISNUMBER(I79),I79&gt;H79),AND(ISNUMBER(M79),ISNUMBER(N79),N79&gt;M79),AND(ISNUMBER(O79),ISNUMBER(P79),P79&gt;O79)),"Incohérent",""))))</x:f>
      </x:c>
    </x:row>
    <x:row r="80" ht="23" customHeight="1">
      <x:c r="A80" s="9"/>
      <x:c r="B80" s="11"/>
      <x:c r="C80" s="10"/>
      <x:c r="D80" s="9"/>
      <x:c r="E80" s="9"/>
      <x:c r="F80" s="9"/>
      <x:c r="G80" s="9"/>
      <x:c r="H80" s="9"/>
      <x:c r="I80" s="9"/>
      <x:c r="J80" s="9"/>
      <x:c r="K80" s="9"/>
      <x:c r="L80" s="10"/>
      <x:c r="M80" s="9"/>
      <x:c r="N80" s="9"/>
      <x:c r="O80" s="9"/>
      <x:c r="P80" s="9"/>
      <x:c r="Q80" s="9"/>
      <x:c r="R80" s="12" t="str">
        <x:f>IF(A80="","",IF(B80="","À compléter",IF(COUNTIFS($A$6:$A$505,A80,$B$6:$B$505,B80)&gt;1,"Doublon ville/mois",IF(OR(AND(ISNUMBER(H80),ISNUMBER(I80),I80&gt;H80),AND(ISNUMBER(M80),ISNUMBER(N80),N80&gt;M80),AND(ISNUMBER(O80),ISNUMBER(P80),P80&gt;O80)),"Incohérent",""))))</x:f>
      </x:c>
    </x:row>
    <x:row r="81" ht="23" customHeight="1">
      <x:c r="A81" s="9"/>
      <x:c r="B81" s="11"/>
      <x:c r="C81" s="10"/>
      <x:c r="D81" s="9"/>
      <x:c r="E81" s="9"/>
      <x:c r="F81" s="9"/>
      <x:c r="G81" s="9"/>
      <x:c r="H81" s="9"/>
      <x:c r="I81" s="9"/>
      <x:c r="J81" s="9"/>
      <x:c r="K81" s="9"/>
      <x:c r="L81" s="10"/>
      <x:c r="M81" s="9"/>
      <x:c r="N81" s="9"/>
      <x:c r="O81" s="9"/>
      <x:c r="P81" s="9"/>
      <x:c r="Q81" s="9"/>
      <x:c r="R81" s="12" t="str">
        <x:f>IF(A81="","",IF(B81="","À compléter",IF(COUNTIFS($A$6:$A$505,A81,$B$6:$B$505,B81)&gt;1,"Doublon ville/mois",IF(OR(AND(ISNUMBER(H81),ISNUMBER(I81),I81&gt;H81),AND(ISNUMBER(M81),ISNUMBER(N81),N81&gt;M81),AND(ISNUMBER(O81),ISNUMBER(P81),P81&gt;O81)),"Incohérent",""))))</x:f>
      </x:c>
    </x:row>
    <x:row r="82" ht="23" customHeight="1">
      <x:c r="A82" s="9"/>
      <x:c r="B82" s="11"/>
      <x:c r="C82" s="10"/>
      <x:c r="D82" s="9"/>
      <x:c r="E82" s="9"/>
      <x:c r="F82" s="9"/>
      <x:c r="G82" s="9"/>
      <x:c r="H82" s="9"/>
      <x:c r="I82" s="9"/>
      <x:c r="J82" s="9"/>
      <x:c r="K82" s="9"/>
      <x:c r="L82" s="10"/>
      <x:c r="M82" s="9"/>
      <x:c r="N82" s="9"/>
      <x:c r="O82" s="9"/>
      <x:c r="P82" s="9"/>
      <x:c r="Q82" s="9"/>
      <x:c r="R82" s="12" t="str">
        <x:f>IF(A82="","",IF(B82="","À compléter",IF(COUNTIFS($A$6:$A$505,A82,$B$6:$B$505,B82)&gt;1,"Doublon ville/mois",IF(OR(AND(ISNUMBER(H82),ISNUMBER(I82),I82&gt;H82),AND(ISNUMBER(M82),ISNUMBER(N82),N82&gt;M82),AND(ISNUMBER(O82),ISNUMBER(P82),P82&gt;O82)),"Incohérent",""))))</x:f>
      </x:c>
    </x:row>
    <x:row r="83" ht="23" customHeight="1">
      <x:c r="A83" s="9"/>
      <x:c r="B83" s="11"/>
      <x:c r="C83" s="10"/>
      <x:c r="D83" s="9"/>
      <x:c r="E83" s="9"/>
      <x:c r="F83" s="9"/>
      <x:c r="G83" s="9"/>
      <x:c r="H83" s="9"/>
      <x:c r="I83" s="9"/>
      <x:c r="J83" s="9"/>
      <x:c r="K83" s="9"/>
      <x:c r="L83" s="10"/>
      <x:c r="M83" s="9"/>
      <x:c r="N83" s="9"/>
      <x:c r="O83" s="9"/>
      <x:c r="P83" s="9"/>
      <x:c r="Q83" s="9"/>
      <x:c r="R83" s="12" t="str">
        <x:f>IF(A83="","",IF(B83="","À compléter",IF(COUNTIFS($A$6:$A$505,A83,$B$6:$B$505,B83)&gt;1,"Doublon ville/mois",IF(OR(AND(ISNUMBER(H83),ISNUMBER(I83),I83&gt;H83),AND(ISNUMBER(M83),ISNUMBER(N83),N83&gt;M83),AND(ISNUMBER(O83),ISNUMBER(P83),P83&gt;O83)),"Incohérent",""))))</x:f>
      </x:c>
    </x:row>
    <x:row r="84" ht="23" customHeight="1">
      <x:c r="A84" s="9"/>
      <x:c r="B84" s="11"/>
      <x:c r="C84" s="10"/>
      <x:c r="D84" s="9"/>
      <x:c r="E84" s="9"/>
      <x:c r="F84" s="9"/>
      <x:c r="G84" s="9"/>
      <x:c r="H84" s="9"/>
      <x:c r="I84" s="9"/>
      <x:c r="J84" s="9"/>
      <x:c r="K84" s="9"/>
      <x:c r="L84" s="10"/>
      <x:c r="M84" s="9"/>
      <x:c r="N84" s="9"/>
      <x:c r="O84" s="9"/>
      <x:c r="P84" s="9"/>
      <x:c r="Q84" s="9"/>
      <x:c r="R84" s="12" t="str">
        <x:f>IF(A84="","",IF(B84="","À compléter",IF(COUNTIFS($A$6:$A$505,A84,$B$6:$B$505,B84)&gt;1,"Doublon ville/mois",IF(OR(AND(ISNUMBER(H84),ISNUMBER(I84),I84&gt;H84),AND(ISNUMBER(M84),ISNUMBER(N84),N84&gt;M84),AND(ISNUMBER(O84),ISNUMBER(P84),P84&gt;O84)),"Incohérent",""))))</x:f>
      </x:c>
    </x:row>
    <x:row r="85" ht="23" customHeight="1">
      <x:c r="A85" s="9"/>
      <x:c r="B85" s="11"/>
      <x:c r="C85" s="10"/>
      <x:c r="D85" s="9"/>
      <x:c r="E85" s="9"/>
      <x:c r="F85" s="9"/>
      <x:c r="G85" s="9"/>
      <x:c r="H85" s="9"/>
      <x:c r="I85" s="9"/>
      <x:c r="J85" s="9"/>
      <x:c r="K85" s="9"/>
      <x:c r="L85" s="10"/>
      <x:c r="M85" s="9"/>
      <x:c r="N85" s="9"/>
      <x:c r="O85" s="9"/>
      <x:c r="P85" s="9"/>
      <x:c r="Q85" s="9"/>
      <x:c r="R85" s="12" t="str">
        <x:f>IF(A85="","",IF(B85="","À compléter",IF(COUNTIFS($A$6:$A$505,A85,$B$6:$B$505,B85)&gt;1,"Doublon ville/mois",IF(OR(AND(ISNUMBER(H85),ISNUMBER(I85),I85&gt;H85),AND(ISNUMBER(M85),ISNUMBER(N85),N85&gt;M85),AND(ISNUMBER(O85),ISNUMBER(P85),P85&gt;O85)),"Incohérent",""))))</x:f>
      </x:c>
    </x:row>
    <x:row r="86" ht="23" customHeight="1">
      <x:c r="A86" s="9"/>
      <x:c r="B86" s="11"/>
      <x:c r="C86" s="10"/>
      <x:c r="D86" s="9"/>
      <x:c r="E86" s="9"/>
      <x:c r="F86" s="9"/>
      <x:c r="G86" s="9"/>
      <x:c r="H86" s="9"/>
      <x:c r="I86" s="9"/>
      <x:c r="J86" s="9"/>
      <x:c r="K86" s="9"/>
      <x:c r="L86" s="10"/>
      <x:c r="M86" s="9"/>
      <x:c r="N86" s="9"/>
      <x:c r="O86" s="9"/>
      <x:c r="P86" s="9"/>
      <x:c r="Q86" s="9"/>
      <x:c r="R86" s="12" t="str">
        <x:f>IF(A86="","",IF(B86="","À compléter",IF(COUNTIFS($A$6:$A$505,A86,$B$6:$B$505,B86)&gt;1,"Doublon ville/mois",IF(OR(AND(ISNUMBER(H86),ISNUMBER(I86),I86&gt;H86),AND(ISNUMBER(M86),ISNUMBER(N86),N86&gt;M86),AND(ISNUMBER(O86),ISNUMBER(P86),P86&gt;O86)),"Incohérent",""))))</x:f>
      </x:c>
    </x:row>
    <x:row r="87" ht="23" customHeight="1">
      <x:c r="A87" s="9"/>
      <x:c r="B87" s="11"/>
      <x:c r="C87" s="10"/>
      <x:c r="D87" s="9"/>
      <x:c r="E87" s="9"/>
      <x:c r="F87" s="9"/>
      <x:c r="G87" s="9"/>
      <x:c r="H87" s="9"/>
      <x:c r="I87" s="9"/>
      <x:c r="J87" s="9"/>
      <x:c r="K87" s="9"/>
      <x:c r="L87" s="10"/>
      <x:c r="M87" s="9"/>
      <x:c r="N87" s="9"/>
      <x:c r="O87" s="9"/>
      <x:c r="P87" s="9"/>
      <x:c r="Q87" s="9"/>
      <x:c r="R87" s="12" t="str">
        <x:f>IF(A87="","",IF(B87="","À compléter",IF(COUNTIFS($A$6:$A$505,A87,$B$6:$B$505,B87)&gt;1,"Doublon ville/mois",IF(OR(AND(ISNUMBER(H87),ISNUMBER(I87),I87&gt;H87),AND(ISNUMBER(M87),ISNUMBER(N87),N87&gt;M87),AND(ISNUMBER(O87),ISNUMBER(P87),P87&gt;O87)),"Incohérent",""))))</x:f>
      </x:c>
    </x:row>
    <x:row r="88" ht="23" customHeight="1">
      <x:c r="A88" s="9"/>
      <x:c r="B88" s="11"/>
      <x:c r="C88" s="10"/>
      <x:c r="D88" s="9"/>
      <x:c r="E88" s="9"/>
      <x:c r="F88" s="9"/>
      <x:c r="G88" s="9"/>
      <x:c r="H88" s="9"/>
      <x:c r="I88" s="9"/>
      <x:c r="J88" s="9"/>
      <x:c r="K88" s="9"/>
      <x:c r="L88" s="10"/>
      <x:c r="M88" s="9"/>
      <x:c r="N88" s="9"/>
      <x:c r="O88" s="9"/>
      <x:c r="P88" s="9"/>
      <x:c r="Q88" s="9"/>
      <x:c r="R88" s="12" t="str">
        <x:f>IF(A88="","",IF(B88="","À compléter",IF(COUNTIFS($A$6:$A$505,A88,$B$6:$B$505,B88)&gt;1,"Doublon ville/mois",IF(OR(AND(ISNUMBER(H88),ISNUMBER(I88),I88&gt;H88),AND(ISNUMBER(M88),ISNUMBER(N88),N88&gt;M88),AND(ISNUMBER(O88),ISNUMBER(P88),P88&gt;O88)),"Incohérent",""))))</x:f>
      </x:c>
    </x:row>
    <x:row r="89" ht="23" customHeight="1">
      <x:c r="A89" s="9"/>
      <x:c r="B89" s="11"/>
      <x:c r="C89" s="10"/>
      <x:c r="D89" s="9"/>
      <x:c r="E89" s="9"/>
      <x:c r="F89" s="9"/>
      <x:c r="G89" s="9"/>
      <x:c r="H89" s="9"/>
      <x:c r="I89" s="9"/>
      <x:c r="J89" s="9"/>
      <x:c r="K89" s="9"/>
      <x:c r="L89" s="10"/>
      <x:c r="M89" s="9"/>
      <x:c r="N89" s="9"/>
      <x:c r="O89" s="9"/>
      <x:c r="P89" s="9"/>
      <x:c r="Q89" s="9"/>
      <x:c r="R89" s="12" t="str">
        <x:f>IF(A89="","",IF(B89="","À compléter",IF(COUNTIFS($A$6:$A$505,A89,$B$6:$B$505,B89)&gt;1,"Doublon ville/mois",IF(OR(AND(ISNUMBER(H89),ISNUMBER(I89),I89&gt;H89),AND(ISNUMBER(M89),ISNUMBER(N89),N89&gt;M89),AND(ISNUMBER(O89),ISNUMBER(P89),P89&gt;O89)),"Incohérent",""))))</x:f>
      </x:c>
    </x:row>
    <x:row r="90" ht="23" customHeight="1">
      <x:c r="A90" s="9"/>
      <x:c r="B90" s="11"/>
      <x:c r="C90" s="10"/>
      <x:c r="D90" s="9"/>
      <x:c r="E90" s="9"/>
      <x:c r="F90" s="9"/>
      <x:c r="G90" s="9"/>
      <x:c r="H90" s="9"/>
      <x:c r="I90" s="9"/>
      <x:c r="J90" s="9"/>
      <x:c r="K90" s="9"/>
      <x:c r="L90" s="10"/>
      <x:c r="M90" s="9"/>
      <x:c r="N90" s="9"/>
      <x:c r="O90" s="9"/>
      <x:c r="P90" s="9"/>
      <x:c r="Q90" s="9"/>
      <x:c r="R90" s="12" t="str">
        <x:f>IF(A90="","",IF(B90="","À compléter",IF(COUNTIFS($A$6:$A$505,A90,$B$6:$B$505,B90)&gt;1,"Doublon ville/mois",IF(OR(AND(ISNUMBER(H90),ISNUMBER(I90),I90&gt;H90),AND(ISNUMBER(M90),ISNUMBER(N90),N90&gt;M90),AND(ISNUMBER(O90),ISNUMBER(P90),P90&gt;O90)),"Incohérent",""))))</x:f>
      </x:c>
    </x:row>
    <x:row r="91" ht="23" customHeight="1">
      <x:c r="A91" s="9"/>
      <x:c r="B91" s="11"/>
      <x:c r="C91" s="10"/>
      <x:c r="D91" s="9"/>
      <x:c r="E91" s="9"/>
      <x:c r="F91" s="9"/>
      <x:c r="G91" s="9"/>
      <x:c r="H91" s="9"/>
      <x:c r="I91" s="9"/>
      <x:c r="J91" s="9"/>
      <x:c r="K91" s="9"/>
      <x:c r="L91" s="10"/>
      <x:c r="M91" s="9"/>
      <x:c r="N91" s="9"/>
      <x:c r="O91" s="9"/>
      <x:c r="P91" s="9"/>
      <x:c r="Q91" s="9"/>
      <x:c r="R91" s="12" t="str">
        <x:f>IF(A91="","",IF(B91="","À compléter",IF(COUNTIFS($A$6:$A$505,A91,$B$6:$B$505,B91)&gt;1,"Doublon ville/mois",IF(OR(AND(ISNUMBER(H91),ISNUMBER(I91),I91&gt;H91),AND(ISNUMBER(M91),ISNUMBER(N91),N91&gt;M91),AND(ISNUMBER(O91),ISNUMBER(P91),P91&gt;O91)),"Incohérent",""))))</x:f>
      </x:c>
    </x:row>
    <x:row r="92" ht="23" customHeight="1">
      <x:c r="A92" s="9"/>
      <x:c r="B92" s="11"/>
      <x:c r="C92" s="10"/>
      <x:c r="D92" s="9"/>
      <x:c r="E92" s="9"/>
      <x:c r="F92" s="9"/>
      <x:c r="G92" s="9"/>
      <x:c r="H92" s="9"/>
      <x:c r="I92" s="9"/>
      <x:c r="J92" s="9"/>
      <x:c r="K92" s="9"/>
      <x:c r="L92" s="10"/>
      <x:c r="M92" s="9"/>
      <x:c r="N92" s="9"/>
      <x:c r="O92" s="9"/>
      <x:c r="P92" s="9"/>
      <x:c r="Q92" s="9"/>
      <x:c r="R92" s="12" t="str">
        <x:f>IF(A92="","",IF(B92="","À compléter",IF(COUNTIFS($A$6:$A$505,A92,$B$6:$B$505,B92)&gt;1,"Doublon ville/mois",IF(OR(AND(ISNUMBER(H92),ISNUMBER(I92),I92&gt;H92),AND(ISNUMBER(M92),ISNUMBER(N92),N92&gt;M92),AND(ISNUMBER(O92),ISNUMBER(P92),P92&gt;O92)),"Incohérent",""))))</x:f>
      </x:c>
    </x:row>
    <x:row r="93" ht="23" customHeight="1">
      <x:c r="A93" s="9"/>
      <x:c r="B93" s="11"/>
      <x:c r="C93" s="10"/>
      <x:c r="D93" s="9"/>
      <x:c r="E93" s="9"/>
      <x:c r="F93" s="9"/>
      <x:c r="G93" s="9"/>
      <x:c r="H93" s="9"/>
      <x:c r="I93" s="9"/>
      <x:c r="J93" s="9"/>
      <x:c r="K93" s="9"/>
      <x:c r="L93" s="10"/>
      <x:c r="M93" s="9"/>
      <x:c r="N93" s="9"/>
      <x:c r="O93" s="9"/>
      <x:c r="P93" s="9"/>
      <x:c r="Q93" s="9"/>
      <x:c r="R93" s="12" t="str">
        <x:f>IF(A93="","",IF(B93="","À compléter",IF(COUNTIFS($A$6:$A$505,A93,$B$6:$B$505,B93)&gt;1,"Doublon ville/mois",IF(OR(AND(ISNUMBER(H93),ISNUMBER(I93),I93&gt;H93),AND(ISNUMBER(M93),ISNUMBER(N93),N93&gt;M93),AND(ISNUMBER(O93),ISNUMBER(P93),P93&gt;O93)),"Incohérent",""))))</x:f>
      </x:c>
    </x:row>
    <x:row r="94" ht="23" customHeight="1">
      <x:c r="A94" s="9"/>
      <x:c r="B94" s="11"/>
      <x:c r="C94" s="10"/>
      <x:c r="D94" s="9"/>
      <x:c r="E94" s="9"/>
      <x:c r="F94" s="9"/>
      <x:c r="G94" s="9"/>
      <x:c r="H94" s="9"/>
      <x:c r="I94" s="9"/>
      <x:c r="J94" s="9"/>
      <x:c r="K94" s="9"/>
      <x:c r="L94" s="10"/>
      <x:c r="M94" s="9"/>
      <x:c r="N94" s="9"/>
      <x:c r="O94" s="9"/>
      <x:c r="P94" s="9"/>
      <x:c r="Q94" s="9"/>
      <x:c r="R94" s="12" t="str">
        <x:f>IF(A94="","",IF(B94="","À compléter",IF(COUNTIFS($A$6:$A$505,A94,$B$6:$B$505,B94)&gt;1,"Doublon ville/mois",IF(OR(AND(ISNUMBER(H94),ISNUMBER(I94),I94&gt;H94),AND(ISNUMBER(M94),ISNUMBER(N94),N94&gt;M94),AND(ISNUMBER(O94),ISNUMBER(P94),P94&gt;O94)),"Incohérent",""))))</x:f>
      </x:c>
    </x:row>
    <x:row r="95" ht="23" customHeight="1">
      <x:c r="A95" s="9"/>
      <x:c r="B95" s="11"/>
      <x:c r="C95" s="10"/>
      <x:c r="D95" s="9"/>
      <x:c r="E95" s="9"/>
      <x:c r="F95" s="9"/>
      <x:c r="G95" s="9"/>
      <x:c r="H95" s="9"/>
      <x:c r="I95" s="9"/>
      <x:c r="J95" s="9"/>
      <x:c r="K95" s="9"/>
      <x:c r="L95" s="10"/>
      <x:c r="M95" s="9"/>
      <x:c r="N95" s="9"/>
      <x:c r="O95" s="9"/>
      <x:c r="P95" s="9"/>
      <x:c r="Q95" s="9"/>
      <x:c r="R95" s="12" t="str">
        <x:f>IF(A95="","",IF(B95="","À compléter",IF(COUNTIFS($A$6:$A$505,A95,$B$6:$B$505,B95)&gt;1,"Doublon ville/mois",IF(OR(AND(ISNUMBER(H95),ISNUMBER(I95),I95&gt;H95),AND(ISNUMBER(M95),ISNUMBER(N95),N95&gt;M95),AND(ISNUMBER(O95),ISNUMBER(P95),P95&gt;O95)),"Incohérent",""))))</x:f>
      </x:c>
    </x:row>
    <x:row r="96" ht="23" customHeight="1">
      <x:c r="A96" s="9"/>
      <x:c r="B96" s="11"/>
      <x:c r="C96" s="10"/>
      <x:c r="D96" s="9"/>
      <x:c r="E96" s="9"/>
      <x:c r="F96" s="9"/>
      <x:c r="G96" s="9"/>
      <x:c r="H96" s="9"/>
      <x:c r="I96" s="9"/>
      <x:c r="J96" s="9"/>
      <x:c r="K96" s="9"/>
      <x:c r="L96" s="10"/>
      <x:c r="M96" s="9"/>
      <x:c r="N96" s="9"/>
      <x:c r="O96" s="9"/>
      <x:c r="P96" s="9"/>
      <x:c r="Q96" s="9"/>
      <x:c r="R96" s="12" t="str">
        <x:f>IF(A96="","",IF(B96="","À compléter",IF(COUNTIFS($A$6:$A$505,A96,$B$6:$B$505,B96)&gt;1,"Doublon ville/mois",IF(OR(AND(ISNUMBER(H96),ISNUMBER(I96),I96&gt;H96),AND(ISNUMBER(M96),ISNUMBER(N96),N96&gt;M96),AND(ISNUMBER(O96),ISNUMBER(P96),P96&gt;O96)),"Incohérent",""))))</x:f>
      </x:c>
    </x:row>
    <x:row r="97" ht="23" customHeight="1">
      <x:c r="A97" s="9"/>
      <x:c r="B97" s="11"/>
      <x:c r="C97" s="10"/>
      <x:c r="D97" s="9"/>
      <x:c r="E97" s="9"/>
      <x:c r="F97" s="9"/>
      <x:c r="G97" s="9"/>
      <x:c r="H97" s="9"/>
      <x:c r="I97" s="9"/>
      <x:c r="J97" s="9"/>
      <x:c r="K97" s="9"/>
      <x:c r="L97" s="10"/>
      <x:c r="M97" s="9"/>
      <x:c r="N97" s="9"/>
      <x:c r="O97" s="9"/>
      <x:c r="P97" s="9"/>
      <x:c r="Q97" s="9"/>
      <x:c r="R97" s="12" t="str">
        <x:f>IF(A97="","",IF(B97="","À compléter",IF(COUNTIFS($A$6:$A$505,A97,$B$6:$B$505,B97)&gt;1,"Doublon ville/mois",IF(OR(AND(ISNUMBER(H97),ISNUMBER(I97),I97&gt;H97),AND(ISNUMBER(M97),ISNUMBER(N97),N97&gt;M97),AND(ISNUMBER(O97),ISNUMBER(P97),P97&gt;O97)),"Incohérent",""))))</x:f>
      </x:c>
    </x:row>
    <x:row r="98" ht="23" customHeight="1">
      <x:c r="A98" s="9"/>
      <x:c r="B98" s="11"/>
      <x:c r="C98" s="10"/>
      <x:c r="D98" s="9"/>
      <x:c r="E98" s="9"/>
      <x:c r="F98" s="9"/>
      <x:c r="G98" s="9"/>
      <x:c r="H98" s="9"/>
      <x:c r="I98" s="9"/>
      <x:c r="J98" s="9"/>
      <x:c r="K98" s="9"/>
      <x:c r="L98" s="10"/>
      <x:c r="M98" s="9"/>
      <x:c r="N98" s="9"/>
      <x:c r="O98" s="9"/>
      <x:c r="P98" s="9"/>
      <x:c r="Q98" s="9"/>
      <x:c r="R98" s="12" t="str">
        <x:f>IF(A98="","",IF(B98="","À compléter",IF(COUNTIFS($A$6:$A$505,A98,$B$6:$B$505,B98)&gt;1,"Doublon ville/mois",IF(OR(AND(ISNUMBER(H98),ISNUMBER(I98),I98&gt;H98),AND(ISNUMBER(M98),ISNUMBER(N98),N98&gt;M98),AND(ISNUMBER(O98),ISNUMBER(P98),P98&gt;O98)),"Incohérent",""))))</x:f>
      </x:c>
    </x:row>
    <x:row r="99" ht="23" customHeight="1">
      <x:c r="A99" s="9"/>
      <x:c r="B99" s="11"/>
      <x:c r="C99" s="10"/>
      <x:c r="D99" s="9"/>
      <x:c r="E99" s="9"/>
      <x:c r="F99" s="9"/>
      <x:c r="G99" s="9"/>
      <x:c r="H99" s="9"/>
      <x:c r="I99" s="9"/>
      <x:c r="J99" s="9"/>
      <x:c r="K99" s="9"/>
      <x:c r="L99" s="10"/>
      <x:c r="M99" s="9"/>
      <x:c r="N99" s="9"/>
      <x:c r="O99" s="9"/>
      <x:c r="P99" s="9"/>
      <x:c r="Q99" s="9"/>
      <x:c r="R99" s="12" t="str">
        <x:f>IF(A99="","",IF(B99="","À compléter",IF(COUNTIFS($A$6:$A$505,A99,$B$6:$B$505,B99)&gt;1,"Doublon ville/mois",IF(OR(AND(ISNUMBER(H99),ISNUMBER(I99),I99&gt;H99),AND(ISNUMBER(M99),ISNUMBER(N99),N99&gt;M99),AND(ISNUMBER(O99),ISNUMBER(P99),P99&gt;O99)),"Incohérent",""))))</x:f>
      </x:c>
    </x:row>
    <x:row r="100" ht="23" customHeight="1">
      <x:c r="A100" s="9"/>
      <x:c r="B100" s="11"/>
      <x:c r="C100" s="10"/>
      <x:c r="D100" s="9"/>
      <x:c r="E100" s="9"/>
      <x:c r="F100" s="9"/>
      <x:c r="G100" s="9"/>
      <x:c r="H100" s="9"/>
      <x:c r="I100" s="9"/>
      <x:c r="J100" s="9"/>
      <x:c r="K100" s="9"/>
      <x:c r="L100" s="10"/>
      <x:c r="M100" s="9"/>
      <x:c r="N100" s="9"/>
      <x:c r="O100" s="9"/>
      <x:c r="P100" s="9"/>
      <x:c r="Q100" s="9"/>
      <x:c r="R100" s="12" t="str">
        <x:f>IF(A100="","",IF(B100="","À compléter",IF(COUNTIFS($A$6:$A$505,A100,$B$6:$B$505,B100)&gt;1,"Doublon ville/mois",IF(OR(AND(ISNUMBER(H100),ISNUMBER(I100),I100&gt;H100),AND(ISNUMBER(M100),ISNUMBER(N100),N100&gt;M100),AND(ISNUMBER(O100),ISNUMBER(P100),P100&gt;O100)),"Incohérent",""))))</x:f>
      </x:c>
    </x:row>
    <x:row r="101" ht="23" customHeight="1">
      <x:c r="A101" s="9"/>
      <x:c r="B101" s="11"/>
      <x:c r="C101" s="10"/>
      <x:c r="D101" s="9"/>
      <x:c r="E101" s="9"/>
      <x:c r="F101" s="9"/>
      <x:c r="G101" s="9"/>
      <x:c r="H101" s="9"/>
      <x:c r="I101" s="9"/>
      <x:c r="J101" s="9"/>
      <x:c r="K101" s="9"/>
      <x:c r="L101" s="10"/>
      <x:c r="M101" s="9"/>
      <x:c r="N101" s="9"/>
      <x:c r="O101" s="9"/>
      <x:c r="P101" s="9"/>
      <x:c r="Q101" s="9"/>
      <x:c r="R101" s="12" t="str">
        <x:f>IF(A101="","",IF(B101="","À compléter",IF(COUNTIFS($A$6:$A$505,A101,$B$6:$B$505,B101)&gt;1,"Doublon ville/mois",IF(OR(AND(ISNUMBER(H101),ISNUMBER(I101),I101&gt;H101),AND(ISNUMBER(M101),ISNUMBER(N101),N101&gt;M101),AND(ISNUMBER(O101),ISNUMBER(P101),P101&gt;O101)),"Incohérent",""))))</x:f>
      </x:c>
    </x:row>
    <x:row r="102" ht="23" customHeight="1">
      <x:c r="A102" s="9"/>
      <x:c r="B102" s="11"/>
      <x:c r="C102" s="10"/>
      <x:c r="D102" s="9"/>
      <x:c r="E102" s="9"/>
      <x:c r="F102" s="9"/>
      <x:c r="G102" s="9"/>
      <x:c r="H102" s="9"/>
      <x:c r="I102" s="9"/>
      <x:c r="J102" s="9"/>
      <x:c r="K102" s="9"/>
      <x:c r="L102" s="10"/>
      <x:c r="M102" s="9"/>
      <x:c r="N102" s="9"/>
      <x:c r="O102" s="9"/>
      <x:c r="P102" s="9"/>
      <x:c r="Q102" s="9"/>
      <x:c r="R102" s="12" t="str">
        <x:f>IF(A102="","",IF(B102="","À compléter",IF(COUNTIFS($A$6:$A$505,A102,$B$6:$B$505,B102)&gt;1,"Doublon ville/mois",IF(OR(AND(ISNUMBER(H102),ISNUMBER(I102),I102&gt;H102),AND(ISNUMBER(M102),ISNUMBER(N102),N102&gt;M102),AND(ISNUMBER(O102),ISNUMBER(P102),P102&gt;O102)),"Incohérent",""))))</x:f>
      </x:c>
    </x:row>
    <x:row r="103" ht="23" customHeight="1">
      <x:c r="A103" s="9"/>
      <x:c r="B103" s="11"/>
      <x:c r="C103" s="10"/>
      <x:c r="D103" s="9"/>
      <x:c r="E103" s="9"/>
      <x:c r="F103" s="9"/>
      <x:c r="G103" s="9"/>
      <x:c r="H103" s="9"/>
      <x:c r="I103" s="9"/>
      <x:c r="J103" s="9"/>
      <x:c r="K103" s="9"/>
      <x:c r="L103" s="10"/>
      <x:c r="M103" s="9"/>
      <x:c r="N103" s="9"/>
      <x:c r="O103" s="9"/>
      <x:c r="P103" s="9"/>
      <x:c r="Q103" s="9"/>
      <x:c r="R103" s="12" t="str">
        <x:f>IF(A103="","",IF(B103="","À compléter",IF(COUNTIFS($A$6:$A$505,A103,$B$6:$B$505,B103)&gt;1,"Doublon ville/mois",IF(OR(AND(ISNUMBER(H103),ISNUMBER(I103),I103&gt;H103),AND(ISNUMBER(M103),ISNUMBER(N103),N103&gt;M103),AND(ISNUMBER(O103),ISNUMBER(P103),P103&gt;O103)),"Incohérent",""))))</x:f>
      </x:c>
    </x:row>
    <x:row r="104" ht="23" customHeight="1">
      <x:c r="A104" s="9"/>
      <x:c r="B104" s="11"/>
      <x:c r="C104" s="10"/>
      <x:c r="D104" s="9"/>
      <x:c r="E104" s="9"/>
      <x:c r="F104" s="9"/>
      <x:c r="G104" s="9"/>
      <x:c r="H104" s="9"/>
      <x:c r="I104" s="9"/>
      <x:c r="J104" s="9"/>
      <x:c r="K104" s="9"/>
      <x:c r="L104" s="10"/>
      <x:c r="M104" s="9"/>
      <x:c r="N104" s="9"/>
      <x:c r="O104" s="9"/>
      <x:c r="P104" s="9"/>
      <x:c r="Q104" s="9"/>
      <x:c r="R104" s="12" t="str">
        <x:f>IF(A104="","",IF(B104="","À compléter",IF(COUNTIFS($A$6:$A$505,A104,$B$6:$B$505,B104)&gt;1,"Doublon ville/mois",IF(OR(AND(ISNUMBER(H104),ISNUMBER(I104),I104&gt;H104),AND(ISNUMBER(M104),ISNUMBER(N104),N104&gt;M104),AND(ISNUMBER(O104),ISNUMBER(P104),P104&gt;O104)),"Incohérent",""))))</x:f>
      </x:c>
    </x:row>
    <x:row r="105" ht="23" customHeight="1">
      <x:c r="A105" s="9"/>
      <x:c r="B105" s="11"/>
      <x:c r="C105" s="10"/>
      <x:c r="D105" s="9"/>
      <x:c r="E105" s="9"/>
      <x:c r="F105" s="9"/>
      <x:c r="G105" s="9"/>
      <x:c r="H105" s="9"/>
      <x:c r="I105" s="9"/>
      <x:c r="J105" s="9"/>
      <x:c r="K105" s="9"/>
      <x:c r="L105" s="10"/>
      <x:c r="M105" s="9"/>
      <x:c r="N105" s="9"/>
      <x:c r="O105" s="9"/>
      <x:c r="P105" s="9"/>
      <x:c r="Q105" s="9"/>
      <x:c r="R105" s="12" t="str">
        <x:f>IF(A105="","",IF(B105="","À compléter",IF(COUNTIFS($A$6:$A$505,A105,$B$6:$B$505,B105)&gt;1,"Doublon ville/mois",IF(OR(AND(ISNUMBER(H105),ISNUMBER(I105),I105&gt;H105),AND(ISNUMBER(M105),ISNUMBER(N105),N105&gt;M105),AND(ISNUMBER(O105),ISNUMBER(P105),P105&gt;O105)),"Incohérent",""))))</x:f>
      </x:c>
    </x:row>
    <x:row r="106" ht="23" customHeight="1">
      <x:c r="A106" s="9"/>
      <x:c r="B106" s="11"/>
      <x:c r="C106" s="10"/>
      <x:c r="D106" s="9"/>
      <x:c r="E106" s="9"/>
      <x:c r="F106" s="9"/>
      <x:c r="G106" s="9"/>
      <x:c r="H106" s="9"/>
      <x:c r="I106" s="9"/>
      <x:c r="J106" s="9"/>
      <x:c r="K106" s="9"/>
      <x:c r="L106" s="10"/>
      <x:c r="M106" s="9"/>
      <x:c r="N106" s="9"/>
      <x:c r="O106" s="9"/>
      <x:c r="P106" s="9"/>
      <x:c r="Q106" s="9"/>
      <x:c r="R106" s="12" t="str">
        <x:f>IF(A106="","",IF(B106="","À compléter",IF(COUNTIFS($A$6:$A$505,A106,$B$6:$B$505,B106)&gt;1,"Doublon ville/mois",IF(OR(AND(ISNUMBER(H106),ISNUMBER(I106),I106&gt;H106),AND(ISNUMBER(M106),ISNUMBER(N106),N106&gt;M106),AND(ISNUMBER(O106),ISNUMBER(P106),P106&gt;O106)),"Incohérent",""))))</x:f>
      </x:c>
    </x:row>
    <x:row r="107" ht="23" customHeight="1">
      <x:c r="A107" s="9"/>
      <x:c r="B107" s="11"/>
      <x:c r="C107" s="10"/>
      <x:c r="D107" s="9"/>
      <x:c r="E107" s="9"/>
      <x:c r="F107" s="9"/>
      <x:c r="G107" s="9"/>
      <x:c r="H107" s="9"/>
      <x:c r="I107" s="9"/>
      <x:c r="J107" s="9"/>
      <x:c r="K107" s="9"/>
      <x:c r="L107" s="10"/>
      <x:c r="M107" s="9"/>
      <x:c r="N107" s="9"/>
      <x:c r="O107" s="9"/>
      <x:c r="P107" s="9"/>
      <x:c r="Q107" s="9"/>
      <x:c r="R107" s="12" t="str">
        <x:f>IF(A107="","",IF(B107="","À compléter",IF(COUNTIFS($A$6:$A$505,A107,$B$6:$B$505,B107)&gt;1,"Doublon ville/mois",IF(OR(AND(ISNUMBER(H107),ISNUMBER(I107),I107&gt;H107),AND(ISNUMBER(M107),ISNUMBER(N107),N107&gt;M107),AND(ISNUMBER(O107),ISNUMBER(P107),P107&gt;O107)),"Incohérent",""))))</x:f>
      </x:c>
    </x:row>
    <x:row r="108" ht="23" customHeight="1">
      <x:c r="A108" s="9"/>
      <x:c r="B108" s="11"/>
      <x:c r="C108" s="10"/>
      <x:c r="D108" s="9"/>
      <x:c r="E108" s="9"/>
      <x:c r="F108" s="9"/>
      <x:c r="G108" s="9"/>
      <x:c r="H108" s="9"/>
      <x:c r="I108" s="9"/>
      <x:c r="J108" s="9"/>
      <x:c r="K108" s="9"/>
      <x:c r="L108" s="10"/>
      <x:c r="M108" s="9"/>
      <x:c r="N108" s="9"/>
      <x:c r="O108" s="9"/>
      <x:c r="P108" s="9"/>
      <x:c r="Q108" s="9"/>
      <x:c r="R108" s="12" t="str">
        <x:f>IF(A108="","",IF(B108="","À compléter",IF(COUNTIFS($A$6:$A$505,A108,$B$6:$B$505,B108)&gt;1,"Doublon ville/mois",IF(OR(AND(ISNUMBER(H108),ISNUMBER(I108),I108&gt;H108),AND(ISNUMBER(M108),ISNUMBER(N108),N108&gt;M108),AND(ISNUMBER(O108),ISNUMBER(P108),P108&gt;O108)),"Incohérent",""))))</x:f>
      </x:c>
    </x:row>
    <x:row r="109" ht="23" customHeight="1">
      <x:c r="A109" s="9"/>
      <x:c r="B109" s="11"/>
      <x:c r="C109" s="10"/>
      <x:c r="D109" s="9"/>
      <x:c r="E109" s="9"/>
      <x:c r="F109" s="9"/>
      <x:c r="G109" s="9"/>
      <x:c r="H109" s="9"/>
      <x:c r="I109" s="9"/>
      <x:c r="J109" s="9"/>
      <x:c r="K109" s="9"/>
      <x:c r="L109" s="10"/>
      <x:c r="M109" s="9"/>
      <x:c r="N109" s="9"/>
      <x:c r="O109" s="9"/>
      <x:c r="P109" s="9"/>
      <x:c r="Q109" s="9"/>
      <x:c r="R109" s="12" t="str">
        <x:f>IF(A109="","",IF(B109="","À compléter",IF(COUNTIFS($A$6:$A$505,A109,$B$6:$B$505,B109)&gt;1,"Doublon ville/mois",IF(OR(AND(ISNUMBER(H109),ISNUMBER(I109),I109&gt;H109),AND(ISNUMBER(M109),ISNUMBER(N109),N109&gt;M109),AND(ISNUMBER(O109),ISNUMBER(P109),P109&gt;O109)),"Incohérent",""))))</x:f>
      </x:c>
    </x:row>
    <x:row r="110" ht="23" customHeight="1">
      <x:c r="A110" s="9"/>
      <x:c r="B110" s="11"/>
      <x:c r="C110" s="10"/>
      <x:c r="D110" s="9"/>
      <x:c r="E110" s="9"/>
      <x:c r="F110" s="9"/>
      <x:c r="G110" s="9"/>
      <x:c r="H110" s="9"/>
      <x:c r="I110" s="9"/>
      <x:c r="J110" s="9"/>
      <x:c r="K110" s="9"/>
      <x:c r="L110" s="10"/>
      <x:c r="M110" s="9"/>
      <x:c r="N110" s="9"/>
      <x:c r="O110" s="9"/>
      <x:c r="P110" s="9"/>
      <x:c r="Q110" s="9"/>
      <x:c r="R110" s="12" t="str">
        <x:f>IF(A110="","",IF(B110="","À compléter",IF(COUNTIFS($A$6:$A$505,A110,$B$6:$B$505,B110)&gt;1,"Doublon ville/mois",IF(OR(AND(ISNUMBER(H110),ISNUMBER(I110),I110&gt;H110),AND(ISNUMBER(M110),ISNUMBER(N110),N110&gt;M110),AND(ISNUMBER(O110),ISNUMBER(P110),P110&gt;O110)),"Incohérent",""))))</x:f>
      </x:c>
    </x:row>
    <x:row r="111" ht="23" customHeight="1">
      <x:c r="A111" s="9"/>
      <x:c r="B111" s="11"/>
      <x:c r="C111" s="10"/>
      <x:c r="D111" s="9"/>
      <x:c r="E111" s="9"/>
      <x:c r="F111" s="9"/>
      <x:c r="G111" s="9"/>
      <x:c r="H111" s="9"/>
      <x:c r="I111" s="9"/>
      <x:c r="J111" s="9"/>
      <x:c r="K111" s="9"/>
      <x:c r="L111" s="10"/>
      <x:c r="M111" s="9"/>
      <x:c r="N111" s="9"/>
      <x:c r="O111" s="9"/>
      <x:c r="P111" s="9"/>
      <x:c r="Q111" s="9"/>
      <x:c r="R111" s="12" t="str">
        <x:f>IF(A111="","",IF(B111="","À compléter",IF(COUNTIFS($A$6:$A$505,A111,$B$6:$B$505,B111)&gt;1,"Doublon ville/mois",IF(OR(AND(ISNUMBER(H111),ISNUMBER(I111),I111&gt;H111),AND(ISNUMBER(M111),ISNUMBER(N111),N111&gt;M111),AND(ISNUMBER(O111),ISNUMBER(P111),P111&gt;O111)),"Incohérent",""))))</x:f>
      </x:c>
    </x:row>
    <x:row r="112" ht="23" customHeight="1">
      <x:c r="A112" s="9"/>
      <x:c r="B112" s="11"/>
      <x:c r="C112" s="10"/>
      <x:c r="D112" s="9"/>
      <x:c r="E112" s="9"/>
      <x:c r="F112" s="9"/>
      <x:c r="G112" s="9"/>
      <x:c r="H112" s="9"/>
      <x:c r="I112" s="9"/>
      <x:c r="J112" s="9"/>
      <x:c r="K112" s="9"/>
      <x:c r="L112" s="10"/>
      <x:c r="M112" s="9"/>
      <x:c r="N112" s="9"/>
      <x:c r="O112" s="9"/>
      <x:c r="P112" s="9"/>
      <x:c r="Q112" s="9"/>
      <x:c r="R112" s="12" t="str">
        <x:f>IF(A112="","",IF(B112="","À compléter",IF(COUNTIFS($A$6:$A$505,A112,$B$6:$B$505,B112)&gt;1,"Doublon ville/mois",IF(OR(AND(ISNUMBER(H112),ISNUMBER(I112),I112&gt;H112),AND(ISNUMBER(M112),ISNUMBER(N112),N112&gt;M112),AND(ISNUMBER(O112),ISNUMBER(P112),P112&gt;O112)),"Incohérent",""))))</x:f>
      </x:c>
    </x:row>
    <x:row r="113" ht="23" customHeight="1">
      <x:c r="A113" s="9"/>
      <x:c r="B113" s="11"/>
      <x:c r="C113" s="10"/>
      <x:c r="D113" s="9"/>
      <x:c r="E113" s="9"/>
      <x:c r="F113" s="9"/>
      <x:c r="G113" s="9"/>
      <x:c r="H113" s="9"/>
      <x:c r="I113" s="9"/>
      <x:c r="J113" s="9"/>
      <x:c r="K113" s="9"/>
      <x:c r="L113" s="10"/>
      <x:c r="M113" s="9"/>
      <x:c r="N113" s="9"/>
      <x:c r="O113" s="9"/>
      <x:c r="P113" s="9"/>
      <x:c r="Q113" s="9"/>
      <x:c r="R113" s="12" t="str">
        <x:f>IF(A113="","",IF(B113="","À compléter",IF(COUNTIFS($A$6:$A$505,A113,$B$6:$B$505,B113)&gt;1,"Doublon ville/mois",IF(OR(AND(ISNUMBER(H113),ISNUMBER(I113),I113&gt;H113),AND(ISNUMBER(M113),ISNUMBER(N113),N113&gt;M113),AND(ISNUMBER(O113),ISNUMBER(P113),P113&gt;O113)),"Incohérent",""))))</x:f>
      </x:c>
    </x:row>
    <x:row r="114" ht="23" customHeight="1">
      <x:c r="A114" s="9"/>
      <x:c r="B114" s="11"/>
      <x:c r="C114" s="10"/>
      <x:c r="D114" s="9"/>
      <x:c r="E114" s="9"/>
      <x:c r="F114" s="9"/>
      <x:c r="G114" s="9"/>
      <x:c r="H114" s="9"/>
      <x:c r="I114" s="9"/>
      <x:c r="J114" s="9"/>
      <x:c r="K114" s="9"/>
      <x:c r="L114" s="10"/>
      <x:c r="M114" s="9"/>
      <x:c r="N114" s="9"/>
      <x:c r="O114" s="9"/>
      <x:c r="P114" s="9"/>
      <x:c r="Q114" s="9"/>
      <x:c r="R114" s="12" t="str">
        <x:f>IF(A114="","",IF(B114="","À compléter",IF(COUNTIFS($A$6:$A$505,A114,$B$6:$B$505,B114)&gt;1,"Doublon ville/mois",IF(OR(AND(ISNUMBER(H114),ISNUMBER(I114),I114&gt;H114),AND(ISNUMBER(M114),ISNUMBER(N114),N114&gt;M114),AND(ISNUMBER(O114),ISNUMBER(P114),P114&gt;O114)),"Incohérent",""))))</x:f>
      </x:c>
    </x:row>
    <x:row r="115" ht="23" customHeight="1">
      <x:c r="A115" s="9"/>
      <x:c r="B115" s="11"/>
      <x:c r="C115" s="10"/>
      <x:c r="D115" s="9"/>
      <x:c r="E115" s="9"/>
      <x:c r="F115" s="9"/>
      <x:c r="G115" s="9"/>
      <x:c r="H115" s="9"/>
      <x:c r="I115" s="9"/>
      <x:c r="J115" s="9"/>
      <x:c r="K115" s="9"/>
      <x:c r="L115" s="10"/>
      <x:c r="M115" s="9"/>
      <x:c r="N115" s="9"/>
      <x:c r="O115" s="9"/>
      <x:c r="P115" s="9"/>
      <x:c r="Q115" s="9"/>
      <x:c r="R115" s="12" t="str">
        <x:f>IF(A115="","",IF(B115="","À compléter",IF(COUNTIFS($A$6:$A$505,A115,$B$6:$B$505,B115)&gt;1,"Doublon ville/mois",IF(OR(AND(ISNUMBER(H115),ISNUMBER(I115),I115&gt;H115),AND(ISNUMBER(M115),ISNUMBER(N115),N115&gt;M115),AND(ISNUMBER(O115),ISNUMBER(P115),P115&gt;O115)),"Incohérent",""))))</x:f>
      </x:c>
    </x:row>
    <x:row r="116" ht="23" customHeight="1">
      <x:c r="A116" s="9"/>
      <x:c r="B116" s="11"/>
      <x:c r="C116" s="10"/>
      <x:c r="D116" s="9"/>
      <x:c r="E116" s="9"/>
      <x:c r="F116" s="9"/>
      <x:c r="G116" s="9"/>
      <x:c r="H116" s="9"/>
      <x:c r="I116" s="9"/>
      <x:c r="J116" s="9"/>
      <x:c r="K116" s="9"/>
      <x:c r="L116" s="10"/>
      <x:c r="M116" s="9"/>
      <x:c r="N116" s="9"/>
      <x:c r="O116" s="9"/>
      <x:c r="P116" s="9"/>
      <x:c r="Q116" s="9"/>
      <x:c r="R116" s="12" t="str">
        <x:f>IF(A116="","",IF(B116="","À compléter",IF(COUNTIFS($A$6:$A$505,A116,$B$6:$B$505,B116)&gt;1,"Doublon ville/mois",IF(OR(AND(ISNUMBER(H116),ISNUMBER(I116),I116&gt;H116),AND(ISNUMBER(M116),ISNUMBER(N116),N116&gt;M116),AND(ISNUMBER(O116),ISNUMBER(P116),P116&gt;O116)),"Incohérent",""))))</x:f>
      </x:c>
    </x:row>
    <x:row r="117" ht="23" customHeight="1">
      <x:c r="A117" s="9"/>
      <x:c r="B117" s="11"/>
      <x:c r="C117" s="10"/>
      <x:c r="D117" s="9"/>
      <x:c r="E117" s="9"/>
      <x:c r="F117" s="9"/>
      <x:c r="G117" s="9"/>
      <x:c r="H117" s="9"/>
      <x:c r="I117" s="9"/>
      <x:c r="J117" s="9"/>
      <x:c r="K117" s="9"/>
      <x:c r="L117" s="10"/>
      <x:c r="M117" s="9"/>
      <x:c r="N117" s="9"/>
      <x:c r="O117" s="9"/>
      <x:c r="P117" s="9"/>
      <x:c r="Q117" s="9"/>
      <x:c r="R117" s="12" t="str">
        <x:f>IF(A117="","",IF(B117="","À compléter",IF(COUNTIFS($A$6:$A$505,A117,$B$6:$B$505,B117)&gt;1,"Doublon ville/mois",IF(OR(AND(ISNUMBER(H117),ISNUMBER(I117),I117&gt;H117),AND(ISNUMBER(M117),ISNUMBER(N117),N117&gt;M117),AND(ISNUMBER(O117),ISNUMBER(P117),P117&gt;O117)),"Incohérent",""))))</x:f>
      </x:c>
    </x:row>
    <x:row r="118" ht="23" customHeight="1">
      <x:c r="A118" s="9"/>
      <x:c r="B118" s="11"/>
      <x:c r="C118" s="10"/>
      <x:c r="D118" s="9"/>
      <x:c r="E118" s="9"/>
      <x:c r="F118" s="9"/>
      <x:c r="G118" s="9"/>
      <x:c r="H118" s="9"/>
      <x:c r="I118" s="9"/>
      <x:c r="J118" s="9"/>
      <x:c r="K118" s="9"/>
      <x:c r="L118" s="10"/>
      <x:c r="M118" s="9"/>
      <x:c r="N118" s="9"/>
      <x:c r="O118" s="9"/>
      <x:c r="P118" s="9"/>
      <x:c r="Q118" s="9"/>
      <x:c r="R118" s="12" t="str">
        <x:f>IF(A118="","",IF(B118="","À compléter",IF(COUNTIFS($A$6:$A$505,A118,$B$6:$B$505,B118)&gt;1,"Doublon ville/mois",IF(OR(AND(ISNUMBER(H118),ISNUMBER(I118),I118&gt;H118),AND(ISNUMBER(M118),ISNUMBER(N118),N118&gt;M118),AND(ISNUMBER(O118),ISNUMBER(P118),P118&gt;O118)),"Incohérent",""))))</x:f>
      </x:c>
    </x:row>
    <x:row r="119" ht="23" customHeight="1">
      <x:c r="A119" s="9"/>
      <x:c r="B119" s="11"/>
      <x:c r="C119" s="10"/>
      <x:c r="D119" s="9"/>
      <x:c r="E119" s="9"/>
      <x:c r="F119" s="9"/>
      <x:c r="G119" s="9"/>
      <x:c r="H119" s="9"/>
      <x:c r="I119" s="9"/>
      <x:c r="J119" s="9"/>
      <x:c r="K119" s="9"/>
      <x:c r="L119" s="10"/>
      <x:c r="M119" s="9"/>
      <x:c r="N119" s="9"/>
      <x:c r="O119" s="9"/>
      <x:c r="P119" s="9"/>
      <x:c r="Q119" s="9"/>
      <x:c r="R119" s="12" t="str">
        <x:f>IF(A119="","",IF(B119="","À compléter",IF(COUNTIFS($A$6:$A$505,A119,$B$6:$B$505,B119)&gt;1,"Doublon ville/mois",IF(OR(AND(ISNUMBER(H119),ISNUMBER(I119),I119&gt;H119),AND(ISNUMBER(M119),ISNUMBER(N119),N119&gt;M119),AND(ISNUMBER(O119),ISNUMBER(P119),P119&gt;O119)),"Incohérent",""))))</x:f>
      </x:c>
    </x:row>
    <x:row r="120" ht="23" customHeight="1">
      <x:c r="A120" s="9"/>
      <x:c r="B120" s="11"/>
      <x:c r="C120" s="10"/>
      <x:c r="D120" s="9"/>
      <x:c r="E120" s="9"/>
      <x:c r="F120" s="9"/>
      <x:c r="G120" s="9"/>
      <x:c r="H120" s="9"/>
      <x:c r="I120" s="9"/>
      <x:c r="J120" s="9"/>
      <x:c r="K120" s="9"/>
      <x:c r="L120" s="10"/>
      <x:c r="M120" s="9"/>
      <x:c r="N120" s="9"/>
      <x:c r="O120" s="9"/>
      <x:c r="P120" s="9"/>
      <x:c r="Q120" s="9"/>
      <x:c r="R120" s="12" t="str">
        <x:f>IF(A120="","",IF(B120="","À compléter",IF(COUNTIFS($A$6:$A$505,A120,$B$6:$B$505,B120)&gt;1,"Doublon ville/mois",IF(OR(AND(ISNUMBER(H120),ISNUMBER(I120),I120&gt;H120),AND(ISNUMBER(M120),ISNUMBER(N120),N120&gt;M120),AND(ISNUMBER(O120),ISNUMBER(P120),P120&gt;O120)),"Incohérent",""))))</x:f>
      </x:c>
    </x:row>
    <x:row r="121" ht="23" customHeight="1">
      <x:c r="A121" s="9"/>
      <x:c r="B121" s="11"/>
      <x:c r="C121" s="10"/>
      <x:c r="D121" s="9"/>
      <x:c r="E121" s="9"/>
      <x:c r="F121" s="9"/>
      <x:c r="G121" s="9"/>
      <x:c r="H121" s="9"/>
      <x:c r="I121" s="9"/>
      <x:c r="J121" s="9"/>
      <x:c r="K121" s="9"/>
      <x:c r="L121" s="10"/>
      <x:c r="M121" s="9"/>
      <x:c r="N121" s="9"/>
      <x:c r="O121" s="9"/>
      <x:c r="P121" s="9"/>
      <x:c r="Q121" s="9"/>
      <x:c r="R121" s="12" t="str">
        <x:f>IF(A121="","",IF(B121="","À compléter",IF(COUNTIFS($A$6:$A$505,A121,$B$6:$B$505,B121)&gt;1,"Doublon ville/mois",IF(OR(AND(ISNUMBER(H121),ISNUMBER(I121),I121&gt;H121),AND(ISNUMBER(M121),ISNUMBER(N121),N121&gt;M121),AND(ISNUMBER(O121),ISNUMBER(P121),P121&gt;O121)),"Incohérent",""))))</x:f>
      </x:c>
    </x:row>
    <x:row r="122" ht="23" customHeight="1">
      <x:c r="A122" s="9"/>
      <x:c r="B122" s="11"/>
      <x:c r="C122" s="10"/>
      <x:c r="D122" s="9"/>
      <x:c r="E122" s="9"/>
      <x:c r="F122" s="9"/>
      <x:c r="G122" s="9"/>
      <x:c r="H122" s="9"/>
      <x:c r="I122" s="9"/>
      <x:c r="J122" s="9"/>
      <x:c r="K122" s="9"/>
      <x:c r="L122" s="10"/>
      <x:c r="M122" s="9"/>
      <x:c r="N122" s="9"/>
      <x:c r="O122" s="9"/>
      <x:c r="P122" s="9"/>
      <x:c r="Q122" s="9"/>
      <x:c r="R122" s="12" t="str">
        <x:f>IF(A122="","",IF(B122="","À compléter",IF(COUNTIFS($A$6:$A$505,A122,$B$6:$B$505,B122)&gt;1,"Doublon ville/mois",IF(OR(AND(ISNUMBER(H122),ISNUMBER(I122),I122&gt;H122),AND(ISNUMBER(M122),ISNUMBER(N122),N122&gt;M122),AND(ISNUMBER(O122),ISNUMBER(P122),P122&gt;O122)),"Incohérent",""))))</x:f>
      </x:c>
    </x:row>
    <x:row r="123" ht="23" customHeight="1">
      <x:c r="A123" s="9"/>
      <x:c r="B123" s="11"/>
      <x:c r="C123" s="10"/>
      <x:c r="D123" s="9"/>
      <x:c r="E123" s="9"/>
      <x:c r="F123" s="9"/>
      <x:c r="G123" s="9"/>
      <x:c r="H123" s="9"/>
      <x:c r="I123" s="9"/>
      <x:c r="J123" s="9"/>
      <x:c r="K123" s="9"/>
      <x:c r="L123" s="10"/>
      <x:c r="M123" s="9"/>
      <x:c r="N123" s="9"/>
      <x:c r="O123" s="9"/>
      <x:c r="P123" s="9"/>
      <x:c r="Q123" s="9"/>
      <x:c r="R123" s="12" t="str">
        <x:f>IF(A123="","",IF(B123="","À compléter",IF(COUNTIFS($A$6:$A$505,A123,$B$6:$B$505,B123)&gt;1,"Doublon ville/mois",IF(OR(AND(ISNUMBER(H123),ISNUMBER(I123),I123&gt;H123),AND(ISNUMBER(M123),ISNUMBER(N123),N123&gt;M123),AND(ISNUMBER(O123),ISNUMBER(P123),P123&gt;O123)),"Incohérent",""))))</x:f>
      </x:c>
    </x:row>
    <x:row r="124" ht="23" customHeight="1">
      <x:c r="A124" s="9"/>
      <x:c r="B124" s="11"/>
      <x:c r="C124" s="10"/>
      <x:c r="D124" s="9"/>
      <x:c r="E124" s="9"/>
      <x:c r="F124" s="9"/>
      <x:c r="G124" s="9"/>
      <x:c r="H124" s="9"/>
      <x:c r="I124" s="9"/>
      <x:c r="J124" s="9"/>
      <x:c r="K124" s="9"/>
      <x:c r="L124" s="10"/>
      <x:c r="M124" s="9"/>
      <x:c r="N124" s="9"/>
      <x:c r="O124" s="9"/>
      <x:c r="P124" s="9"/>
      <x:c r="Q124" s="9"/>
      <x:c r="R124" s="12" t="str">
        <x:f>IF(A124="","",IF(B124="","À compléter",IF(COUNTIFS($A$6:$A$505,A124,$B$6:$B$505,B124)&gt;1,"Doublon ville/mois",IF(OR(AND(ISNUMBER(H124),ISNUMBER(I124),I124&gt;H124),AND(ISNUMBER(M124),ISNUMBER(N124),N124&gt;M124),AND(ISNUMBER(O124),ISNUMBER(P124),P124&gt;O124)),"Incohérent",""))))</x:f>
      </x:c>
    </x:row>
    <x:row r="125" ht="23" customHeight="1">
      <x:c r="A125" s="9"/>
      <x:c r="B125" s="11"/>
      <x:c r="C125" s="10"/>
      <x:c r="D125" s="9"/>
      <x:c r="E125" s="9"/>
      <x:c r="F125" s="9"/>
      <x:c r="G125" s="9"/>
      <x:c r="H125" s="9"/>
      <x:c r="I125" s="9"/>
      <x:c r="J125" s="9"/>
      <x:c r="K125" s="9"/>
      <x:c r="L125" s="10"/>
      <x:c r="M125" s="9"/>
      <x:c r="N125" s="9"/>
      <x:c r="O125" s="9"/>
      <x:c r="P125" s="9"/>
      <x:c r="Q125" s="9"/>
      <x:c r="R125" s="12" t="str">
        <x:f>IF(A125="","",IF(B125="","À compléter",IF(COUNTIFS($A$6:$A$505,A125,$B$6:$B$505,B125)&gt;1,"Doublon ville/mois",IF(OR(AND(ISNUMBER(H125),ISNUMBER(I125),I125&gt;H125),AND(ISNUMBER(M125),ISNUMBER(N125),N125&gt;M125),AND(ISNUMBER(O125),ISNUMBER(P125),P125&gt;O125)),"Incohérent",""))))</x:f>
      </x:c>
    </x:row>
    <x:row r="126" ht="23" customHeight="1">
      <x:c r="A126" s="9"/>
      <x:c r="B126" s="11"/>
      <x:c r="C126" s="10"/>
      <x:c r="D126" s="9"/>
      <x:c r="E126" s="9"/>
      <x:c r="F126" s="9"/>
      <x:c r="G126" s="9"/>
      <x:c r="H126" s="9"/>
      <x:c r="I126" s="9"/>
      <x:c r="J126" s="9"/>
      <x:c r="K126" s="9"/>
      <x:c r="L126" s="10"/>
      <x:c r="M126" s="9"/>
      <x:c r="N126" s="9"/>
      <x:c r="O126" s="9"/>
      <x:c r="P126" s="9"/>
      <x:c r="Q126" s="9"/>
      <x:c r="R126" s="12" t="str">
        <x:f>IF(A126="","",IF(B126="","À compléter",IF(COUNTIFS($A$6:$A$505,A126,$B$6:$B$505,B126)&gt;1,"Doublon ville/mois",IF(OR(AND(ISNUMBER(H126),ISNUMBER(I126),I126&gt;H126),AND(ISNUMBER(M126),ISNUMBER(N126),N126&gt;M126),AND(ISNUMBER(O126),ISNUMBER(P126),P126&gt;O126)),"Incohérent",""))))</x:f>
      </x:c>
    </x:row>
    <x:row r="127" ht="23" customHeight="1">
      <x:c r="A127" s="9"/>
      <x:c r="B127" s="11"/>
      <x:c r="C127" s="10"/>
      <x:c r="D127" s="9"/>
      <x:c r="E127" s="9"/>
      <x:c r="F127" s="9"/>
      <x:c r="G127" s="9"/>
      <x:c r="H127" s="9"/>
      <x:c r="I127" s="9"/>
      <x:c r="J127" s="9"/>
      <x:c r="K127" s="9"/>
      <x:c r="L127" s="10"/>
      <x:c r="M127" s="9"/>
      <x:c r="N127" s="9"/>
      <x:c r="O127" s="9"/>
      <x:c r="P127" s="9"/>
      <x:c r="Q127" s="9"/>
      <x:c r="R127" s="12" t="str">
        <x:f>IF(A127="","",IF(B127="","À compléter",IF(COUNTIFS($A$6:$A$505,A127,$B$6:$B$505,B127)&gt;1,"Doublon ville/mois",IF(OR(AND(ISNUMBER(H127),ISNUMBER(I127),I127&gt;H127),AND(ISNUMBER(M127),ISNUMBER(N127),N127&gt;M127),AND(ISNUMBER(O127),ISNUMBER(P127),P127&gt;O127)),"Incohérent",""))))</x:f>
      </x:c>
    </x:row>
    <x:row r="128" ht="23" customHeight="1">
      <x:c r="A128" s="9"/>
      <x:c r="B128" s="11"/>
      <x:c r="C128" s="10"/>
      <x:c r="D128" s="9"/>
      <x:c r="E128" s="9"/>
      <x:c r="F128" s="9"/>
      <x:c r="G128" s="9"/>
      <x:c r="H128" s="9"/>
      <x:c r="I128" s="9"/>
      <x:c r="J128" s="9"/>
      <x:c r="K128" s="9"/>
      <x:c r="L128" s="10"/>
      <x:c r="M128" s="9"/>
      <x:c r="N128" s="9"/>
      <x:c r="O128" s="9"/>
      <x:c r="P128" s="9"/>
      <x:c r="Q128" s="9"/>
      <x:c r="R128" s="12" t="str">
        <x:f>IF(A128="","",IF(B128="","À compléter",IF(COUNTIFS($A$6:$A$505,A128,$B$6:$B$505,B128)&gt;1,"Doublon ville/mois",IF(OR(AND(ISNUMBER(H128),ISNUMBER(I128),I128&gt;H128),AND(ISNUMBER(M128),ISNUMBER(N128),N128&gt;M128),AND(ISNUMBER(O128),ISNUMBER(P128),P128&gt;O128)),"Incohérent",""))))</x:f>
      </x:c>
    </x:row>
    <x:row r="129" ht="23" customHeight="1">
      <x:c r="A129" s="9"/>
      <x:c r="B129" s="11"/>
      <x:c r="C129" s="10"/>
      <x:c r="D129" s="9"/>
      <x:c r="E129" s="9"/>
      <x:c r="F129" s="9"/>
      <x:c r="G129" s="9"/>
      <x:c r="H129" s="9"/>
      <x:c r="I129" s="9"/>
      <x:c r="J129" s="9"/>
      <x:c r="K129" s="9"/>
      <x:c r="L129" s="10"/>
      <x:c r="M129" s="9"/>
      <x:c r="N129" s="9"/>
      <x:c r="O129" s="9"/>
      <x:c r="P129" s="9"/>
      <x:c r="Q129" s="9"/>
      <x:c r="R129" s="12" t="str">
        <x:f>IF(A129="","",IF(B129="","À compléter",IF(COUNTIFS($A$6:$A$505,A129,$B$6:$B$505,B129)&gt;1,"Doublon ville/mois",IF(OR(AND(ISNUMBER(H129),ISNUMBER(I129),I129&gt;H129),AND(ISNUMBER(M129),ISNUMBER(N129),N129&gt;M129),AND(ISNUMBER(O129),ISNUMBER(P129),P129&gt;O129)),"Incohérent",""))))</x:f>
      </x:c>
    </x:row>
    <x:row r="130" ht="23" customHeight="1">
      <x:c r="A130" s="9"/>
      <x:c r="B130" s="11"/>
      <x:c r="C130" s="10"/>
      <x:c r="D130" s="9"/>
      <x:c r="E130" s="9"/>
      <x:c r="F130" s="9"/>
      <x:c r="G130" s="9"/>
      <x:c r="H130" s="9"/>
      <x:c r="I130" s="9"/>
      <x:c r="J130" s="9"/>
      <x:c r="K130" s="9"/>
      <x:c r="L130" s="10"/>
      <x:c r="M130" s="9"/>
      <x:c r="N130" s="9"/>
      <x:c r="O130" s="9"/>
      <x:c r="P130" s="9"/>
      <x:c r="Q130" s="9"/>
      <x:c r="R130" s="12" t="str">
        <x:f>IF(A130="","",IF(B130="","À compléter",IF(COUNTIFS($A$6:$A$505,A130,$B$6:$B$505,B130)&gt;1,"Doublon ville/mois",IF(OR(AND(ISNUMBER(H130),ISNUMBER(I130),I130&gt;H130),AND(ISNUMBER(M130),ISNUMBER(N130),N130&gt;M130),AND(ISNUMBER(O130),ISNUMBER(P130),P130&gt;O130)),"Incohérent",""))))</x:f>
      </x:c>
    </x:row>
    <x:row r="131" ht="23" customHeight="1">
      <x:c r="A131" s="9"/>
      <x:c r="B131" s="11"/>
      <x:c r="C131" s="10"/>
      <x:c r="D131" s="9"/>
      <x:c r="E131" s="9"/>
      <x:c r="F131" s="9"/>
      <x:c r="G131" s="9"/>
      <x:c r="H131" s="9"/>
      <x:c r="I131" s="9"/>
      <x:c r="J131" s="9"/>
      <x:c r="K131" s="9"/>
      <x:c r="L131" s="10"/>
      <x:c r="M131" s="9"/>
      <x:c r="N131" s="9"/>
      <x:c r="O131" s="9"/>
      <x:c r="P131" s="9"/>
      <x:c r="Q131" s="9"/>
      <x:c r="R131" s="12" t="str">
        <x:f>IF(A131="","",IF(B131="","À compléter",IF(COUNTIFS($A$6:$A$505,A131,$B$6:$B$505,B131)&gt;1,"Doublon ville/mois",IF(OR(AND(ISNUMBER(H131),ISNUMBER(I131),I131&gt;H131),AND(ISNUMBER(M131),ISNUMBER(N131),N131&gt;M131),AND(ISNUMBER(O131),ISNUMBER(P131),P131&gt;O131)),"Incohérent",""))))</x:f>
      </x:c>
    </x:row>
    <x:row r="132" ht="23" customHeight="1">
      <x:c r="A132" s="9"/>
      <x:c r="B132" s="11"/>
      <x:c r="C132" s="10"/>
      <x:c r="D132" s="9"/>
      <x:c r="E132" s="9"/>
      <x:c r="F132" s="9"/>
      <x:c r="G132" s="9"/>
      <x:c r="H132" s="9"/>
      <x:c r="I132" s="9"/>
      <x:c r="J132" s="9"/>
      <x:c r="K132" s="9"/>
      <x:c r="L132" s="10"/>
      <x:c r="M132" s="9"/>
      <x:c r="N132" s="9"/>
      <x:c r="O132" s="9"/>
      <x:c r="P132" s="9"/>
      <x:c r="Q132" s="9"/>
      <x:c r="R132" s="12" t="str">
        <x:f>IF(A132="","",IF(B132="","À compléter",IF(COUNTIFS($A$6:$A$505,A132,$B$6:$B$505,B132)&gt;1,"Doublon ville/mois",IF(OR(AND(ISNUMBER(H132),ISNUMBER(I132),I132&gt;H132),AND(ISNUMBER(M132),ISNUMBER(N132),N132&gt;M132),AND(ISNUMBER(O132),ISNUMBER(P132),P132&gt;O132)),"Incohérent",""))))</x:f>
      </x:c>
    </x:row>
    <x:row r="133" ht="23" customHeight="1">
      <x:c r="A133" s="9"/>
      <x:c r="B133" s="11"/>
      <x:c r="C133" s="10"/>
      <x:c r="D133" s="9"/>
      <x:c r="E133" s="9"/>
      <x:c r="F133" s="9"/>
      <x:c r="G133" s="9"/>
      <x:c r="H133" s="9"/>
      <x:c r="I133" s="9"/>
      <x:c r="J133" s="9"/>
      <x:c r="K133" s="9"/>
      <x:c r="L133" s="10"/>
      <x:c r="M133" s="9"/>
      <x:c r="N133" s="9"/>
      <x:c r="O133" s="9"/>
      <x:c r="P133" s="9"/>
      <x:c r="Q133" s="9"/>
      <x:c r="R133" s="12" t="str">
        <x:f>IF(A133="","",IF(B133="","À compléter",IF(COUNTIFS($A$6:$A$505,A133,$B$6:$B$505,B133)&gt;1,"Doublon ville/mois",IF(OR(AND(ISNUMBER(H133),ISNUMBER(I133),I133&gt;H133),AND(ISNUMBER(M133),ISNUMBER(N133),N133&gt;M133),AND(ISNUMBER(O133),ISNUMBER(P133),P133&gt;O133)),"Incohérent",""))))</x:f>
      </x:c>
    </x:row>
    <x:row r="134" ht="23" customHeight="1">
      <x:c r="A134" s="9"/>
      <x:c r="B134" s="11"/>
      <x:c r="C134" s="10"/>
      <x:c r="D134" s="9"/>
      <x:c r="E134" s="9"/>
      <x:c r="F134" s="9"/>
      <x:c r="G134" s="9"/>
      <x:c r="H134" s="9"/>
      <x:c r="I134" s="9"/>
      <x:c r="J134" s="9"/>
      <x:c r="K134" s="9"/>
      <x:c r="L134" s="10"/>
      <x:c r="M134" s="9"/>
      <x:c r="N134" s="9"/>
      <x:c r="O134" s="9"/>
      <x:c r="P134" s="9"/>
      <x:c r="Q134" s="9"/>
      <x:c r="R134" s="12" t="str">
        <x:f>IF(A134="","",IF(B134="","À compléter",IF(COUNTIFS($A$6:$A$505,A134,$B$6:$B$505,B134)&gt;1,"Doublon ville/mois",IF(OR(AND(ISNUMBER(H134),ISNUMBER(I134),I134&gt;H134),AND(ISNUMBER(M134),ISNUMBER(N134),N134&gt;M134),AND(ISNUMBER(O134),ISNUMBER(P134),P134&gt;O134)),"Incohérent",""))))</x:f>
      </x:c>
    </x:row>
    <x:row r="135" ht="23" customHeight="1">
      <x:c r="A135" s="9"/>
      <x:c r="B135" s="11"/>
      <x:c r="C135" s="10"/>
      <x:c r="D135" s="9"/>
      <x:c r="E135" s="9"/>
      <x:c r="F135" s="9"/>
      <x:c r="G135" s="9"/>
      <x:c r="H135" s="9"/>
      <x:c r="I135" s="9"/>
      <x:c r="J135" s="9"/>
      <x:c r="K135" s="9"/>
      <x:c r="L135" s="10"/>
      <x:c r="M135" s="9"/>
      <x:c r="N135" s="9"/>
      <x:c r="O135" s="9"/>
      <x:c r="P135" s="9"/>
      <x:c r="Q135" s="9"/>
      <x:c r="R135" s="12" t="str">
        <x:f>IF(A135="","",IF(B135="","À compléter",IF(COUNTIFS($A$6:$A$505,A135,$B$6:$B$505,B135)&gt;1,"Doublon ville/mois",IF(OR(AND(ISNUMBER(H135),ISNUMBER(I135),I135&gt;H135),AND(ISNUMBER(M135),ISNUMBER(N135),N135&gt;M135),AND(ISNUMBER(O135),ISNUMBER(P135),P135&gt;O135)),"Incohérent",""))))</x:f>
      </x:c>
    </x:row>
    <x:row r="136" ht="23" customHeight="1">
      <x:c r="A136" s="9"/>
      <x:c r="B136" s="11"/>
      <x:c r="C136" s="10"/>
      <x:c r="D136" s="9"/>
      <x:c r="E136" s="9"/>
      <x:c r="F136" s="9"/>
      <x:c r="G136" s="9"/>
      <x:c r="H136" s="9"/>
      <x:c r="I136" s="9"/>
      <x:c r="J136" s="9"/>
      <x:c r="K136" s="9"/>
      <x:c r="L136" s="10"/>
      <x:c r="M136" s="9"/>
      <x:c r="N136" s="9"/>
      <x:c r="O136" s="9"/>
      <x:c r="P136" s="9"/>
      <x:c r="Q136" s="9"/>
      <x:c r="R136" s="12" t="str">
        <x:f>IF(A136="","",IF(B136="","À compléter",IF(COUNTIFS($A$6:$A$505,A136,$B$6:$B$505,B136)&gt;1,"Doublon ville/mois",IF(OR(AND(ISNUMBER(H136),ISNUMBER(I136),I136&gt;H136),AND(ISNUMBER(M136),ISNUMBER(N136),N136&gt;M136),AND(ISNUMBER(O136),ISNUMBER(P136),P136&gt;O136)),"Incohérent",""))))</x:f>
      </x:c>
    </x:row>
    <x:row r="137" ht="23" customHeight="1">
      <x:c r="A137" s="9"/>
      <x:c r="B137" s="11"/>
      <x:c r="C137" s="10"/>
      <x:c r="D137" s="9"/>
      <x:c r="E137" s="9"/>
      <x:c r="F137" s="9"/>
      <x:c r="G137" s="9"/>
      <x:c r="H137" s="9"/>
      <x:c r="I137" s="9"/>
      <x:c r="J137" s="9"/>
      <x:c r="K137" s="9"/>
      <x:c r="L137" s="10"/>
      <x:c r="M137" s="9"/>
      <x:c r="N137" s="9"/>
      <x:c r="O137" s="9"/>
      <x:c r="P137" s="9"/>
      <x:c r="Q137" s="9"/>
      <x:c r="R137" s="12" t="str">
        <x:f>IF(A137="","",IF(B137="","À compléter",IF(COUNTIFS($A$6:$A$505,A137,$B$6:$B$505,B137)&gt;1,"Doublon ville/mois",IF(OR(AND(ISNUMBER(H137),ISNUMBER(I137),I137&gt;H137),AND(ISNUMBER(M137),ISNUMBER(N137),N137&gt;M137),AND(ISNUMBER(O137),ISNUMBER(P137),P137&gt;O137)),"Incohérent",""))))</x:f>
      </x:c>
    </x:row>
    <x:row r="138" ht="23" customHeight="1">
      <x:c r="A138" s="9"/>
      <x:c r="B138" s="11"/>
      <x:c r="C138" s="10"/>
      <x:c r="D138" s="9"/>
      <x:c r="E138" s="9"/>
      <x:c r="F138" s="9"/>
      <x:c r="G138" s="9"/>
      <x:c r="H138" s="9"/>
      <x:c r="I138" s="9"/>
      <x:c r="J138" s="9"/>
      <x:c r="K138" s="9"/>
      <x:c r="L138" s="10"/>
      <x:c r="M138" s="9"/>
      <x:c r="N138" s="9"/>
      <x:c r="O138" s="9"/>
      <x:c r="P138" s="9"/>
      <x:c r="Q138" s="9"/>
      <x:c r="R138" s="12" t="str">
        <x:f>IF(A138="","",IF(B138="","À compléter",IF(COUNTIFS($A$6:$A$505,A138,$B$6:$B$505,B138)&gt;1,"Doublon ville/mois",IF(OR(AND(ISNUMBER(H138),ISNUMBER(I138),I138&gt;H138),AND(ISNUMBER(M138),ISNUMBER(N138),N138&gt;M138),AND(ISNUMBER(O138),ISNUMBER(P138),P138&gt;O138)),"Incohérent",""))))</x:f>
      </x:c>
    </x:row>
    <x:row r="139" ht="23" customHeight="1">
      <x:c r="A139" s="9"/>
      <x:c r="B139" s="11"/>
      <x:c r="C139" s="10"/>
      <x:c r="D139" s="9"/>
      <x:c r="E139" s="9"/>
      <x:c r="F139" s="9"/>
      <x:c r="G139" s="9"/>
      <x:c r="H139" s="9"/>
      <x:c r="I139" s="9"/>
      <x:c r="J139" s="9"/>
      <x:c r="K139" s="9"/>
      <x:c r="L139" s="10"/>
      <x:c r="M139" s="9"/>
      <x:c r="N139" s="9"/>
      <x:c r="O139" s="9"/>
      <x:c r="P139" s="9"/>
      <x:c r="Q139" s="9"/>
      <x:c r="R139" s="12" t="str">
        <x:f>IF(A139="","",IF(B139="","À compléter",IF(COUNTIFS($A$6:$A$505,A139,$B$6:$B$505,B139)&gt;1,"Doublon ville/mois",IF(OR(AND(ISNUMBER(H139),ISNUMBER(I139),I139&gt;H139),AND(ISNUMBER(M139),ISNUMBER(N139),N139&gt;M139),AND(ISNUMBER(O139),ISNUMBER(P139),P139&gt;O139)),"Incohérent",""))))</x:f>
      </x:c>
    </x:row>
    <x:row r="140" ht="23" customHeight="1">
      <x:c r="A140" s="9"/>
      <x:c r="B140" s="11"/>
      <x:c r="C140" s="10"/>
      <x:c r="D140" s="9"/>
      <x:c r="E140" s="9"/>
      <x:c r="F140" s="9"/>
      <x:c r="G140" s="9"/>
      <x:c r="H140" s="9"/>
      <x:c r="I140" s="9"/>
      <x:c r="J140" s="9"/>
      <x:c r="K140" s="9"/>
      <x:c r="L140" s="10"/>
      <x:c r="M140" s="9"/>
      <x:c r="N140" s="9"/>
      <x:c r="O140" s="9"/>
      <x:c r="P140" s="9"/>
      <x:c r="Q140" s="9"/>
      <x:c r="R140" s="12" t="str">
        <x:f>IF(A140="","",IF(B140="","À compléter",IF(COUNTIFS($A$6:$A$505,A140,$B$6:$B$505,B140)&gt;1,"Doublon ville/mois",IF(OR(AND(ISNUMBER(H140),ISNUMBER(I140),I140&gt;H140),AND(ISNUMBER(M140),ISNUMBER(N140),N140&gt;M140),AND(ISNUMBER(O140),ISNUMBER(P140),P140&gt;O140)),"Incohérent",""))))</x:f>
      </x:c>
    </x:row>
    <x:row r="141" ht="23" customHeight="1">
      <x:c r="A141" s="9"/>
      <x:c r="B141" s="11"/>
      <x:c r="C141" s="10"/>
      <x:c r="D141" s="9"/>
      <x:c r="E141" s="9"/>
      <x:c r="F141" s="9"/>
      <x:c r="G141" s="9"/>
      <x:c r="H141" s="9"/>
      <x:c r="I141" s="9"/>
      <x:c r="J141" s="9"/>
      <x:c r="K141" s="9"/>
      <x:c r="L141" s="10"/>
      <x:c r="M141" s="9"/>
      <x:c r="N141" s="9"/>
      <x:c r="O141" s="9"/>
      <x:c r="P141" s="9"/>
      <x:c r="Q141" s="9"/>
      <x:c r="R141" s="12" t="str">
        <x:f>IF(A141="","",IF(B141="","À compléter",IF(COUNTIFS($A$6:$A$505,A141,$B$6:$B$505,B141)&gt;1,"Doublon ville/mois",IF(OR(AND(ISNUMBER(H141),ISNUMBER(I141),I141&gt;H141),AND(ISNUMBER(M141),ISNUMBER(N141),N141&gt;M141),AND(ISNUMBER(O141),ISNUMBER(P141),P141&gt;O141)),"Incohérent",""))))</x:f>
      </x:c>
    </x:row>
    <x:row r="142" ht="23" customHeight="1">
      <x:c r="A142" s="9"/>
      <x:c r="B142" s="11"/>
      <x:c r="C142" s="10"/>
      <x:c r="D142" s="9"/>
      <x:c r="E142" s="9"/>
      <x:c r="F142" s="9"/>
      <x:c r="G142" s="9"/>
      <x:c r="H142" s="9"/>
      <x:c r="I142" s="9"/>
      <x:c r="J142" s="9"/>
      <x:c r="K142" s="9"/>
      <x:c r="L142" s="10"/>
      <x:c r="M142" s="9"/>
      <x:c r="N142" s="9"/>
      <x:c r="O142" s="9"/>
      <x:c r="P142" s="9"/>
      <x:c r="Q142" s="9"/>
      <x:c r="R142" s="12" t="str">
        <x:f>IF(A142="","",IF(B142="","À compléter",IF(COUNTIFS($A$6:$A$505,A142,$B$6:$B$505,B142)&gt;1,"Doublon ville/mois",IF(OR(AND(ISNUMBER(H142),ISNUMBER(I142),I142&gt;H142),AND(ISNUMBER(M142),ISNUMBER(N142),N142&gt;M142),AND(ISNUMBER(O142),ISNUMBER(P142),P142&gt;O142)),"Incohérent",""))))</x:f>
      </x:c>
    </x:row>
    <x:row r="143" ht="23" customHeight="1">
      <x:c r="A143" s="9"/>
      <x:c r="B143" s="11"/>
      <x:c r="C143" s="10"/>
      <x:c r="D143" s="9"/>
      <x:c r="E143" s="9"/>
      <x:c r="F143" s="9"/>
      <x:c r="G143" s="9"/>
      <x:c r="H143" s="9"/>
      <x:c r="I143" s="9"/>
      <x:c r="J143" s="9"/>
      <x:c r="K143" s="9"/>
      <x:c r="L143" s="10"/>
      <x:c r="M143" s="9"/>
      <x:c r="N143" s="9"/>
      <x:c r="O143" s="9"/>
      <x:c r="P143" s="9"/>
      <x:c r="Q143" s="9"/>
      <x:c r="R143" s="12" t="str">
        <x:f>IF(A143="","",IF(B143="","À compléter",IF(COUNTIFS($A$6:$A$505,A143,$B$6:$B$505,B143)&gt;1,"Doublon ville/mois",IF(OR(AND(ISNUMBER(H143),ISNUMBER(I143),I143&gt;H143),AND(ISNUMBER(M143),ISNUMBER(N143),N143&gt;M143),AND(ISNUMBER(O143),ISNUMBER(P143),P143&gt;O143)),"Incohérent",""))))</x:f>
      </x:c>
    </x:row>
    <x:row r="144" ht="23" customHeight="1">
      <x:c r="A144" s="9"/>
      <x:c r="B144" s="11"/>
      <x:c r="C144" s="10"/>
      <x:c r="D144" s="9"/>
      <x:c r="E144" s="9"/>
      <x:c r="F144" s="9"/>
      <x:c r="G144" s="9"/>
      <x:c r="H144" s="9"/>
      <x:c r="I144" s="9"/>
      <x:c r="J144" s="9"/>
      <x:c r="K144" s="9"/>
      <x:c r="L144" s="10"/>
      <x:c r="M144" s="9"/>
      <x:c r="N144" s="9"/>
      <x:c r="O144" s="9"/>
      <x:c r="P144" s="9"/>
      <x:c r="Q144" s="9"/>
      <x:c r="R144" s="12" t="str">
        <x:f>IF(A144="","",IF(B144="","À compléter",IF(COUNTIFS($A$6:$A$505,A144,$B$6:$B$505,B144)&gt;1,"Doublon ville/mois",IF(OR(AND(ISNUMBER(H144),ISNUMBER(I144),I144&gt;H144),AND(ISNUMBER(M144),ISNUMBER(N144),N144&gt;M144),AND(ISNUMBER(O144),ISNUMBER(P144),P144&gt;O144)),"Incohérent",""))))</x:f>
      </x:c>
    </x:row>
    <x:row r="145" ht="23" customHeight="1">
      <x:c r="A145" s="9"/>
      <x:c r="B145" s="11"/>
      <x:c r="C145" s="10"/>
      <x:c r="D145" s="9"/>
      <x:c r="E145" s="9"/>
      <x:c r="F145" s="9"/>
      <x:c r="G145" s="9"/>
      <x:c r="H145" s="9"/>
      <x:c r="I145" s="9"/>
      <x:c r="J145" s="9"/>
      <x:c r="K145" s="9"/>
      <x:c r="L145" s="10"/>
      <x:c r="M145" s="9"/>
      <x:c r="N145" s="9"/>
      <x:c r="O145" s="9"/>
      <x:c r="P145" s="9"/>
      <x:c r="Q145" s="9"/>
      <x:c r="R145" s="12" t="str">
        <x:f>IF(A145="","",IF(B145="","À compléter",IF(COUNTIFS($A$6:$A$505,A145,$B$6:$B$505,B145)&gt;1,"Doublon ville/mois",IF(OR(AND(ISNUMBER(H145),ISNUMBER(I145),I145&gt;H145),AND(ISNUMBER(M145),ISNUMBER(N145),N145&gt;M145),AND(ISNUMBER(O145),ISNUMBER(P145),P145&gt;O145)),"Incohérent",""))))</x:f>
      </x:c>
    </x:row>
    <x:row r="146" ht="23" customHeight="1">
      <x:c r="A146" s="9"/>
      <x:c r="B146" s="11"/>
      <x:c r="C146" s="10"/>
      <x:c r="D146" s="9"/>
      <x:c r="E146" s="9"/>
      <x:c r="F146" s="9"/>
      <x:c r="G146" s="9"/>
      <x:c r="H146" s="9"/>
      <x:c r="I146" s="9"/>
      <x:c r="J146" s="9"/>
      <x:c r="K146" s="9"/>
      <x:c r="L146" s="10"/>
      <x:c r="M146" s="9"/>
      <x:c r="N146" s="9"/>
      <x:c r="O146" s="9"/>
      <x:c r="P146" s="9"/>
      <x:c r="Q146" s="9"/>
      <x:c r="R146" s="12" t="str">
        <x:f>IF(A146="","",IF(B146="","À compléter",IF(COUNTIFS($A$6:$A$505,A146,$B$6:$B$505,B146)&gt;1,"Doublon ville/mois",IF(OR(AND(ISNUMBER(H146),ISNUMBER(I146),I146&gt;H146),AND(ISNUMBER(M146),ISNUMBER(N146),N146&gt;M146),AND(ISNUMBER(O146),ISNUMBER(P146),P146&gt;O146)),"Incohérent",""))))</x:f>
      </x:c>
    </x:row>
    <x:row r="147" ht="23" customHeight="1">
      <x:c r="A147" s="9"/>
      <x:c r="B147" s="11"/>
      <x:c r="C147" s="10"/>
      <x:c r="D147" s="9"/>
      <x:c r="E147" s="9"/>
      <x:c r="F147" s="9"/>
      <x:c r="G147" s="9"/>
      <x:c r="H147" s="9"/>
      <x:c r="I147" s="9"/>
      <x:c r="J147" s="9"/>
      <x:c r="K147" s="9"/>
      <x:c r="L147" s="10"/>
      <x:c r="M147" s="9"/>
      <x:c r="N147" s="9"/>
      <x:c r="O147" s="9"/>
      <x:c r="P147" s="9"/>
      <x:c r="Q147" s="9"/>
      <x:c r="R147" s="12" t="str">
        <x:f>IF(A147="","",IF(B147="","À compléter",IF(COUNTIFS($A$6:$A$505,A147,$B$6:$B$505,B147)&gt;1,"Doublon ville/mois",IF(OR(AND(ISNUMBER(H147),ISNUMBER(I147),I147&gt;H147),AND(ISNUMBER(M147),ISNUMBER(N147),N147&gt;M147),AND(ISNUMBER(O147),ISNUMBER(P147),P147&gt;O147)),"Incohérent",""))))</x:f>
      </x:c>
    </x:row>
    <x:row r="148" ht="23" customHeight="1">
      <x:c r="A148" s="9"/>
      <x:c r="B148" s="11"/>
      <x:c r="C148" s="10"/>
      <x:c r="D148" s="9"/>
      <x:c r="E148" s="9"/>
      <x:c r="F148" s="9"/>
      <x:c r="G148" s="9"/>
      <x:c r="H148" s="9"/>
      <x:c r="I148" s="9"/>
      <x:c r="J148" s="9"/>
      <x:c r="K148" s="9"/>
      <x:c r="L148" s="10"/>
      <x:c r="M148" s="9"/>
      <x:c r="N148" s="9"/>
      <x:c r="O148" s="9"/>
      <x:c r="P148" s="9"/>
      <x:c r="Q148" s="9"/>
      <x:c r="R148" s="12" t="str">
        <x:f>IF(A148="","",IF(B148="","À compléter",IF(COUNTIFS($A$6:$A$505,A148,$B$6:$B$505,B148)&gt;1,"Doublon ville/mois",IF(OR(AND(ISNUMBER(H148),ISNUMBER(I148),I148&gt;H148),AND(ISNUMBER(M148),ISNUMBER(N148),N148&gt;M148),AND(ISNUMBER(O148),ISNUMBER(P148),P148&gt;O148)),"Incohérent",""))))</x:f>
      </x:c>
    </x:row>
    <x:row r="149" ht="23" customHeight="1">
      <x:c r="A149" s="9"/>
      <x:c r="B149" s="11"/>
      <x:c r="C149" s="10"/>
      <x:c r="D149" s="9"/>
      <x:c r="E149" s="9"/>
      <x:c r="F149" s="9"/>
      <x:c r="G149" s="9"/>
      <x:c r="H149" s="9"/>
      <x:c r="I149" s="9"/>
      <x:c r="J149" s="9"/>
      <x:c r="K149" s="9"/>
      <x:c r="L149" s="10"/>
      <x:c r="M149" s="9"/>
      <x:c r="N149" s="9"/>
      <x:c r="O149" s="9"/>
      <x:c r="P149" s="9"/>
      <x:c r="Q149" s="9"/>
      <x:c r="R149" s="12" t="str">
        <x:f>IF(A149="","",IF(B149="","À compléter",IF(COUNTIFS($A$6:$A$505,A149,$B$6:$B$505,B149)&gt;1,"Doublon ville/mois",IF(OR(AND(ISNUMBER(H149),ISNUMBER(I149),I149&gt;H149),AND(ISNUMBER(M149),ISNUMBER(N149),N149&gt;M149),AND(ISNUMBER(O149),ISNUMBER(P149),P149&gt;O149)),"Incohérent",""))))</x:f>
      </x:c>
    </x:row>
    <x:row r="150" ht="23" customHeight="1">
      <x:c r="A150" s="9"/>
      <x:c r="B150" s="11"/>
      <x:c r="C150" s="10"/>
      <x:c r="D150" s="9"/>
      <x:c r="E150" s="9"/>
      <x:c r="F150" s="9"/>
      <x:c r="G150" s="9"/>
      <x:c r="H150" s="9"/>
      <x:c r="I150" s="9"/>
      <x:c r="J150" s="9"/>
      <x:c r="K150" s="9"/>
      <x:c r="L150" s="10"/>
      <x:c r="M150" s="9"/>
      <x:c r="N150" s="9"/>
      <x:c r="O150" s="9"/>
      <x:c r="P150" s="9"/>
      <x:c r="Q150" s="9"/>
      <x:c r="R150" s="12" t="str">
        <x:f>IF(A150="","",IF(B150="","À compléter",IF(COUNTIFS($A$6:$A$505,A150,$B$6:$B$505,B150)&gt;1,"Doublon ville/mois",IF(OR(AND(ISNUMBER(H150),ISNUMBER(I150),I150&gt;H150),AND(ISNUMBER(M150),ISNUMBER(N150),N150&gt;M150),AND(ISNUMBER(O150),ISNUMBER(P150),P150&gt;O150)),"Incohérent",""))))</x:f>
      </x:c>
    </x:row>
    <x:row r="151" ht="23" customHeight="1">
      <x:c r="A151" s="9"/>
      <x:c r="B151" s="11"/>
      <x:c r="C151" s="10"/>
      <x:c r="D151" s="9"/>
      <x:c r="E151" s="9"/>
      <x:c r="F151" s="9"/>
      <x:c r="G151" s="9"/>
      <x:c r="H151" s="9"/>
      <x:c r="I151" s="9"/>
      <x:c r="J151" s="9"/>
      <x:c r="K151" s="9"/>
      <x:c r="L151" s="10"/>
      <x:c r="M151" s="9"/>
      <x:c r="N151" s="9"/>
      <x:c r="O151" s="9"/>
      <x:c r="P151" s="9"/>
      <x:c r="Q151" s="9"/>
      <x:c r="R151" s="12" t="str">
        <x:f>IF(A151="","",IF(B151="","À compléter",IF(COUNTIFS($A$6:$A$505,A151,$B$6:$B$505,B151)&gt;1,"Doublon ville/mois",IF(OR(AND(ISNUMBER(H151),ISNUMBER(I151),I151&gt;H151),AND(ISNUMBER(M151),ISNUMBER(N151),N151&gt;M151),AND(ISNUMBER(O151),ISNUMBER(P151),P151&gt;O151)),"Incohérent",""))))</x:f>
      </x:c>
    </x:row>
    <x:row r="152" ht="23" customHeight="1">
      <x:c r="A152" s="9"/>
      <x:c r="B152" s="11"/>
      <x:c r="C152" s="10"/>
      <x:c r="D152" s="9"/>
      <x:c r="E152" s="9"/>
      <x:c r="F152" s="9"/>
      <x:c r="G152" s="9"/>
      <x:c r="H152" s="9"/>
      <x:c r="I152" s="9"/>
      <x:c r="J152" s="9"/>
      <x:c r="K152" s="9"/>
      <x:c r="L152" s="10"/>
      <x:c r="M152" s="9"/>
      <x:c r="N152" s="9"/>
      <x:c r="O152" s="9"/>
      <x:c r="P152" s="9"/>
      <x:c r="Q152" s="9"/>
      <x:c r="R152" s="12" t="str">
        <x:f>IF(A152="","",IF(B152="","À compléter",IF(COUNTIFS($A$6:$A$505,A152,$B$6:$B$505,B152)&gt;1,"Doublon ville/mois",IF(OR(AND(ISNUMBER(H152),ISNUMBER(I152),I152&gt;H152),AND(ISNUMBER(M152),ISNUMBER(N152),N152&gt;M152),AND(ISNUMBER(O152),ISNUMBER(P152),P152&gt;O152)),"Incohérent",""))))</x:f>
      </x:c>
    </x:row>
    <x:row r="153" ht="23" customHeight="1">
      <x:c r="A153" s="9"/>
      <x:c r="B153" s="11"/>
      <x:c r="C153" s="10"/>
      <x:c r="D153" s="9"/>
      <x:c r="E153" s="9"/>
      <x:c r="F153" s="9"/>
      <x:c r="G153" s="9"/>
      <x:c r="H153" s="9"/>
      <x:c r="I153" s="9"/>
      <x:c r="J153" s="9"/>
      <x:c r="K153" s="9"/>
      <x:c r="L153" s="10"/>
      <x:c r="M153" s="9"/>
      <x:c r="N153" s="9"/>
      <x:c r="O153" s="9"/>
      <x:c r="P153" s="9"/>
      <x:c r="Q153" s="9"/>
      <x:c r="R153" s="12" t="str">
        <x:f>IF(A153="","",IF(B153="","À compléter",IF(COUNTIFS($A$6:$A$505,A153,$B$6:$B$505,B153)&gt;1,"Doublon ville/mois",IF(OR(AND(ISNUMBER(H153),ISNUMBER(I153),I153&gt;H153),AND(ISNUMBER(M153),ISNUMBER(N153),N153&gt;M153),AND(ISNUMBER(O153),ISNUMBER(P153),P153&gt;O153)),"Incohérent",""))))</x:f>
      </x:c>
    </x:row>
    <x:row r="154" ht="23" customHeight="1">
      <x:c r="A154" s="9"/>
      <x:c r="B154" s="11"/>
      <x:c r="C154" s="10"/>
      <x:c r="D154" s="9"/>
      <x:c r="E154" s="9"/>
      <x:c r="F154" s="9"/>
      <x:c r="G154" s="9"/>
      <x:c r="H154" s="9"/>
      <x:c r="I154" s="9"/>
      <x:c r="J154" s="9"/>
      <x:c r="K154" s="9"/>
      <x:c r="L154" s="10"/>
      <x:c r="M154" s="9"/>
      <x:c r="N154" s="9"/>
      <x:c r="O154" s="9"/>
      <x:c r="P154" s="9"/>
      <x:c r="Q154" s="9"/>
      <x:c r="R154" s="12" t="str">
        <x:f>IF(A154="","",IF(B154="","À compléter",IF(COUNTIFS($A$6:$A$505,A154,$B$6:$B$505,B154)&gt;1,"Doublon ville/mois",IF(OR(AND(ISNUMBER(H154),ISNUMBER(I154),I154&gt;H154),AND(ISNUMBER(M154),ISNUMBER(N154),N154&gt;M154),AND(ISNUMBER(O154),ISNUMBER(P154),P154&gt;O154)),"Incohérent",""))))</x:f>
      </x:c>
    </x:row>
    <x:row r="155" ht="23" customHeight="1">
      <x:c r="A155" s="9"/>
      <x:c r="B155" s="11"/>
      <x:c r="C155" s="10"/>
      <x:c r="D155" s="9"/>
      <x:c r="E155" s="9"/>
      <x:c r="F155" s="9"/>
      <x:c r="G155" s="9"/>
      <x:c r="H155" s="9"/>
      <x:c r="I155" s="9"/>
      <x:c r="J155" s="9"/>
      <x:c r="K155" s="9"/>
      <x:c r="L155" s="10"/>
      <x:c r="M155" s="9"/>
      <x:c r="N155" s="9"/>
      <x:c r="O155" s="9"/>
      <x:c r="P155" s="9"/>
      <x:c r="Q155" s="9"/>
      <x:c r="R155" s="12" t="str">
        <x:f>IF(A155="","",IF(B155="","À compléter",IF(COUNTIFS($A$6:$A$505,A155,$B$6:$B$505,B155)&gt;1,"Doublon ville/mois",IF(OR(AND(ISNUMBER(H155),ISNUMBER(I155),I155&gt;H155),AND(ISNUMBER(M155),ISNUMBER(N155),N155&gt;M155),AND(ISNUMBER(O155),ISNUMBER(P155),P155&gt;O155)),"Incohérent",""))))</x:f>
      </x:c>
    </x:row>
    <x:row r="156" ht="23" customHeight="1">
      <x:c r="A156" s="9"/>
      <x:c r="B156" s="11"/>
      <x:c r="C156" s="10"/>
      <x:c r="D156" s="9"/>
      <x:c r="E156" s="9"/>
      <x:c r="F156" s="9"/>
      <x:c r="G156" s="9"/>
      <x:c r="H156" s="9"/>
      <x:c r="I156" s="9"/>
      <x:c r="J156" s="9"/>
      <x:c r="K156" s="9"/>
      <x:c r="L156" s="10"/>
      <x:c r="M156" s="9"/>
      <x:c r="N156" s="9"/>
      <x:c r="O156" s="9"/>
      <x:c r="P156" s="9"/>
      <x:c r="Q156" s="9"/>
      <x:c r="R156" s="12" t="str">
        <x:f>IF(A156="","",IF(B156="","À compléter",IF(COUNTIFS($A$6:$A$505,A156,$B$6:$B$505,B156)&gt;1,"Doublon ville/mois",IF(OR(AND(ISNUMBER(H156),ISNUMBER(I156),I156&gt;H156),AND(ISNUMBER(M156),ISNUMBER(N156),N156&gt;M156),AND(ISNUMBER(O156),ISNUMBER(P156),P156&gt;O156)),"Incohérent",""))))</x:f>
      </x:c>
    </x:row>
    <x:row r="157" ht="23" customHeight="1">
      <x:c r="A157" s="9"/>
      <x:c r="B157" s="11"/>
      <x:c r="C157" s="10"/>
      <x:c r="D157" s="9"/>
      <x:c r="E157" s="9"/>
      <x:c r="F157" s="9"/>
      <x:c r="G157" s="9"/>
      <x:c r="H157" s="9"/>
      <x:c r="I157" s="9"/>
      <x:c r="J157" s="9"/>
      <x:c r="K157" s="9"/>
      <x:c r="L157" s="10"/>
      <x:c r="M157" s="9"/>
      <x:c r="N157" s="9"/>
      <x:c r="O157" s="9"/>
      <x:c r="P157" s="9"/>
      <x:c r="Q157" s="9"/>
      <x:c r="R157" s="12" t="str">
        <x:f>IF(A157="","",IF(B157="","À compléter",IF(COUNTIFS($A$6:$A$505,A157,$B$6:$B$505,B157)&gt;1,"Doublon ville/mois",IF(OR(AND(ISNUMBER(H157),ISNUMBER(I157),I157&gt;H157),AND(ISNUMBER(M157),ISNUMBER(N157),N157&gt;M157),AND(ISNUMBER(O157),ISNUMBER(P157),P157&gt;O157)),"Incohérent",""))))</x:f>
      </x:c>
    </x:row>
    <x:row r="158" ht="23" customHeight="1">
      <x:c r="A158" s="9"/>
      <x:c r="B158" s="11"/>
      <x:c r="C158" s="10"/>
      <x:c r="D158" s="9"/>
      <x:c r="E158" s="9"/>
      <x:c r="F158" s="9"/>
      <x:c r="G158" s="9"/>
      <x:c r="H158" s="9"/>
      <x:c r="I158" s="9"/>
      <x:c r="J158" s="9"/>
      <x:c r="K158" s="9"/>
      <x:c r="L158" s="10"/>
      <x:c r="M158" s="9"/>
      <x:c r="N158" s="9"/>
      <x:c r="O158" s="9"/>
      <x:c r="P158" s="9"/>
      <x:c r="Q158" s="9"/>
      <x:c r="R158" s="12" t="str">
        <x:f>IF(A158="","",IF(B158="","À compléter",IF(COUNTIFS($A$6:$A$505,A158,$B$6:$B$505,B158)&gt;1,"Doublon ville/mois",IF(OR(AND(ISNUMBER(H158),ISNUMBER(I158),I158&gt;H158),AND(ISNUMBER(M158),ISNUMBER(N158),N158&gt;M158),AND(ISNUMBER(O158),ISNUMBER(P158),P158&gt;O158)),"Incohérent",""))))</x:f>
      </x:c>
    </x:row>
    <x:row r="159" ht="23" customHeight="1">
      <x:c r="A159" s="9"/>
      <x:c r="B159" s="11"/>
      <x:c r="C159" s="10"/>
      <x:c r="D159" s="9"/>
      <x:c r="E159" s="9"/>
      <x:c r="F159" s="9"/>
      <x:c r="G159" s="9"/>
      <x:c r="H159" s="9"/>
      <x:c r="I159" s="9"/>
      <x:c r="J159" s="9"/>
      <x:c r="K159" s="9"/>
      <x:c r="L159" s="10"/>
      <x:c r="M159" s="9"/>
      <x:c r="N159" s="9"/>
      <x:c r="O159" s="9"/>
      <x:c r="P159" s="9"/>
      <x:c r="Q159" s="9"/>
      <x:c r="R159" s="12" t="str">
        <x:f>IF(A159="","",IF(B159="","À compléter",IF(COUNTIFS($A$6:$A$505,A159,$B$6:$B$505,B159)&gt;1,"Doublon ville/mois",IF(OR(AND(ISNUMBER(H159),ISNUMBER(I159),I159&gt;H159),AND(ISNUMBER(M159),ISNUMBER(N159),N159&gt;M159),AND(ISNUMBER(O159),ISNUMBER(P159),P159&gt;O159)),"Incohérent",""))))</x:f>
      </x:c>
    </x:row>
    <x:row r="160" ht="23" customHeight="1">
      <x:c r="A160" s="9"/>
      <x:c r="B160" s="11"/>
      <x:c r="C160" s="10"/>
      <x:c r="D160" s="9"/>
      <x:c r="E160" s="9"/>
      <x:c r="F160" s="9"/>
      <x:c r="G160" s="9"/>
      <x:c r="H160" s="9"/>
      <x:c r="I160" s="9"/>
      <x:c r="J160" s="9"/>
      <x:c r="K160" s="9"/>
      <x:c r="L160" s="10"/>
      <x:c r="M160" s="9"/>
      <x:c r="N160" s="9"/>
      <x:c r="O160" s="9"/>
      <x:c r="P160" s="9"/>
      <x:c r="Q160" s="9"/>
      <x:c r="R160" s="12" t="str">
        <x:f>IF(A160="","",IF(B160="","À compléter",IF(COUNTIFS($A$6:$A$505,A160,$B$6:$B$505,B160)&gt;1,"Doublon ville/mois",IF(OR(AND(ISNUMBER(H160),ISNUMBER(I160),I160&gt;H160),AND(ISNUMBER(M160),ISNUMBER(N160),N160&gt;M160),AND(ISNUMBER(O160),ISNUMBER(P160),P160&gt;O160)),"Incohérent",""))))</x:f>
      </x:c>
    </x:row>
    <x:row r="161" ht="23" customHeight="1">
      <x:c r="A161" s="9"/>
      <x:c r="B161" s="11"/>
      <x:c r="C161" s="10"/>
      <x:c r="D161" s="9"/>
      <x:c r="E161" s="9"/>
      <x:c r="F161" s="9"/>
      <x:c r="G161" s="9"/>
      <x:c r="H161" s="9"/>
      <x:c r="I161" s="9"/>
      <x:c r="J161" s="9"/>
      <x:c r="K161" s="9"/>
      <x:c r="L161" s="10"/>
      <x:c r="M161" s="9"/>
      <x:c r="N161" s="9"/>
      <x:c r="O161" s="9"/>
      <x:c r="P161" s="9"/>
      <x:c r="Q161" s="9"/>
      <x:c r="R161" s="12" t="str">
        <x:f>IF(A161="","",IF(B161="","À compléter",IF(COUNTIFS($A$6:$A$505,A161,$B$6:$B$505,B161)&gt;1,"Doublon ville/mois",IF(OR(AND(ISNUMBER(H161),ISNUMBER(I161),I161&gt;H161),AND(ISNUMBER(M161),ISNUMBER(N161),N161&gt;M161),AND(ISNUMBER(O161),ISNUMBER(P161),P161&gt;O161)),"Incohérent",""))))</x:f>
      </x:c>
    </x:row>
    <x:row r="162" ht="23" customHeight="1">
      <x:c r="A162" s="9"/>
      <x:c r="B162" s="11"/>
      <x:c r="C162" s="10"/>
      <x:c r="D162" s="9"/>
      <x:c r="E162" s="9"/>
      <x:c r="F162" s="9"/>
      <x:c r="G162" s="9"/>
      <x:c r="H162" s="9"/>
      <x:c r="I162" s="9"/>
      <x:c r="J162" s="9"/>
      <x:c r="K162" s="9"/>
      <x:c r="L162" s="10"/>
      <x:c r="M162" s="9"/>
      <x:c r="N162" s="9"/>
      <x:c r="O162" s="9"/>
      <x:c r="P162" s="9"/>
      <x:c r="Q162" s="9"/>
      <x:c r="R162" s="12" t="str">
        <x:f>IF(A162="","",IF(B162="","À compléter",IF(COUNTIFS($A$6:$A$505,A162,$B$6:$B$505,B162)&gt;1,"Doublon ville/mois",IF(OR(AND(ISNUMBER(H162),ISNUMBER(I162),I162&gt;H162),AND(ISNUMBER(M162),ISNUMBER(N162),N162&gt;M162),AND(ISNUMBER(O162),ISNUMBER(P162),P162&gt;O162)),"Incohérent",""))))</x:f>
      </x:c>
    </x:row>
    <x:row r="163" ht="23" customHeight="1">
      <x:c r="A163" s="9"/>
      <x:c r="B163" s="11"/>
      <x:c r="C163" s="10"/>
      <x:c r="D163" s="9"/>
      <x:c r="E163" s="9"/>
      <x:c r="F163" s="9"/>
      <x:c r="G163" s="9"/>
      <x:c r="H163" s="9"/>
      <x:c r="I163" s="9"/>
      <x:c r="J163" s="9"/>
      <x:c r="K163" s="9"/>
      <x:c r="L163" s="10"/>
      <x:c r="M163" s="9"/>
      <x:c r="N163" s="9"/>
      <x:c r="O163" s="9"/>
      <x:c r="P163" s="9"/>
      <x:c r="Q163" s="9"/>
      <x:c r="R163" s="12" t="str">
        <x:f>IF(A163="","",IF(B163="","À compléter",IF(COUNTIFS($A$6:$A$505,A163,$B$6:$B$505,B163)&gt;1,"Doublon ville/mois",IF(OR(AND(ISNUMBER(H163),ISNUMBER(I163),I163&gt;H163),AND(ISNUMBER(M163),ISNUMBER(N163),N163&gt;M163),AND(ISNUMBER(O163),ISNUMBER(P163),P163&gt;O163)),"Incohérent",""))))</x:f>
      </x:c>
    </x:row>
    <x:row r="164" ht="23" customHeight="1">
      <x:c r="A164" s="9"/>
      <x:c r="B164" s="11"/>
      <x:c r="C164" s="10"/>
      <x:c r="D164" s="9"/>
      <x:c r="E164" s="9"/>
      <x:c r="F164" s="9"/>
      <x:c r="G164" s="9"/>
      <x:c r="H164" s="9"/>
      <x:c r="I164" s="9"/>
      <x:c r="J164" s="9"/>
      <x:c r="K164" s="9"/>
      <x:c r="L164" s="10"/>
      <x:c r="M164" s="9"/>
      <x:c r="N164" s="9"/>
      <x:c r="O164" s="9"/>
      <x:c r="P164" s="9"/>
      <x:c r="Q164" s="9"/>
      <x:c r="R164" s="12" t="str">
        <x:f>IF(A164="","",IF(B164="","À compléter",IF(COUNTIFS($A$6:$A$505,A164,$B$6:$B$505,B164)&gt;1,"Doublon ville/mois",IF(OR(AND(ISNUMBER(H164),ISNUMBER(I164),I164&gt;H164),AND(ISNUMBER(M164),ISNUMBER(N164),N164&gt;M164),AND(ISNUMBER(O164),ISNUMBER(P164),P164&gt;O164)),"Incohérent",""))))</x:f>
      </x:c>
    </x:row>
    <x:row r="165" ht="23" customHeight="1">
      <x:c r="A165" s="9"/>
      <x:c r="B165" s="11"/>
      <x:c r="C165" s="10"/>
      <x:c r="D165" s="9"/>
      <x:c r="E165" s="9"/>
      <x:c r="F165" s="9"/>
      <x:c r="G165" s="9"/>
      <x:c r="H165" s="9"/>
      <x:c r="I165" s="9"/>
      <x:c r="J165" s="9"/>
      <x:c r="K165" s="9"/>
      <x:c r="L165" s="10"/>
      <x:c r="M165" s="9"/>
      <x:c r="N165" s="9"/>
      <x:c r="O165" s="9"/>
      <x:c r="P165" s="9"/>
      <x:c r="Q165" s="9"/>
      <x:c r="R165" s="12" t="str">
        <x:f>IF(A165="","",IF(B165="","À compléter",IF(COUNTIFS($A$6:$A$505,A165,$B$6:$B$505,B165)&gt;1,"Doublon ville/mois",IF(OR(AND(ISNUMBER(H165),ISNUMBER(I165),I165&gt;H165),AND(ISNUMBER(M165),ISNUMBER(N165),N165&gt;M165),AND(ISNUMBER(O165),ISNUMBER(P165),P165&gt;O165)),"Incohérent",""))))</x:f>
      </x:c>
    </x:row>
    <x:row r="166" ht="23" customHeight="1">
      <x:c r="A166" s="9"/>
      <x:c r="B166" s="11"/>
      <x:c r="C166" s="10"/>
      <x:c r="D166" s="9"/>
      <x:c r="E166" s="9"/>
      <x:c r="F166" s="9"/>
      <x:c r="G166" s="9"/>
      <x:c r="H166" s="9"/>
      <x:c r="I166" s="9"/>
      <x:c r="J166" s="9"/>
      <x:c r="K166" s="9"/>
      <x:c r="L166" s="10"/>
      <x:c r="M166" s="9"/>
      <x:c r="N166" s="9"/>
      <x:c r="O166" s="9"/>
      <x:c r="P166" s="9"/>
      <x:c r="Q166" s="9"/>
      <x:c r="R166" s="12" t="str">
        <x:f>IF(A166="","",IF(B166="","À compléter",IF(COUNTIFS($A$6:$A$505,A166,$B$6:$B$505,B166)&gt;1,"Doublon ville/mois",IF(OR(AND(ISNUMBER(H166),ISNUMBER(I166),I166&gt;H166),AND(ISNUMBER(M166),ISNUMBER(N166),N166&gt;M166),AND(ISNUMBER(O166),ISNUMBER(P166),P166&gt;O166)),"Incohérent",""))))</x:f>
      </x:c>
    </x:row>
    <x:row r="167" ht="23" customHeight="1">
      <x:c r="A167" s="9"/>
      <x:c r="B167" s="11"/>
      <x:c r="C167" s="10"/>
      <x:c r="D167" s="9"/>
      <x:c r="E167" s="9"/>
      <x:c r="F167" s="9"/>
      <x:c r="G167" s="9"/>
      <x:c r="H167" s="9"/>
      <x:c r="I167" s="9"/>
      <x:c r="J167" s="9"/>
      <x:c r="K167" s="9"/>
      <x:c r="L167" s="10"/>
      <x:c r="M167" s="9"/>
      <x:c r="N167" s="9"/>
      <x:c r="O167" s="9"/>
      <x:c r="P167" s="9"/>
      <x:c r="Q167" s="9"/>
      <x:c r="R167" s="12" t="str">
        <x:f>IF(A167="","",IF(B167="","À compléter",IF(COUNTIFS($A$6:$A$505,A167,$B$6:$B$505,B167)&gt;1,"Doublon ville/mois",IF(OR(AND(ISNUMBER(H167),ISNUMBER(I167),I167&gt;H167),AND(ISNUMBER(M167),ISNUMBER(N167),N167&gt;M167),AND(ISNUMBER(O167),ISNUMBER(P167),P167&gt;O167)),"Incohérent",""))))</x:f>
      </x:c>
    </x:row>
    <x:row r="168" ht="23" customHeight="1">
      <x:c r="A168" s="9"/>
      <x:c r="B168" s="11"/>
      <x:c r="C168" s="10"/>
      <x:c r="D168" s="9"/>
      <x:c r="E168" s="9"/>
      <x:c r="F168" s="9"/>
      <x:c r="G168" s="9"/>
      <x:c r="H168" s="9"/>
      <x:c r="I168" s="9"/>
      <x:c r="J168" s="9"/>
      <x:c r="K168" s="9"/>
      <x:c r="L168" s="10"/>
      <x:c r="M168" s="9"/>
      <x:c r="N168" s="9"/>
      <x:c r="O168" s="9"/>
      <x:c r="P168" s="9"/>
      <x:c r="Q168" s="9"/>
      <x:c r="R168" s="12" t="str">
        <x:f>IF(A168="","",IF(B168="","À compléter",IF(COUNTIFS($A$6:$A$505,A168,$B$6:$B$505,B168)&gt;1,"Doublon ville/mois",IF(OR(AND(ISNUMBER(H168),ISNUMBER(I168),I168&gt;H168),AND(ISNUMBER(M168),ISNUMBER(N168),N168&gt;M168),AND(ISNUMBER(O168),ISNUMBER(P168),P168&gt;O168)),"Incohérent",""))))</x:f>
      </x:c>
    </x:row>
    <x:row r="169" ht="23" customHeight="1">
      <x:c r="A169" s="9"/>
      <x:c r="B169" s="11"/>
      <x:c r="C169" s="10"/>
      <x:c r="D169" s="9"/>
      <x:c r="E169" s="9"/>
      <x:c r="F169" s="9"/>
      <x:c r="G169" s="9"/>
      <x:c r="H169" s="9"/>
      <x:c r="I169" s="9"/>
      <x:c r="J169" s="9"/>
      <x:c r="K169" s="9"/>
      <x:c r="L169" s="10"/>
      <x:c r="M169" s="9"/>
      <x:c r="N169" s="9"/>
      <x:c r="O169" s="9"/>
      <x:c r="P169" s="9"/>
      <x:c r="Q169" s="9"/>
      <x:c r="R169" s="12" t="str">
        <x:f>IF(A169="","",IF(B169="","À compléter",IF(COUNTIFS($A$6:$A$505,A169,$B$6:$B$505,B169)&gt;1,"Doublon ville/mois",IF(OR(AND(ISNUMBER(H169),ISNUMBER(I169),I169&gt;H169),AND(ISNUMBER(M169),ISNUMBER(N169),N169&gt;M169),AND(ISNUMBER(O169),ISNUMBER(P169),P169&gt;O169)),"Incohérent",""))))</x:f>
      </x:c>
    </x:row>
    <x:row r="170" ht="23" customHeight="1">
      <x:c r="A170" s="9"/>
      <x:c r="B170" s="11"/>
      <x:c r="C170" s="10"/>
      <x:c r="D170" s="9"/>
      <x:c r="E170" s="9"/>
      <x:c r="F170" s="9"/>
      <x:c r="G170" s="9"/>
      <x:c r="H170" s="9"/>
      <x:c r="I170" s="9"/>
      <x:c r="J170" s="9"/>
      <x:c r="K170" s="9"/>
      <x:c r="L170" s="10"/>
      <x:c r="M170" s="9"/>
      <x:c r="N170" s="9"/>
      <x:c r="O170" s="9"/>
      <x:c r="P170" s="9"/>
      <x:c r="Q170" s="9"/>
      <x:c r="R170" s="12" t="str">
        <x:f>IF(A170="","",IF(B170="","À compléter",IF(COUNTIFS($A$6:$A$505,A170,$B$6:$B$505,B170)&gt;1,"Doublon ville/mois",IF(OR(AND(ISNUMBER(H170),ISNUMBER(I170),I170&gt;H170),AND(ISNUMBER(M170),ISNUMBER(N170),N170&gt;M170),AND(ISNUMBER(O170),ISNUMBER(P170),P170&gt;O170)),"Incohérent",""))))</x:f>
      </x:c>
    </x:row>
    <x:row r="171" ht="23" customHeight="1">
      <x:c r="A171" s="9"/>
      <x:c r="B171" s="11"/>
      <x:c r="C171" s="10"/>
      <x:c r="D171" s="9"/>
      <x:c r="E171" s="9"/>
      <x:c r="F171" s="9"/>
      <x:c r="G171" s="9"/>
      <x:c r="H171" s="9"/>
      <x:c r="I171" s="9"/>
      <x:c r="J171" s="9"/>
      <x:c r="K171" s="9"/>
      <x:c r="L171" s="10"/>
      <x:c r="M171" s="9"/>
      <x:c r="N171" s="9"/>
      <x:c r="O171" s="9"/>
      <x:c r="P171" s="9"/>
      <x:c r="Q171" s="9"/>
      <x:c r="R171" s="12" t="str">
        <x:f>IF(A171="","",IF(B171="","À compléter",IF(COUNTIFS($A$6:$A$505,A171,$B$6:$B$505,B171)&gt;1,"Doublon ville/mois",IF(OR(AND(ISNUMBER(H171),ISNUMBER(I171),I171&gt;H171),AND(ISNUMBER(M171),ISNUMBER(N171),N171&gt;M171),AND(ISNUMBER(O171),ISNUMBER(P171),P171&gt;O171)),"Incohérent",""))))</x:f>
      </x:c>
    </x:row>
    <x:row r="172" ht="23" customHeight="1">
      <x:c r="A172" s="9"/>
      <x:c r="B172" s="11"/>
      <x:c r="C172" s="10"/>
      <x:c r="D172" s="9"/>
      <x:c r="E172" s="9"/>
      <x:c r="F172" s="9"/>
      <x:c r="G172" s="9"/>
      <x:c r="H172" s="9"/>
      <x:c r="I172" s="9"/>
      <x:c r="J172" s="9"/>
      <x:c r="K172" s="9"/>
      <x:c r="L172" s="10"/>
      <x:c r="M172" s="9"/>
      <x:c r="N172" s="9"/>
      <x:c r="O172" s="9"/>
      <x:c r="P172" s="9"/>
      <x:c r="Q172" s="9"/>
      <x:c r="R172" s="12" t="str">
        <x:f>IF(A172="","",IF(B172="","À compléter",IF(COUNTIFS($A$6:$A$505,A172,$B$6:$B$505,B172)&gt;1,"Doublon ville/mois",IF(OR(AND(ISNUMBER(H172),ISNUMBER(I172),I172&gt;H172),AND(ISNUMBER(M172),ISNUMBER(N172),N172&gt;M172),AND(ISNUMBER(O172),ISNUMBER(P172),P172&gt;O172)),"Incohérent",""))))</x:f>
      </x:c>
    </x:row>
    <x:row r="173" ht="23" customHeight="1">
      <x:c r="A173" s="9"/>
      <x:c r="B173" s="11"/>
      <x:c r="C173" s="10"/>
      <x:c r="D173" s="9"/>
      <x:c r="E173" s="9"/>
      <x:c r="F173" s="9"/>
      <x:c r="G173" s="9"/>
      <x:c r="H173" s="9"/>
      <x:c r="I173" s="9"/>
      <x:c r="J173" s="9"/>
      <x:c r="K173" s="9"/>
      <x:c r="L173" s="10"/>
      <x:c r="M173" s="9"/>
      <x:c r="N173" s="9"/>
      <x:c r="O173" s="9"/>
      <x:c r="P173" s="9"/>
      <x:c r="Q173" s="9"/>
      <x:c r="R173" s="12" t="str">
        <x:f>IF(A173="","",IF(B173="","À compléter",IF(COUNTIFS($A$6:$A$505,A173,$B$6:$B$505,B173)&gt;1,"Doublon ville/mois",IF(OR(AND(ISNUMBER(H173),ISNUMBER(I173),I173&gt;H173),AND(ISNUMBER(M173),ISNUMBER(N173),N173&gt;M173),AND(ISNUMBER(O173),ISNUMBER(P173),P173&gt;O173)),"Incohérent",""))))</x:f>
      </x:c>
    </x:row>
    <x:row r="174" ht="23" customHeight="1">
      <x:c r="A174" s="9"/>
      <x:c r="B174" s="11"/>
      <x:c r="C174" s="10"/>
      <x:c r="D174" s="9"/>
      <x:c r="E174" s="9"/>
      <x:c r="F174" s="9"/>
      <x:c r="G174" s="9"/>
      <x:c r="H174" s="9"/>
      <x:c r="I174" s="9"/>
      <x:c r="J174" s="9"/>
      <x:c r="K174" s="9"/>
      <x:c r="L174" s="10"/>
      <x:c r="M174" s="9"/>
      <x:c r="N174" s="9"/>
      <x:c r="O174" s="9"/>
      <x:c r="P174" s="9"/>
      <x:c r="Q174" s="9"/>
      <x:c r="R174" s="12" t="str">
        <x:f>IF(A174="","",IF(B174="","À compléter",IF(COUNTIFS($A$6:$A$505,A174,$B$6:$B$505,B174)&gt;1,"Doublon ville/mois",IF(OR(AND(ISNUMBER(H174),ISNUMBER(I174),I174&gt;H174),AND(ISNUMBER(M174),ISNUMBER(N174),N174&gt;M174),AND(ISNUMBER(O174),ISNUMBER(P174),P174&gt;O174)),"Incohérent",""))))</x:f>
      </x:c>
    </x:row>
    <x:row r="175" ht="23" customHeight="1">
      <x:c r="A175" s="9"/>
      <x:c r="B175" s="11"/>
      <x:c r="C175" s="10"/>
      <x:c r="D175" s="9"/>
      <x:c r="E175" s="9"/>
      <x:c r="F175" s="9"/>
      <x:c r="G175" s="9"/>
      <x:c r="H175" s="9"/>
      <x:c r="I175" s="9"/>
      <x:c r="J175" s="9"/>
      <x:c r="K175" s="9"/>
      <x:c r="L175" s="10"/>
      <x:c r="M175" s="9"/>
      <x:c r="N175" s="9"/>
      <x:c r="O175" s="9"/>
      <x:c r="P175" s="9"/>
      <x:c r="Q175" s="9"/>
      <x:c r="R175" s="12" t="str">
        <x:f>IF(A175="","",IF(B175="","À compléter",IF(COUNTIFS($A$6:$A$505,A175,$B$6:$B$505,B175)&gt;1,"Doublon ville/mois",IF(OR(AND(ISNUMBER(H175),ISNUMBER(I175),I175&gt;H175),AND(ISNUMBER(M175),ISNUMBER(N175),N175&gt;M175),AND(ISNUMBER(O175),ISNUMBER(P175),P175&gt;O175)),"Incohérent",""))))</x:f>
      </x:c>
    </x:row>
    <x:row r="176" ht="23" customHeight="1">
      <x:c r="A176" s="9"/>
      <x:c r="B176" s="11"/>
      <x:c r="C176" s="10"/>
      <x:c r="D176" s="9"/>
      <x:c r="E176" s="9"/>
      <x:c r="F176" s="9"/>
      <x:c r="G176" s="9"/>
      <x:c r="H176" s="9"/>
      <x:c r="I176" s="9"/>
      <x:c r="J176" s="9"/>
      <x:c r="K176" s="9"/>
      <x:c r="L176" s="10"/>
      <x:c r="M176" s="9"/>
      <x:c r="N176" s="9"/>
      <x:c r="O176" s="9"/>
      <x:c r="P176" s="9"/>
      <x:c r="Q176" s="9"/>
      <x:c r="R176" s="12" t="str">
        <x:f>IF(A176="","",IF(B176="","À compléter",IF(COUNTIFS($A$6:$A$505,A176,$B$6:$B$505,B176)&gt;1,"Doublon ville/mois",IF(OR(AND(ISNUMBER(H176),ISNUMBER(I176),I176&gt;H176),AND(ISNUMBER(M176),ISNUMBER(N176),N176&gt;M176),AND(ISNUMBER(O176),ISNUMBER(P176),P176&gt;O176)),"Incohérent",""))))</x:f>
      </x:c>
    </x:row>
    <x:row r="177" ht="23" customHeight="1">
      <x:c r="A177" s="9"/>
      <x:c r="B177" s="11"/>
      <x:c r="C177" s="10"/>
      <x:c r="D177" s="9"/>
      <x:c r="E177" s="9"/>
      <x:c r="F177" s="9"/>
      <x:c r="G177" s="9"/>
      <x:c r="H177" s="9"/>
      <x:c r="I177" s="9"/>
      <x:c r="J177" s="9"/>
      <x:c r="K177" s="9"/>
      <x:c r="L177" s="10"/>
      <x:c r="M177" s="9"/>
      <x:c r="N177" s="9"/>
      <x:c r="O177" s="9"/>
      <x:c r="P177" s="9"/>
      <x:c r="Q177" s="9"/>
      <x:c r="R177" s="12" t="str">
        <x:f>IF(A177="","",IF(B177="","À compléter",IF(COUNTIFS($A$6:$A$505,A177,$B$6:$B$505,B177)&gt;1,"Doublon ville/mois",IF(OR(AND(ISNUMBER(H177),ISNUMBER(I177),I177&gt;H177),AND(ISNUMBER(M177),ISNUMBER(N177),N177&gt;M177),AND(ISNUMBER(O177),ISNUMBER(P177),P177&gt;O177)),"Incohérent",""))))</x:f>
      </x:c>
    </x:row>
    <x:row r="178" ht="23" customHeight="1">
      <x:c r="A178" s="9"/>
      <x:c r="B178" s="11"/>
      <x:c r="C178" s="10"/>
      <x:c r="D178" s="9"/>
      <x:c r="E178" s="9"/>
      <x:c r="F178" s="9"/>
      <x:c r="G178" s="9"/>
      <x:c r="H178" s="9"/>
      <x:c r="I178" s="9"/>
      <x:c r="J178" s="9"/>
      <x:c r="K178" s="9"/>
      <x:c r="L178" s="10"/>
      <x:c r="M178" s="9"/>
      <x:c r="N178" s="9"/>
      <x:c r="O178" s="9"/>
      <x:c r="P178" s="9"/>
      <x:c r="Q178" s="9"/>
      <x:c r="R178" s="12" t="str">
        <x:f>IF(A178="","",IF(B178="","À compléter",IF(COUNTIFS($A$6:$A$505,A178,$B$6:$B$505,B178)&gt;1,"Doublon ville/mois",IF(OR(AND(ISNUMBER(H178),ISNUMBER(I178),I178&gt;H178),AND(ISNUMBER(M178),ISNUMBER(N178),N178&gt;M178),AND(ISNUMBER(O178),ISNUMBER(P178),P178&gt;O178)),"Incohérent",""))))</x:f>
      </x:c>
    </x:row>
    <x:row r="179" ht="23" customHeight="1">
      <x:c r="A179" s="9"/>
      <x:c r="B179" s="11"/>
      <x:c r="C179" s="10"/>
      <x:c r="D179" s="9"/>
      <x:c r="E179" s="9"/>
      <x:c r="F179" s="9"/>
      <x:c r="G179" s="9"/>
      <x:c r="H179" s="9"/>
      <x:c r="I179" s="9"/>
      <x:c r="J179" s="9"/>
      <x:c r="K179" s="9"/>
      <x:c r="L179" s="10"/>
      <x:c r="M179" s="9"/>
      <x:c r="N179" s="9"/>
      <x:c r="O179" s="9"/>
      <x:c r="P179" s="9"/>
      <x:c r="Q179" s="9"/>
      <x:c r="R179" s="12" t="str">
        <x:f>IF(A179="","",IF(B179="","À compléter",IF(COUNTIFS($A$6:$A$505,A179,$B$6:$B$505,B179)&gt;1,"Doublon ville/mois",IF(OR(AND(ISNUMBER(H179),ISNUMBER(I179),I179&gt;H179),AND(ISNUMBER(M179),ISNUMBER(N179),N179&gt;M179),AND(ISNUMBER(O179),ISNUMBER(P179),P179&gt;O179)),"Incohérent",""))))</x:f>
      </x:c>
    </x:row>
    <x:row r="180" ht="23" customHeight="1">
      <x:c r="A180" s="9"/>
      <x:c r="B180" s="11"/>
      <x:c r="C180" s="10"/>
      <x:c r="D180" s="9"/>
      <x:c r="E180" s="9"/>
      <x:c r="F180" s="9"/>
      <x:c r="G180" s="9"/>
      <x:c r="H180" s="9"/>
      <x:c r="I180" s="9"/>
      <x:c r="J180" s="9"/>
      <x:c r="K180" s="9"/>
      <x:c r="L180" s="10"/>
      <x:c r="M180" s="9"/>
      <x:c r="N180" s="9"/>
      <x:c r="O180" s="9"/>
      <x:c r="P180" s="9"/>
      <x:c r="Q180" s="9"/>
      <x:c r="R180" s="12" t="str">
        <x:f>IF(A180="","",IF(B180="","À compléter",IF(COUNTIFS($A$6:$A$505,A180,$B$6:$B$505,B180)&gt;1,"Doublon ville/mois",IF(OR(AND(ISNUMBER(H180),ISNUMBER(I180),I180&gt;H180),AND(ISNUMBER(M180),ISNUMBER(N180),N180&gt;M180),AND(ISNUMBER(O180),ISNUMBER(P180),P180&gt;O180)),"Incohérent",""))))</x:f>
      </x:c>
    </x:row>
    <x:row r="181" ht="23" customHeight="1">
      <x:c r="A181" s="9"/>
      <x:c r="B181" s="11"/>
      <x:c r="C181" s="10"/>
      <x:c r="D181" s="9"/>
      <x:c r="E181" s="9"/>
      <x:c r="F181" s="9"/>
      <x:c r="G181" s="9"/>
      <x:c r="H181" s="9"/>
      <x:c r="I181" s="9"/>
      <x:c r="J181" s="9"/>
      <x:c r="K181" s="9"/>
      <x:c r="L181" s="10"/>
      <x:c r="M181" s="9"/>
      <x:c r="N181" s="9"/>
      <x:c r="O181" s="9"/>
      <x:c r="P181" s="9"/>
      <x:c r="Q181" s="9"/>
      <x:c r="R181" s="12" t="str">
        <x:f>IF(A181="","",IF(B181="","À compléter",IF(COUNTIFS($A$6:$A$505,A181,$B$6:$B$505,B181)&gt;1,"Doublon ville/mois",IF(OR(AND(ISNUMBER(H181),ISNUMBER(I181),I181&gt;H181),AND(ISNUMBER(M181),ISNUMBER(N181),N181&gt;M181),AND(ISNUMBER(O181),ISNUMBER(P181),P181&gt;O181)),"Incohérent",""))))</x:f>
      </x:c>
    </x:row>
    <x:row r="182" ht="23" customHeight="1">
      <x:c r="A182" s="9"/>
      <x:c r="B182" s="11"/>
      <x:c r="C182" s="10"/>
      <x:c r="D182" s="9"/>
      <x:c r="E182" s="9"/>
      <x:c r="F182" s="9"/>
      <x:c r="G182" s="9"/>
      <x:c r="H182" s="9"/>
      <x:c r="I182" s="9"/>
      <x:c r="J182" s="9"/>
      <x:c r="K182" s="9"/>
      <x:c r="L182" s="10"/>
      <x:c r="M182" s="9"/>
      <x:c r="N182" s="9"/>
      <x:c r="O182" s="9"/>
      <x:c r="P182" s="9"/>
      <x:c r="Q182" s="9"/>
      <x:c r="R182" s="12" t="str">
        <x:f>IF(A182="","",IF(B182="","À compléter",IF(COUNTIFS($A$6:$A$505,A182,$B$6:$B$505,B182)&gt;1,"Doublon ville/mois",IF(OR(AND(ISNUMBER(H182),ISNUMBER(I182),I182&gt;H182),AND(ISNUMBER(M182),ISNUMBER(N182),N182&gt;M182),AND(ISNUMBER(O182),ISNUMBER(P182),P182&gt;O182)),"Incohérent",""))))</x:f>
      </x:c>
    </x:row>
    <x:row r="183" ht="23" customHeight="1">
      <x:c r="A183" s="9"/>
      <x:c r="B183" s="11"/>
      <x:c r="C183" s="10"/>
      <x:c r="D183" s="9"/>
      <x:c r="E183" s="9"/>
      <x:c r="F183" s="9"/>
      <x:c r="G183" s="9"/>
      <x:c r="H183" s="9"/>
      <x:c r="I183" s="9"/>
      <x:c r="J183" s="9"/>
      <x:c r="K183" s="9"/>
      <x:c r="L183" s="10"/>
      <x:c r="M183" s="9"/>
      <x:c r="N183" s="9"/>
      <x:c r="O183" s="9"/>
      <x:c r="P183" s="9"/>
      <x:c r="Q183" s="9"/>
      <x:c r="R183" s="12" t="str">
        <x:f>IF(A183="","",IF(B183="","À compléter",IF(COUNTIFS($A$6:$A$505,A183,$B$6:$B$505,B183)&gt;1,"Doublon ville/mois",IF(OR(AND(ISNUMBER(H183),ISNUMBER(I183),I183&gt;H183),AND(ISNUMBER(M183),ISNUMBER(N183),N183&gt;M183),AND(ISNUMBER(O183),ISNUMBER(P183),P183&gt;O183)),"Incohérent",""))))</x:f>
      </x:c>
    </x:row>
    <x:row r="184" ht="23" customHeight="1">
      <x:c r="A184" s="9"/>
      <x:c r="B184" s="11"/>
      <x:c r="C184" s="10"/>
      <x:c r="D184" s="9"/>
      <x:c r="E184" s="9"/>
      <x:c r="F184" s="9"/>
      <x:c r="G184" s="9"/>
      <x:c r="H184" s="9"/>
      <x:c r="I184" s="9"/>
      <x:c r="J184" s="9"/>
      <x:c r="K184" s="9"/>
      <x:c r="L184" s="10"/>
      <x:c r="M184" s="9"/>
      <x:c r="N184" s="9"/>
      <x:c r="O184" s="9"/>
      <x:c r="P184" s="9"/>
      <x:c r="Q184" s="9"/>
      <x:c r="R184" s="12" t="str">
        <x:f>IF(A184="","",IF(B184="","À compléter",IF(COUNTIFS($A$6:$A$505,A184,$B$6:$B$505,B184)&gt;1,"Doublon ville/mois",IF(OR(AND(ISNUMBER(H184),ISNUMBER(I184),I184&gt;H184),AND(ISNUMBER(M184),ISNUMBER(N184),N184&gt;M184),AND(ISNUMBER(O184),ISNUMBER(P184),P184&gt;O184)),"Incohérent",""))))</x:f>
      </x:c>
    </x:row>
    <x:row r="185" ht="23" customHeight="1">
      <x:c r="A185" s="9"/>
      <x:c r="B185" s="11"/>
      <x:c r="C185" s="10"/>
      <x:c r="D185" s="9"/>
      <x:c r="E185" s="9"/>
      <x:c r="F185" s="9"/>
      <x:c r="G185" s="9"/>
      <x:c r="H185" s="9"/>
      <x:c r="I185" s="9"/>
      <x:c r="J185" s="9"/>
      <x:c r="K185" s="9"/>
      <x:c r="L185" s="10"/>
      <x:c r="M185" s="9"/>
      <x:c r="N185" s="9"/>
      <x:c r="O185" s="9"/>
      <x:c r="P185" s="9"/>
      <x:c r="Q185" s="9"/>
      <x:c r="R185" s="12" t="str">
        <x:f>IF(A185="","",IF(B185="","À compléter",IF(COUNTIFS($A$6:$A$505,A185,$B$6:$B$505,B185)&gt;1,"Doublon ville/mois",IF(OR(AND(ISNUMBER(H185),ISNUMBER(I185),I185&gt;H185),AND(ISNUMBER(M185),ISNUMBER(N185),N185&gt;M185),AND(ISNUMBER(O185),ISNUMBER(P185),P185&gt;O185)),"Incohérent",""))))</x:f>
      </x:c>
    </x:row>
    <x:row r="186" ht="23" customHeight="1">
      <x:c r="A186" s="9"/>
      <x:c r="B186" s="11"/>
      <x:c r="C186" s="10"/>
      <x:c r="D186" s="9"/>
      <x:c r="E186" s="9"/>
      <x:c r="F186" s="9"/>
      <x:c r="G186" s="9"/>
      <x:c r="H186" s="9"/>
      <x:c r="I186" s="9"/>
      <x:c r="J186" s="9"/>
      <x:c r="K186" s="9"/>
      <x:c r="L186" s="10"/>
      <x:c r="M186" s="9"/>
      <x:c r="N186" s="9"/>
      <x:c r="O186" s="9"/>
      <x:c r="P186" s="9"/>
      <x:c r="Q186" s="9"/>
      <x:c r="R186" s="12" t="str">
        <x:f>IF(A186="","",IF(B186="","À compléter",IF(COUNTIFS($A$6:$A$505,A186,$B$6:$B$505,B186)&gt;1,"Doublon ville/mois",IF(OR(AND(ISNUMBER(H186),ISNUMBER(I186),I186&gt;H186),AND(ISNUMBER(M186),ISNUMBER(N186),N186&gt;M186),AND(ISNUMBER(O186),ISNUMBER(P186),P186&gt;O186)),"Incohérent",""))))</x:f>
      </x:c>
    </x:row>
    <x:row r="187" ht="23" customHeight="1">
      <x:c r="A187" s="9"/>
      <x:c r="B187" s="11"/>
      <x:c r="C187" s="10"/>
      <x:c r="D187" s="9"/>
      <x:c r="E187" s="9"/>
      <x:c r="F187" s="9"/>
      <x:c r="G187" s="9"/>
      <x:c r="H187" s="9"/>
      <x:c r="I187" s="9"/>
      <x:c r="J187" s="9"/>
      <x:c r="K187" s="9"/>
      <x:c r="L187" s="10"/>
      <x:c r="M187" s="9"/>
      <x:c r="N187" s="9"/>
      <x:c r="O187" s="9"/>
      <x:c r="P187" s="9"/>
      <x:c r="Q187" s="9"/>
      <x:c r="R187" s="12" t="str">
        <x:f>IF(A187="","",IF(B187="","À compléter",IF(COUNTIFS($A$6:$A$505,A187,$B$6:$B$505,B187)&gt;1,"Doublon ville/mois",IF(OR(AND(ISNUMBER(H187),ISNUMBER(I187),I187&gt;H187),AND(ISNUMBER(M187),ISNUMBER(N187),N187&gt;M187),AND(ISNUMBER(O187),ISNUMBER(P187),P187&gt;O187)),"Incohérent",""))))</x:f>
      </x:c>
    </x:row>
    <x:row r="188" ht="23" customHeight="1">
      <x:c r="A188" s="9"/>
      <x:c r="B188" s="11"/>
      <x:c r="C188" s="10"/>
      <x:c r="D188" s="9"/>
      <x:c r="E188" s="9"/>
      <x:c r="F188" s="9"/>
      <x:c r="G188" s="9"/>
      <x:c r="H188" s="9"/>
      <x:c r="I188" s="9"/>
      <x:c r="J188" s="9"/>
      <x:c r="K188" s="9"/>
      <x:c r="L188" s="10"/>
      <x:c r="M188" s="9"/>
      <x:c r="N188" s="9"/>
      <x:c r="O188" s="9"/>
      <x:c r="P188" s="9"/>
      <x:c r="Q188" s="9"/>
      <x:c r="R188" s="12" t="str">
        <x:f>IF(A188="","",IF(B188="","À compléter",IF(COUNTIFS($A$6:$A$505,A188,$B$6:$B$505,B188)&gt;1,"Doublon ville/mois",IF(OR(AND(ISNUMBER(H188),ISNUMBER(I188),I188&gt;H188),AND(ISNUMBER(M188),ISNUMBER(N188),N188&gt;M188),AND(ISNUMBER(O188),ISNUMBER(P188),P188&gt;O188)),"Incohérent",""))))</x:f>
      </x:c>
    </x:row>
    <x:row r="189" ht="23" customHeight="1">
      <x:c r="A189" s="9"/>
      <x:c r="B189" s="11"/>
      <x:c r="C189" s="10"/>
      <x:c r="D189" s="9"/>
      <x:c r="E189" s="9"/>
      <x:c r="F189" s="9"/>
      <x:c r="G189" s="9"/>
      <x:c r="H189" s="9"/>
      <x:c r="I189" s="9"/>
      <x:c r="J189" s="9"/>
      <x:c r="K189" s="9"/>
      <x:c r="L189" s="10"/>
      <x:c r="M189" s="9"/>
      <x:c r="N189" s="9"/>
      <x:c r="O189" s="9"/>
      <x:c r="P189" s="9"/>
      <x:c r="Q189" s="9"/>
      <x:c r="R189" s="12" t="str">
        <x:f>IF(A189="","",IF(B189="","À compléter",IF(COUNTIFS($A$6:$A$505,A189,$B$6:$B$505,B189)&gt;1,"Doublon ville/mois",IF(OR(AND(ISNUMBER(H189),ISNUMBER(I189),I189&gt;H189),AND(ISNUMBER(M189),ISNUMBER(N189),N189&gt;M189),AND(ISNUMBER(O189),ISNUMBER(P189),P189&gt;O189)),"Incohérent",""))))</x:f>
      </x:c>
    </x:row>
    <x:row r="190" ht="23" customHeight="1">
      <x:c r="A190" s="9"/>
      <x:c r="B190" s="11"/>
      <x:c r="C190" s="10"/>
      <x:c r="D190" s="9"/>
      <x:c r="E190" s="9"/>
      <x:c r="F190" s="9"/>
      <x:c r="G190" s="9"/>
      <x:c r="H190" s="9"/>
      <x:c r="I190" s="9"/>
      <x:c r="J190" s="9"/>
      <x:c r="K190" s="9"/>
      <x:c r="L190" s="10"/>
      <x:c r="M190" s="9"/>
      <x:c r="N190" s="9"/>
      <x:c r="O190" s="9"/>
      <x:c r="P190" s="9"/>
      <x:c r="Q190" s="9"/>
      <x:c r="R190" s="12" t="str">
        <x:f>IF(A190="","",IF(B190="","À compléter",IF(COUNTIFS($A$6:$A$505,A190,$B$6:$B$505,B190)&gt;1,"Doublon ville/mois",IF(OR(AND(ISNUMBER(H190),ISNUMBER(I190),I190&gt;H190),AND(ISNUMBER(M190),ISNUMBER(N190),N190&gt;M190),AND(ISNUMBER(O190),ISNUMBER(P190),P190&gt;O190)),"Incohérent",""))))</x:f>
      </x:c>
    </x:row>
    <x:row r="191" ht="23" customHeight="1">
      <x:c r="A191" s="9"/>
      <x:c r="B191" s="11"/>
      <x:c r="C191" s="10"/>
      <x:c r="D191" s="9"/>
      <x:c r="E191" s="9"/>
      <x:c r="F191" s="9"/>
      <x:c r="G191" s="9"/>
      <x:c r="H191" s="9"/>
      <x:c r="I191" s="9"/>
      <x:c r="J191" s="9"/>
      <x:c r="K191" s="9"/>
      <x:c r="L191" s="10"/>
      <x:c r="M191" s="9"/>
      <x:c r="N191" s="9"/>
      <x:c r="O191" s="9"/>
      <x:c r="P191" s="9"/>
      <x:c r="Q191" s="9"/>
      <x:c r="R191" s="12" t="str">
        <x:f>IF(A191="","",IF(B191="","À compléter",IF(COUNTIFS($A$6:$A$505,A191,$B$6:$B$505,B191)&gt;1,"Doublon ville/mois",IF(OR(AND(ISNUMBER(H191),ISNUMBER(I191),I191&gt;H191),AND(ISNUMBER(M191),ISNUMBER(N191),N191&gt;M191),AND(ISNUMBER(O191),ISNUMBER(P191),P191&gt;O191)),"Incohérent",""))))</x:f>
      </x:c>
    </x:row>
    <x:row r="192" ht="23" customHeight="1">
      <x:c r="A192" s="9"/>
      <x:c r="B192" s="11"/>
      <x:c r="C192" s="10"/>
      <x:c r="D192" s="9"/>
      <x:c r="E192" s="9"/>
      <x:c r="F192" s="9"/>
      <x:c r="G192" s="9"/>
      <x:c r="H192" s="9"/>
      <x:c r="I192" s="9"/>
      <x:c r="J192" s="9"/>
      <x:c r="K192" s="9"/>
      <x:c r="L192" s="10"/>
      <x:c r="M192" s="9"/>
      <x:c r="N192" s="9"/>
      <x:c r="O192" s="9"/>
      <x:c r="P192" s="9"/>
      <x:c r="Q192" s="9"/>
      <x:c r="R192" s="12" t="str">
        <x:f>IF(A192="","",IF(B192="","À compléter",IF(COUNTIFS($A$6:$A$505,A192,$B$6:$B$505,B192)&gt;1,"Doublon ville/mois",IF(OR(AND(ISNUMBER(H192),ISNUMBER(I192),I192&gt;H192),AND(ISNUMBER(M192),ISNUMBER(N192),N192&gt;M192),AND(ISNUMBER(O192),ISNUMBER(P192),P192&gt;O192)),"Incohérent",""))))</x:f>
      </x:c>
    </x:row>
    <x:row r="193" ht="23" customHeight="1">
      <x:c r="A193" s="9"/>
      <x:c r="B193" s="11"/>
      <x:c r="C193" s="10"/>
      <x:c r="D193" s="9"/>
      <x:c r="E193" s="9"/>
      <x:c r="F193" s="9"/>
      <x:c r="G193" s="9"/>
      <x:c r="H193" s="9"/>
      <x:c r="I193" s="9"/>
      <x:c r="J193" s="9"/>
      <x:c r="K193" s="9"/>
      <x:c r="L193" s="10"/>
      <x:c r="M193" s="9"/>
      <x:c r="N193" s="9"/>
      <x:c r="O193" s="9"/>
      <x:c r="P193" s="9"/>
      <x:c r="Q193" s="9"/>
      <x:c r="R193" s="12" t="str">
        <x:f>IF(A193="","",IF(B193="","À compléter",IF(COUNTIFS($A$6:$A$505,A193,$B$6:$B$505,B193)&gt;1,"Doublon ville/mois",IF(OR(AND(ISNUMBER(H193),ISNUMBER(I193),I193&gt;H193),AND(ISNUMBER(M193),ISNUMBER(N193),N193&gt;M193),AND(ISNUMBER(O193),ISNUMBER(P193),P193&gt;O193)),"Incohérent",""))))</x:f>
      </x:c>
    </x:row>
    <x:row r="194" ht="23" customHeight="1">
      <x:c r="A194" s="9"/>
      <x:c r="B194" s="11"/>
      <x:c r="C194" s="10"/>
      <x:c r="D194" s="9"/>
      <x:c r="E194" s="9"/>
      <x:c r="F194" s="9"/>
      <x:c r="G194" s="9"/>
      <x:c r="H194" s="9"/>
      <x:c r="I194" s="9"/>
      <x:c r="J194" s="9"/>
      <x:c r="K194" s="9"/>
      <x:c r="L194" s="10"/>
      <x:c r="M194" s="9"/>
      <x:c r="N194" s="9"/>
      <x:c r="O194" s="9"/>
      <x:c r="P194" s="9"/>
      <x:c r="Q194" s="9"/>
      <x:c r="R194" s="12" t="str">
        <x:f>IF(A194="","",IF(B194="","À compléter",IF(COUNTIFS($A$6:$A$505,A194,$B$6:$B$505,B194)&gt;1,"Doublon ville/mois",IF(OR(AND(ISNUMBER(H194),ISNUMBER(I194),I194&gt;H194),AND(ISNUMBER(M194),ISNUMBER(N194),N194&gt;M194),AND(ISNUMBER(O194),ISNUMBER(P194),P194&gt;O194)),"Incohérent",""))))</x:f>
      </x:c>
    </x:row>
    <x:row r="195" ht="23" customHeight="1">
      <x:c r="A195" s="9"/>
      <x:c r="B195" s="11"/>
      <x:c r="C195" s="10"/>
      <x:c r="D195" s="9"/>
      <x:c r="E195" s="9"/>
      <x:c r="F195" s="9"/>
      <x:c r="G195" s="9"/>
      <x:c r="H195" s="9"/>
      <x:c r="I195" s="9"/>
      <x:c r="J195" s="9"/>
      <x:c r="K195" s="9"/>
      <x:c r="L195" s="10"/>
      <x:c r="M195" s="9"/>
      <x:c r="N195" s="9"/>
      <x:c r="O195" s="9"/>
      <x:c r="P195" s="9"/>
      <x:c r="Q195" s="9"/>
      <x:c r="R195" s="12" t="str">
        <x:f>IF(A195="","",IF(B195="","À compléter",IF(COUNTIFS($A$6:$A$505,A195,$B$6:$B$505,B195)&gt;1,"Doublon ville/mois",IF(OR(AND(ISNUMBER(H195),ISNUMBER(I195),I195&gt;H195),AND(ISNUMBER(M195),ISNUMBER(N195),N195&gt;M195),AND(ISNUMBER(O195),ISNUMBER(P195),P195&gt;O195)),"Incohérent",""))))</x:f>
      </x:c>
    </x:row>
    <x:row r="196" ht="23" customHeight="1">
      <x:c r="A196" s="9"/>
      <x:c r="B196" s="11"/>
      <x:c r="C196" s="10"/>
      <x:c r="D196" s="9"/>
      <x:c r="E196" s="9"/>
      <x:c r="F196" s="9"/>
      <x:c r="G196" s="9"/>
      <x:c r="H196" s="9"/>
      <x:c r="I196" s="9"/>
      <x:c r="J196" s="9"/>
      <x:c r="K196" s="9"/>
      <x:c r="L196" s="10"/>
      <x:c r="M196" s="9"/>
      <x:c r="N196" s="9"/>
      <x:c r="O196" s="9"/>
      <x:c r="P196" s="9"/>
      <x:c r="Q196" s="9"/>
      <x:c r="R196" s="12" t="str">
        <x:f>IF(A196="","",IF(B196="","À compléter",IF(COUNTIFS($A$6:$A$505,A196,$B$6:$B$505,B196)&gt;1,"Doublon ville/mois",IF(OR(AND(ISNUMBER(H196),ISNUMBER(I196),I196&gt;H196),AND(ISNUMBER(M196),ISNUMBER(N196),N196&gt;M196),AND(ISNUMBER(O196),ISNUMBER(P196),P196&gt;O196)),"Incohérent",""))))</x:f>
      </x:c>
    </x:row>
    <x:row r="197" ht="23" customHeight="1">
      <x:c r="A197" s="9"/>
      <x:c r="B197" s="11"/>
      <x:c r="C197" s="10"/>
      <x:c r="D197" s="9"/>
      <x:c r="E197" s="9"/>
      <x:c r="F197" s="9"/>
      <x:c r="G197" s="9"/>
      <x:c r="H197" s="9"/>
      <x:c r="I197" s="9"/>
      <x:c r="J197" s="9"/>
      <x:c r="K197" s="9"/>
      <x:c r="L197" s="10"/>
      <x:c r="M197" s="9"/>
      <x:c r="N197" s="9"/>
      <x:c r="O197" s="9"/>
      <x:c r="P197" s="9"/>
      <x:c r="Q197" s="9"/>
      <x:c r="R197" s="12" t="str">
        <x:f>IF(A197="","",IF(B197="","À compléter",IF(COUNTIFS($A$6:$A$505,A197,$B$6:$B$505,B197)&gt;1,"Doublon ville/mois",IF(OR(AND(ISNUMBER(H197),ISNUMBER(I197),I197&gt;H197),AND(ISNUMBER(M197),ISNUMBER(N197),N197&gt;M197),AND(ISNUMBER(O197),ISNUMBER(P197),P197&gt;O197)),"Incohérent",""))))</x:f>
      </x:c>
    </x:row>
    <x:row r="198" ht="23" customHeight="1">
      <x:c r="A198" s="9"/>
      <x:c r="B198" s="11"/>
      <x:c r="C198" s="10"/>
      <x:c r="D198" s="9"/>
      <x:c r="E198" s="9"/>
      <x:c r="F198" s="9"/>
      <x:c r="G198" s="9"/>
      <x:c r="H198" s="9"/>
      <x:c r="I198" s="9"/>
      <x:c r="J198" s="9"/>
      <x:c r="K198" s="9"/>
      <x:c r="L198" s="10"/>
      <x:c r="M198" s="9"/>
      <x:c r="N198" s="9"/>
      <x:c r="O198" s="9"/>
      <x:c r="P198" s="9"/>
      <x:c r="Q198" s="9"/>
      <x:c r="R198" s="12" t="str">
        <x:f>IF(A198="","",IF(B198="","À compléter",IF(COUNTIFS($A$6:$A$505,A198,$B$6:$B$505,B198)&gt;1,"Doublon ville/mois",IF(OR(AND(ISNUMBER(H198),ISNUMBER(I198),I198&gt;H198),AND(ISNUMBER(M198),ISNUMBER(N198),N198&gt;M198),AND(ISNUMBER(O198),ISNUMBER(P198),P198&gt;O198)),"Incohérent",""))))</x:f>
      </x:c>
    </x:row>
    <x:row r="199" ht="23" customHeight="1">
      <x:c r="A199" s="9"/>
      <x:c r="B199" s="11"/>
      <x:c r="C199" s="10"/>
      <x:c r="D199" s="9"/>
      <x:c r="E199" s="9"/>
      <x:c r="F199" s="9"/>
      <x:c r="G199" s="9"/>
      <x:c r="H199" s="9"/>
      <x:c r="I199" s="9"/>
      <x:c r="J199" s="9"/>
      <x:c r="K199" s="9"/>
      <x:c r="L199" s="10"/>
      <x:c r="M199" s="9"/>
      <x:c r="N199" s="9"/>
      <x:c r="O199" s="9"/>
      <x:c r="P199" s="9"/>
      <x:c r="Q199" s="9"/>
      <x:c r="R199" s="12" t="str">
        <x:f>IF(A199="","",IF(B199="","À compléter",IF(COUNTIFS($A$6:$A$505,A199,$B$6:$B$505,B199)&gt;1,"Doublon ville/mois",IF(OR(AND(ISNUMBER(H199),ISNUMBER(I199),I199&gt;H199),AND(ISNUMBER(M199),ISNUMBER(N199),N199&gt;M199),AND(ISNUMBER(O199),ISNUMBER(P199),P199&gt;O199)),"Incohérent",""))))</x:f>
      </x:c>
    </x:row>
    <x:row r="200" ht="23" customHeight="1">
      <x:c r="A200" s="9"/>
      <x:c r="B200" s="11"/>
      <x:c r="C200" s="10"/>
      <x:c r="D200" s="9"/>
      <x:c r="E200" s="9"/>
      <x:c r="F200" s="9"/>
      <x:c r="G200" s="9"/>
      <x:c r="H200" s="9"/>
      <x:c r="I200" s="9"/>
      <x:c r="J200" s="9"/>
      <x:c r="K200" s="9"/>
      <x:c r="L200" s="10"/>
      <x:c r="M200" s="9"/>
      <x:c r="N200" s="9"/>
      <x:c r="O200" s="9"/>
      <x:c r="P200" s="9"/>
      <x:c r="Q200" s="9"/>
      <x:c r="R200" s="12" t="str">
        <x:f>IF(A200="","",IF(B200="","À compléter",IF(COUNTIFS($A$6:$A$505,A200,$B$6:$B$505,B200)&gt;1,"Doublon ville/mois",IF(OR(AND(ISNUMBER(H200),ISNUMBER(I200),I200&gt;H200),AND(ISNUMBER(M200),ISNUMBER(N200),N200&gt;M200),AND(ISNUMBER(O200),ISNUMBER(P200),P200&gt;O200)),"Incohérent",""))))</x:f>
      </x:c>
    </x:row>
    <x:row r="201" ht="23" customHeight="1">
      <x:c r="A201" s="9"/>
      <x:c r="B201" s="11"/>
      <x:c r="C201" s="10"/>
      <x:c r="D201" s="9"/>
      <x:c r="E201" s="9"/>
      <x:c r="F201" s="9"/>
      <x:c r="G201" s="9"/>
      <x:c r="H201" s="9"/>
      <x:c r="I201" s="9"/>
      <x:c r="J201" s="9"/>
      <x:c r="K201" s="9"/>
      <x:c r="L201" s="10"/>
      <x:c r="M201" s="9"/>
      <x:c r="N201" s="9"/>
      <x:c r="O201" s="9"/>
      <x:c r="P201" s="9"/>
      <x:c r="Q201" s="9"/>
      <x:c r="R201" s="12" t="str">
        <x:f>IF(A201="","",IF(B201="","À compléter",IF(COUNTIFS($A$6:$A$505,A201,$B$6:$B$505,B201)&gt;1,"Doublon ville/mois",IF(OR(AND(ISNUMBER(H201),ISNUMBER(I201),I201&gt;H201),AND(ISNUMBER(M201),ISNUMBER(N201),N201&gt;M201),AND(ISNUMBER(O201),ISNUMBER(P201),P201&gt;O201)),"Incohérent",""))))</x:f>
      </x:c>
    </x:row>
    <x:row r="202" ht="23" customHeight="1">
      <x:c r="A202" s="9"/>
      <x:c r="B202" s="11"/>
      <x:c r="C202" s="10"/>
      <x:c r="D202" s="9"/>
      <x:c r="E202" s="9"/>
      <x:c r="F202" s="9"/>
      <x:c r="G202" s="9"/>
      <x:c r="H202" s="9"/>
      <x:c r="I202" s="9"/>
      <x:c r="J202" s="9"/>
      <x:c r="K202" s="9"/>
      <x:c r="L202" s="10"/>
      <x:c r="M202" s="9"/>
      <x:c r="N202" s="9"/>
      <x:c r="O202" s="9"/>
      <x:c r="P202" s="9"/>
      <x:c r="Q202" s="9"/>
      <x:c r="R202" s="12" t="str">
        <x:f>IF(A202="","",IF(B202="","À compléter",IF(COUNTIFS($A$6:$A$505,A202,$B$6:$B$505,B202)&gt;1,"Doublon ville/mois",IF(OR(AND(ISNUMBER(H202),ISNUMBER(I202),I202&gt;H202),AND(ISNUMBER(M202),ISNUMBER(N202),N202&gt;M202),AND(ISNUMBER(O202),ISNUMBER(P202),P202&gt;O202)),"Incohérent",""))))</x:f>
      </x:c>
    </x:row>
    <x:row r="203" ht="23" customHeight="1">
      <x:c r="A203" s="9"/>
      <x:c r="B203" s="11"/>
      <x:c r="C203" s="10"/>
      <x:c r="D203" s="9"/>
      <x:c r="E203" s="9"/>
      <x:c r="F203" s="9"/>
      <x:c r="G203" s="9"/>
      <x:c r="H203" s="9"/>
      <x:c r="I203" s="9"/>
      <x:c r="J203" s="9"/>
      <x:c r="K203" s="9"/>
      <x:c r="L203" s="10"/>
      <x:c r="M203" s="9"/>
      <x:c r="N203" s="9"/>
      <x:c r="O203" s="9"/>
      <x:c r="P203" s="9"/>
      <x:c r="Q203" s="9"/>
      <x:c r="R203" s="12" t="str">
        <x:f>IF(A203="","",IF(B203="","À compléter",IF(COUNTIFS($A$6:$A$505,A203,$B$6:$B$505,B203)&gt;1,"Doublon ville/mois",IF(OR(AND(ISNUMBER(H203),ISNUMBER(I203),I203&gt;H203),AND(ISNUMBER(M203),ISNUMBER(N203),N203&gt;M203),AND(ISNUMBER(O203),ISNUMBER(P203),P203&gt;O203)),"Incohérent",""))))</x:f>
      </x:c>
    </x:row>
    <x:row r="204" ht="23" customHeight="1">
      <x:c r="A204" s="9"/>
      <x:c r="B204" s="11"/>
      <x:c r="C204" s="10"/>
      <x:c r="D204" s="9"/>
      <x:c r="E204" s="9"/>
      <x:c r="F204" s="9"/>
      <x:c r="G204" s="9"/>
      <x:c r="H204" s="9"/>
      <x:c r="I204" s="9"/>
      <x:c r="J204" s="9"/>
      <x:c r="K204" s="9"/>
      <x:c r="L204" s="10"/>
      <x:c r="M204" s="9"/>
      <x:c r="N204" s="9"/>
      <x:c r="O204" s="9"/>
      <x:c r="P204" s="9"/>
      <x:c r="Q204" s="9"/>
      <x:c r="R204" s="12" t="str">
        <x:f>IF(A204="","",IF(B204="","À compléter",IF(COUNTIFS($A$6:$A$505,A204,$B$6:$B$505,B204)&gt;1,"Doublon ville/mois",IF(OR(AND(ISNUMBER(H204),ISNUMBER(I204),I204&gt;H204),AND(ISNUMBER(M204),ISNUMBER(N204),N204&gt;M204),AND(ISNUMBER(O204),ISNUMBER(P204),P204&gt;O204)),"Incohérent",""))))</x:f>
      </x:c>
    </x:row>
    <x:row r="205" ht="23" customHeight="1">
      <x:c r="A205" s="9"/>
      <x:c r="B205" s="11"/>
      <x:c r="C205" s="10"/>
      <x:c r="D205" s="9"/>
      <x:c r="E205" s="9"/>
      <x:c r="F205" s="9"/>
      <x:c r="G205" s="9"/>
      <x:c r="H205" s="9"/>
      <x:c r="I205" s="9"/>
      <x:c r="J205" s="9"/>
      <x:c r="K205" s="9"/>
      <x:c r="L205" s="10"/>
      <x:c r="M205" s="9"/>
      <x:c r="N205" s="9"/>
      <x:c r="O205" s="9"/>
      <x:c r="P205" s="9"/>
      <x:c r="Q205" s="9"/>
      <x:c r="R205" s="12" t="str">
        <x:f>IF(A205="","",IF(B205="","À compléter",IF(COUNTIFS($A$6:$A$505,A205,$B$6:$B$505,B205)&gt;1,"Doublon ville/mois",IF(OR(AND(ISNUMBER(H205),ISNUMBER(I205),I205&gt;H205),AND(ISNUMBER(M205),ISNUMBER(N205),N205&gt;M205),AND(ISNUMBER(O205),ISNUMBER(P205),P205&gt;O205)),"Incohérent",""))))</x:f>
      </x:c>
    </x:row>
    <x:row r="206" ht="23" customHeight="1">
      <x:c r="A206" s="9"/>
      <x:c r="B206" s="11"/>
      <x:c r="C206" s="10"/>
      <x:c r="D206" s="9"/>
      <x:c r="E206" s="9"/>
      <x:c r="F206" s="9"/>
      <x:c r="G206" s="9"/>
      <x:c r="H206" s="9"/>
      <x:c r="I206" s="9"/>
      <x:c r="J206" s="9"/>
      <x:c r="K206" s="9"/>
      <x:c r="L206" s="10"/>
      <x:c r="M206" s="9"/>
      <x:c r="N206" s="9"/>
      <x:c r="O206" s="9"/>
      <x:c r="P206" s="9"/>
      <x:c r="Q206" s="9"/>
      <x:c r="R206" s="12" t="str">
        <x:f>IF(A206="","",IF(B206="","À compléter",IF(COUNTIFS($A$6:$A$505,A206,$B$6:$B$505,B206)&gt;1,"Doublon ville/mois",IF(OR(AND(ISNUMBER(H206),ISNUMBER(I206),I206&gt;H206),AND(ISNUMBER(M206),ISNUMBER(N206),N206&gt;M206),AND(ISNUMBER(O206),ISNUMBER(P206),P206&gt;O206)),"Incohérent",""))))</x:f>
      </x:c>
    </x:row>
    <x:row r="207" ht="23" customHeight="1">
      <x:c r="A207" s="9"/>
      <x:c r="B207" s="11"/>
      <x:c r="C207" s="10"/>
      <x:c r="D207" s="9"/>
      <x:c r="E207" s="9"/>
      <x:c r="F207" s="9"/>
      <x:c r="G207" s="9"/>
      <x:c r="H207" s="9"/>
      <x:c r="I207" s="9"/>
      <x:c r="J207" s="9"/>
      <x:c r="K207" s="9"/>
      <x:c r="L207" s="10"/>
      <x:c r="M207" s="9"/>
      <x:c r="N207" s="9"/>
      <x:c r="O207" s="9"/>
      <x:c r="P207" s="9"/>
      <x:c r="Q207" s="9"/>
      <x:c r="R207" s="12" t="str">
        <x:f>IF(A207="","",IF(B207="","À compléter",IF(COUNTIFS($A$6:$A$505,A207,$B$6:$B$505,B207)&gt;1,"Doublon ville/mois",IF(OR(AND(ISNUMBER(H207),ISNUMBER(I207),I207&gt;H207),AND(ISNUMBER(M207),ISNUMBER(N207),N207&gt;M207),AND(ISNUMBER(O207),ISNUMBER(P207),P207&gt;O207)),"Incohérent",""))))</x:f>
      </x:c>
    </x:row>
    <x:row r="208" ht="23" customHeight="1">
      <x:c r="A208" s="9"/>
      <x:c r="B208" s="11"/>
      <x:c r="C208" s="10"/>
      <x:c r="D208" s="9"/>
      <x:c r="E208" s="9"/>
      <x:c r="F208" s="9"/>
      <x:c r="G208" s="9"/>
      <x:c r="H208" s="9"/>
      <x:c r="I208" s="9"/>
      <x:c r="J208" s="9"/>
      <x:c r="K208" s="9"/>
      <x:c r="L208" s="10"/>
      <x:c r="M208" s="9"/>
      <x:c r="N208" s="9"/>
      <x:c r="O208" s="9"/>
      <x:c r="P208" s="9"/>
      <x:c r="Q208" s="9"/>
      <x:c r="R208" s="12" t="str">
        <x:f>IF(A208="","",IF(B208="","À compléter",IF(COUNTIFS($A$6:$A$505,A208,$B$6:$B$505,B208)&gt;1,"Doublon ville/mois",IF(OR(AND(ISNUMBER(H208),ISNUMBER(I208),I208&gt;H208),AND(ISNUMBER(M208),ISNUMBER(N208),N208&gt;M208),AND(ISNUMBER(O208),ISNUMBER(P208),P208&gt;O208)),"Incohérent",""))))</x:f>
      </x:c>
    </x:row>
    <x:row r="209" ht="23" customHeight="1">
      <x:c r="A209" s="9"/>
      <x:c r="B209" s="11"/>
      <x:c r="C209" s="10"/>
      <x:c r="D209" s="9"/>
      <x:c r="E209" s="9"/>
      <x:c r="F209" s="9"/>
      <x:c r="G209" s="9"/>
      <x:c r="H209" s="9"/>
      <x:c r="I209" s="9"/>
      <x:c r="J209" s="9"/>
      <x:c r="K209" s="9"/>
      <x:c r="L209" s="10"/>
      <x:c r="M209" s="9"/>
      <x:c r="N209" s="9"/>
      <x:c r="O209" s="9"/>
      <x:c r="P209" s="9"/>
      <x:c r="Q209" s="9"/>
      <x:c r="R209" s="12" t="str">
        <x:f>IF(A209="","",IF(B209="","À compléter",IF(COUNTIFS($A$6:$A$505,A209,$B$6:$B$505,B209)&gt;1,"Doublon ville/mois",IF(OR(AND(ISNUMBER(H209),ISNUMBER(I209),I209&gt;H209),AND(ISNUMBER(M209),ISNUMBER(N209),N209&gt;M209),AND(ISNUMBER(O209),ISNUMBER(P209),P209&gt;O209)),"Incohérent",""))))</x:f>
      </x:c>
    </x:row>
    <x:row r="210" ht="23" customHeight="1">
      <x:c r="A210" s="9"/>
      <x:c r="B210" s="11"/>
      <x:c r="C210" s="10"/>
      <x:c r="D210" s="9"/>
      <x:c r="E210" s="9"/>
      <x:c r="F210" s="9"/>
      <x:c r="G210" s="9"/>
      <x:c r="H210" s="9"/>
      <x:c r="I210" s="9"/>
      <x:c r="J210" s="9"/>
      <x:c r="K210" s="9"/>
      <x:c r="L210" s="10"/>
      <x:c r="M210" s="9"/>
      <x:c r="N210" s="9"/>
      <x:c r="O210" s="9"/>
      <x:c r="P210" s="9"/>
      <x:c r="Q210" s="9"/>
      <x:c r="R210" s="12" t="str">
        <x:f>IF(A210="","",IF(B210="","À compléter",IF(COUNTIFS($A$6:$A$505,A210,$B$6:$B$505,B210)&gt;1,"Doublon ville/mois",IF(OR(AND(ISNUMBER(H210),ISNUMBER(I210),I210&gt;H210),AND(ISNUMBER(M210),ISNUMBER(N210),N210&gt;M210),AND(ISNUMBER(O210),ISNUMBER(P210),P210&gt;O210)),"Incohérent",""))))</x:f>
      </x:c>
    </x:row>
    <x:row r="211" ht="23" customHeight="1">
      <x:c r="A211" s="9"/>
      <x:c r="B211" s="11"/>
      <x:c r="C211" s="10"/>
      <x:c r="D211" s="9"/>
      <x:c r="E211" s="9"/>
      <x:c r="F211" s="9"/>
      <x:c r="G211" s="9"/>
      <x:c r="H211" s="9"/>
      <x:c r="I211" s="9"/>
      <x:c r="J211" s="9"/>
      <x:c r="K211" s="9"/>
      <x:c r="L211" s="10"/>
      <x:c r="M211" s="9"/>
      <x:c r="N211" s="9"/>
      <x:c r="O211" s="9"/>
      <x:c r="P211" s="9"/>
      <x:c r="Q211" s="9"/>
      <x:c r="R211" s="12" t="str">
        <x:f>IF(A211="","",IF(B211="","À compléter",IF(COUNTIFS($A$6:$A$505,A211,$B$6:$B$505,B211)&gt;1,"Doublon ville/mois",IF(OR(AND(ISNUMBER(H211),ISNUMBER(I211),I211&gt;H211),AND(ISNUMBER(M211),ISNUMBER(N211),N211&gt;M211),AND(ISNUMBER(O211),ISNUMBER(P211),P211&gt;O211)),"Incohérent",""))))</x:f>
      </x:c>
    </x:row>
    <x:row r="212" ht="23" customHeight="1">
      <x:c r="A212" s="9"/>
      <x:c r="B212" s="11"/>
      <x:c r="C212" s="10"/>
      <x:c r="D212" s="9"/>
      <x:c r="E212" s="9"/>
      <x:c r="F212" s="9"/>
      <x:c r="G212" s="9"/>
      <x:c r="H212" s="9"/>
      <x:c r="I212" s="9"/>
      <x:c r="J212" s="9"/>
      <x:c r="K212" s="9"/>
      <x:c r="L212" s="10"/>
      <x:c r="M212" s="9"/>
      <x:c r="N212" s="9"/>
      <x:c r="O212" s="9"/>
      <x:c r="P212" s="9"/>
      <x:c r="Q212" s="9"/>
      <x:c r="R212" s="12" t="str">
        <x:f>IF(A212="","",IF(B212="","À compléter",IF(COUNTIFS($A$6:$A$505,A212,$B$6:$B$505,B212)&gt;1,"Doublon ville/mois",IF(OR(AND(ISNUMBER(H212),ISNUMBER(I212),I212&gt;H212),AND(ISNUMBER(M212),ISNUMBER(N212),N212&gt;M212),AND(ISNUMBER(O212),ISNUMBER(P212),P212&gt;O212)),"Incohérent",""))))</x:f>
      </x:c>
    </x:row>
    <x:row r="213" ht="23" customHeight="1">
      <x:c r="A213" s="9"/>
      <x:c r="B213" s="11"/>
      <x:c r="C213" s="10"/>
      <x:c r="D213" s="9"/>
      <x:c r="E213" s="9"/>
      <x:c r="F213" s="9"/>
      <x:c r="G213" s="9"/>
      <x:c r="H213" s="9"/>
      <x:c r="I213" s="9"/>
      <x:c r="J213" s="9"/>
      <x:c r="K213" s="9"/>
      <x:c r="L213" s="10"/>
      <x:c r="M213" s="9"/>
      <x:c r="N213" s="9"/>
      <x:c r="O213" s="9"/>
      <x:c r="P213" s="9"/>
      <x:c r="Q213" s="9"/>
      <x:c r="R213" s="12" t="str">
        <x:f>IF(A213="","",IF(B213="","À compléter",IF(COUNTIFS($A$6:$A$505,A213,$B$6:$B$505,B213)&gt;1,"Doublon ville/mois",IF(OR(AND(ISNUMBER(H213),ISNUMBER(I213),I213&gt;H213),AND(ISNUMBER(M213),ISNUMBER(N213),N213&gt;M213),AND(ISNUMBER(O213),ISNUMBER(P213),P213&gt;O213)),"Incohérent",""))))</x:f>
      </x:c>
    </x:row>
    <x:row r="214" ht="23" customHeight="1">
      <x:c r="A214" s="9"/>
      <x:c r="B214" s="11"/>
      <x:c r="C214" s="10"/>
      <x:c r="D214" s="9"/>
      <x:c r="E214" s="9"/>
      <x:c r="F214" s="9"/>
      <x:c r="G214" s="9"/>
      <x:c r="H214" s="9"/>
      <x:c r="I214" s="9"/>
      <x:c r="J214" s="9"/>
      <x:c r="K214" s="9"/>
      <x:c r="L214" s="10"/>
      <x:c r="M214" s="9"/>
      <x:c r="N214" s="9"/>
      <x:c r="O214" s="9"/>
      <x:c r="P214" s="9"/>
      <x:c r="Q214" s="9"/>
      <x:c r="R214" s="12" t="str">
        <x:f>IF(A214="","",IF(B214="","À compléter",IF(COUNTIFS($A$6:$A$505,A214,$B$6:$B$505,B214)&gt;1,"Doublon ville/mois",IF(OR(AND(ISNUMBER(H214),ISNUMBER(I214),I214&gt;H214),AND(ISNUMBER(M214),ISNUMBER(N214),N214&gt;M214),AND(ISNUMBER(O214),ISNUMBER(P214),P214&gt;O214)),"Incohérent",""))))</x:f>
      </x:c>
    </x:row>
    <x:row r="215" ht="23" customHeight="1">
      <x:c r="A215" s="9"/>
      <x:c r="B215" s="11"/>
      <x:c r="C215" s="10"/>
      <x:c r="D215" s="9"/>
      <x:c r="E215" s="9"/>
      <x:c r="F215" s="9"/>
      <x:c r="G215" s="9"/>
      <x:c r="H215" s="9"/>
      <x:c r="I215" s="9"/>
      <x:c r="J215" s="9"/>
      <x:c r="K215" s="9"/>
      <x:c r="L215" s="10"/>
      <x:c r="M215" s="9"/>
      <x:c r="N215" s="9"/>
      <x:c r="O215" s="9"/>
      <x:c r="P215" s="9"/>
      <x:c r="Q215" s="9"/>
      <x:c r="R215" s="12" t="str">
        <x:f>IF(A215="","",IF(B215="","À compléter",IF(COUNTIFS($A$6:$A$505,A215,$B$6:$B$505,B215)&gt;1,"Doublon ville/mois",IF(OR(AND(ISNUMBER(H215),ISNUMBER(I215),I215&gt;H215),AND(ISNUMBER(M215),ISNUMBER(N215),N215&gt;M215),AND(ISNUMBER(O215),ISNUMBER(P215),P215&gt;O215)),"Incohérent",""))))</x:f>
      </x:c>
    </x:row>
    <x:row r="216" ht="23" customHeight="1">
      <x:c r="A216" s="9"/>
      <x:c r="B216" s="11"/>
      <x:c r="C216" s="10"/>
      <x:c r="D216" s="9"/>
      <x:c r="E216" s="9"/>
      <x:c r="F216" s="9"/>
      <x:c r="G216" s="9"/>
      <x:c r="H216" s="9"/>
      <x:c r="I216" s="9"/>
      <x:c r="J216" s="9"/>
      <x:c r="K216" s="9"/>
      <x:c r="L216" s="10"/>
      <x:c r="M216" s="9"/>
      <x:c r="N216" s="9"/>
      <x:c r="O216" s="9"/>
      <x:c r="P216" s="9"/>
      <x:c r="Q216" s="9"/>
      <x:c r="R216" s="12" t="str">
        <x:f>IF(A216="","",IF(B216="","À compléter",IF(COUNTIFS($A$6:$A$505,A216,$B$6:$B$505,B216)&gt;1,"Doublon ville/mois",IF(OR(AND(ISNUMBER(H216),ISNUMBER(I216),I216&gt;H216),AND(ISNUMBER(M216),ISNUMBER(N216),N216&gt;M216),AND(ISNUMBER(O216),ISNUMBER(P216),P216&gt;O216)),"Incohérent",""))))</x:f>
      </x:c>
    </x:row>
    <x:row r="217" ht="23" customHeight="1">
      <x:c r="A217" s="9"/>
      <x:c r="B217" s="11"/>
      <x:c r="C217" s="10"/>
      <x:c r="D217" s="9"/>
      <x:c r="E217" s="9"/>
      <x:c r="F217" s="9"/>
      <x:c r="G217" s="9"/>
      <x:c r="H217" s="9"/>
      <x:c r="I217" s="9"/>
      <x:c r="J217" s="9"/>
      <x:c r="K217" s="9"/>
      <x:c r="L217" s="10"/>
      <x:c r="M217" s="9"/>
      <x:c r="N217" s="9"/>
      <x:c r="O217" s="9"/>
      <x:c r="P217" s="9"/>
      <x:c r="Q217" s="9"/>
      <x:c r="R217" s="12" t="str">
        <x:f>IF(A217="","",IF(B217="","À compléter",IF(COUNTIFS($A$6:$A$505,A217,$B$6:$B$505,B217)&gt;1,"Doublon ville/mois",IF(OR(AND(ISNUMBER(H217),ISNUMBER(I217),I217&gt;H217),AND(ISNUMBER(M217),ISNUMBER(N217),N217&gt;M217),AND(ISNUMBER(O217),ISNUMBER(P217),P217&gt;O217)),"Incohérent",""))))</x:f>
      </x:c>
    </x:row>
    <x:row r="218" ht="23" customHeight="1">
      <x:c r="A218" s="9"/>
      <x:c r="B218" s="11"/>
      <x:c r="C218" s="10"/>
      <x:c r="D218" s="9"/>
      <x:c r="E218" s="9"/>
      <x:c r="F218" s="9"/>
      <x:c r="G218" s="9"/>
      <x:c r="H218" s="9"/>
      <x:c r="I218" s="9"/>
      <x:c r="J218" s="9"/>
      <x:c r="K218" s="9"/>
      <x:c r="L218" s="10"/>
      <x:c r="M218" s="9"/>
      <x:c r="N218" s="9"/>
      <x:c r="O218" s="9"/>
      <x:c r="P218" s="9"/>
      <x:c r="Q218" s="9"/>
      <x:c r="R218" s="12" t="str">
        <x:f>IF(A218="","",IF(B218="","À compléter",IF(COUNTIFS($A$6:$A$505,A218,$B$6:$B$505,B218)&gt;1,"Doublon ville/mois",IF(OR(AND(ISNUMBER(H218),ISNUMBER(I218),I218&gt;H218),AND(ISNUMBER(M218),ISNUMBER(N218),N218&gt;M218),AND(ISNUMBER(O218),ISNUMBER(P218),P218&gt;O218)),"Incohérent",""))))</x:f>
      </x:c>
    </x:row>
    <x:row r="219" ht="23" customHeight="1">
      <x:c r="A219" s="9"/>
      <x:c r="B219" s="11"/>
      <x:c r="C219" s="10"/>
      <x:c r="D219" s="9"/>
      <x:c r="E219" s="9"/>
      <x:c r="F219" s="9"/>
      <x:c r="G219" s="9"/>
      <x:c r="H219" s="9"/>
      <x:c r="I219" s="9"/>
      <x:c r="J219" s="9"/>
      <x:c r="K219" s="9"/>
      <x:c r="L219" s="10"/>
      <x:c r="M219" s="9"/>
      <x:c r="N219" s="9"/>
      <x:c r="O219" s="9"/>
      <x:c r="P219" s="9"/>
      <x:c r="Q219" s="9"/>
      <x:c r="R219" s="12" t="str">
        <x:f>IF(A219="","",IF(B219="","À compléter",IF(COUNTIFS($A$6:$A$505,A219,$B$6:$B$505,B219)&gt;1,"Doublon ville/mois",IF(OR(AND(ISNUMBER(H219),ISNUMBER(I219),I219&gt;H219),AND(ISNUMBER(M219),ISNUMBER(N219),N219&gt;M219),AND(ISNUMBER(O219),ISNUMBER(P219),P219&gt;O219)),"Incohérent",""))))</x:f>
      </x:c>
    </x:row>
    <x:row r="220" ht="23" customHeight="1">
      <x:c r="A220" s="9"/>
      <x:c r="B220" s="11"/>
      <x:c r="C220" s="10"/>
      <x:c r="D220" s="9"/>
      <x:c r="E220" s="9"/>
      <x:c r="F220" s="9"/>
      <x:c r="G220" s="9"/>
      <x:c r="H220" s="9"/>
      <x:c r="I220" s="9"/>
      <x:c r="J220" s="9"/>
      <x:c r="K220" s="9"/>
      <x:c r="L220" s="10"/>
      <x:c r="M220" s="9"/>
      <x:c r="N220" s="9"/>
      <x:c r="O220" s="9"/>
      <x:c r="P220" s="9"/>
      <x:c r="Q220" s="9"/>
      <x:c r="R220" s="12" t="str">
        <x:f>IF(A220="","",IF(B220="","À compléter",IF(COUNTIFS($A$6:$A$505,A220,$B$6:$B$505,B220)&gt;1,"Doublon ville/mois",IF(OR(AND(ISNUMBER(H220),ISNUMBER(I220),I220&gt;H220),AND(ISNUMBER(M220),ISNUMBER(N220),N220&gt;M220),AND(ISNUMBER(O220),ISNUMBER(P220),P220&gt;O220)),"Incohérent",""))))</x:f>
      </x:c>
    </x:row>
    <x:row r="221" ht="23" customHeight="1">
      <x:c r="A221" s="9"/>
      <x:c r="B221" s="11"/>
      <x:c r="C221" s="10"/>
      <x:c r="D221" s="9"/>
      <x:c r="E221" s="9"/>
      <x:c r="F221" s="9"/>
      <x:c r="G221" s="9"/>
      <x:c r="H221" s="9"/>
      <x:c r="I221" s="9"/>
      <x:c r="J221" s="9"/>
      <x:c r="K221" s="9"/>
      <x:c r="L221" s="10"/>
      <x:c r="M221" s="9"/>
      <x:c r="N221" s="9"/>
      <x:c r="O221" s="9"/>
      <x:c r="P221" s="9"/>
      <x:c r="Q221" s="9"/>
      <x:c r="R221" s="12" t="str">
        <x:f>IF(A221="","",IF(B221="","À compléter",IF(COUNTIFS($A$6:$A$505,A221,$B$6:$B$505,B221)&gt;1,"Doublon ville/mois",IF(OR(AND(ISNUMBER(H221),ISNUMBER(I221),I221&gt;H221),AND(ISNUMBER(M221),ISNUMBER(N221),N221&gt;M221),AND(ISNUMBER(O221),ISNUMBER(P221),P221&gt;O221)),"Incohérent",""))))</x:f>
      </x:c>
    </x:row>
    <x:row r="222" ht="23" customHeight="1">
      <x:c r="A222" s="9"/>
      <x:c r="B222" s="11"/>
      <x:c r="C222" s="10"/>
      <x:c r="D222" s="9"/>
      <x:c r="E222" s="9"/>
      <x:c r="F222" s="9"/>
      <x:c r="G222" s="9"/>
      <x:c r="H222" s="9"/>
      <x:c r="I222" s="9"/>
      <x:c r="J222" s="9"/>
      <x:c r="K222" s="9"/>
      <x:c r="L222" s="10"/>
      <x:c r="M222" s="9"/>
      <x:c r="N222" s="9"/>
      <x:c r="O222" s="9"/>
      <x:c r="P222" s="9"/>
      <x:c r="Q222" s="9"/>
      <x:c r="R222" s="12" t="str">
        <x:f>IF(A222="","",IF(B222="","À compléter",IF(COUNTIFS($A$6:$A$505,A222,$B$6:$B$505,B222)&gt;1,"Doublon ville/mois",IF(OR(AND(ISNUMBER(H222),ISNUMBER(I222),I222&gt;H222),AND(ISNUMBER(M222),ISNUMBER(N222),N222&gt;M222),AND(ISNUMBER(O222),ISNUMBER(P222),P222&gt;O222)),"Incohérent",""))))</x:f>
      </x:c>
    </x:row>
    <x:row r="223" ht="23" customHeight="1">
      <x:c r="A223" s="9"/>
      <x:c r="B223" s="11"/>
      <x:c r="C223" s="10"/>
      <x:c r="D223" s="9"/>
      <x:c r="E223" s="9"/>
      <x:c r="F223" s="9"/>
      <x:c r="G223" s="9"/>
      <x:c r="H223" s="9"/>
      <x:c r="I223" s="9"/>
      <x:c r="J223" s="9"/>
      <x:c r="K223" s="9"/>
      <x:c r="L223" s="10"/>
      <x:c r="M223" s="9"/>
      <x:c r="N223" s="9"/>
      <x:c r="O223" s="9"/>
      <x:c r="P223" s="9"/>
      <x:c r="Q223" s="9"/>
      <x:c r="R223" s="12" t="str">
        <x:f>IF(A223="","",IF(B223="","À compléter",IF(COUNTIFS($A$6:$A$505,A223,$B$6:$B$505,B223)&gt;1,"Doublon ville/mois",IF(OR(AND(ISNUMBER(H223),ISNUMBER(I223),I223&gt;H223),AND(ISNUMBER(M223),ISNUMBER(N223),N223&gt;M223),AND(ISNUMBER(O223),ISNUMBER(P223),P223&gt;O223)),"Incohérent",""))))</x:f>
      </x:c>
    </x:row>
    <x:row r="224" ht="23" customHeight="1">
      <x:c r="A224" s="9"/>
      <x:c r="B224" s="11"/>
      <x:c r="C224" s="10"/>
      <x:c r="D224" s="9"/>
      <x:c r="E224" s="9"/>
      <x:c r="F224" s="9"/>
      <x:c r="G224" s="9"/>
      <x:c r="H224" s="9"/>
      <x:c r="I224" s="9"/>
      <x:c r="J224" s="9"/>
      <x:c r="K224" s="9"/>
      <x:c r="L224" s="10"/>
      <x:c r="M224" s="9"/>
      <x:c r="N224" s="9"/>
      <x:c r="O224" s="9"/>
      <x:c r="P224" s="9"/>
      <x:c r="Q224" s="9"/>
      <x:c r="R224" s="12" t="str">
        <x:f>IF(A224="","",IF(B224="","À compléter",IF(COUNTIFS($A$6:$A$505,A224,$B$6:$B$505,B224)&gt;1,"Doublon ville/mois",IF(OR(AND(ISNUMBER(H224),ISNUMBER(I224),I224&gt;H224),AND(ISNUMBER(M224),ISNUMBER(N224),N224&gt;M224),AND(ISNUMBER(O224),ISNUMBER(P224),P224&gt;O224)),"Incohérent",""))))</x:f>
      </x:c>
    </x:row>
    <x:row r="225" ht="23" customHeight="1">
      <x:c r="A225" s="9"/>
      <x:c r="B225" s="11"/>
      <x:c r="C225" s="10"/>
      <x:c r="D225" s="9"/>
      <x:c r="E225" s="9"/>
      <x:c r="F225" s="9"/>
      <x:c r="G225" s="9"/>
      <x:c r="H225" s="9"/>
      <x:c r="I225" s="9"/>
      <x:c r="J225" s="9"/>
      <x:c r="K225" s="9"/>
      <x:c r="L225" s="10"/>
      <x:c r="M225" s="9"/>
      <x:c r="N225" s="9"/>
      <x:c r="O225" s="9"/>
      <x:c r="P225" s="9"/>
      <x:c r="Q225" s="9"/>
      <x:c r="R225" s="12" t="str">
        <x:f>IF(A225="","",IF(B225="","À compléter",IF(COUNTIFS($A$6:$A$505,A225,$B$6:$B$505,B225)&gt;1,"Doublon ville/mois",IF(OR(AND(ISNUMBER(H225),ISNUMBER(I225),I225&gt;H225),AND(ISNUMBER(M225),ISNUMBER(N225),N225&gt;M225),AND(ISNUMBER(O225),ISNUMBER(P225),P225&gt;O225)),"Incohérent",""))))</x:f>
      </x:c>
    </x:row>
    <x:row r="226" ht="23" customHeight="1">
      <x:c r="A226" s="9"/>
      <x:c r="B226" s="11"/>
      <x:c r="C226" s="10"/>
      <x:c r="D226" s="9"/>
      <x:c r="E226" s="9"/>
      <x:c r="F226" s="9"/>
      <x:c r="G226" s="9"/>
      <x:c r="H226" s="9"/>
      <x:c r="I226" s="9"/>
      <x:c r="J226" s="9"/>
      <x:c r="K226" s="9"/>
      <x:c r="L226" s="10"/>
      <x:c r="M226" s="9"/>
      <x:c r="N226" s="9"/>
      <x:c r="O226" s="9"/>
      <x:c r="P226" s="9"/>
      <x:c r="Q226" s="9"/>
      <x:c r="R226" s="12" t="str">
        <x:f>IF(A226="","",IF(B226="","À compléter",IF(COUNTIFS($A$6:$A$505,A226,$B$6:$B$505,B226)&gt;1,"Doublon ville/mois",IF(OR(AND(ISNUMBER(H226),ISNUMBER(I226),I226&gt;H226),AND(ISNUMBER(M226),ISNUMBER(N226),N226&gt;M226),AND(ISNUMBER(O226),ISNUMBER(P226),P226&gt;O226)),"Incohérent",""))))</x:f>
      </x:c>
    </x:row>
    <x:row r="227" ht="23" customHeight="1">
      <x:c r="A227" s="9"/>
      <x:c r="B227" s="11"/>
      <x:c r="C227" s="10"/>
      <x:c r="D227" s="9"/>
      <x:c r="E227" s="9"/>
      <x:c r="F227" s="9"/>
      <x:c r="G227" s="9"/>
      <x:c r="H227" s="9"/>
      <x:c r="I227" s="9"/>
      <x:c r="J227" s="9"/>
      <x:c r="K227" s="9"/>
      <x:c r="L227" s="10"/>
      <x:c r="M227" s="9"/>
      <x:c r="N227" s="9"/>
      <x:c r="O227" s="9"/>
      <x:c r="P227" s="9"/>
      <x:c r="Q227" s="9"/>
      <x:c r="R227" s="12" t="str">
        <x:f>IF(A227="","",IF(B227="","À compléter",IF(COUNTIFS($A$6:$A$505,A227,$B$6:$B$505,B227)&gt;1,"Doublon ville/mois",IF(OR(AND(ISNUMBER(H227),ISNUMBER(I227),I227&gt;H227),AND(ISNUMBER(M227),ISNUMBER(N227),N227&gt;M227),AND(ISNUMBER(O227),ISNUMBER(P227),P227&gt;O227)),"Incohérent",""))))</x:f>
      </x:c>
    </x:row>
    <x:row r="228" ht="23" customHeight="1">
      <x:c r="A228" s="9"/>
      <x:c r="B228" s="11"/>
      <x:c r="C228" s="10"/>
      <x:c r="D228" s="9"/>
      <x:c r="E228" s="9"/>
      <x:c r="F228" s="9"/>
      <x:c r="G228" s="9"/>
      <x:c r="H228" s="9"/>
      <x:c r="I228" s="9"/>
      <x:c r="J228" s="9"/>
      <x:c r="K228" s="9"/>
      <x:c r="L228" s="10"/>
      <x:c r="M228" s="9"/>
      <x:c r="N228" s="9"/>
      <x:c r="O228" s="9"/>
      <x:c r="P228" s="9"/>
      <x:c r="Q228" s="9"/>
      <x:c r="R228" s="12" t="str">
        <x:f>IF(A228="","",IF(B228="","À compléter",IF(COUNTIFS($A$6:$A$505,A228,$B$6:$B$505,B228)&gt;1,"Doublon ville/mois",IF(OR(AND(ISNUMBER(H228),ISNUMBER(I228),I228&gt;H228),AND(ISNUMBER(M228),ISNUMBER(N228),N228&gt;M228),AND(ISNUMBER(O228),ISNUMBER(P228),P228&gt;O228)),"Incohérent",""))))</x:f>
      </x:c>
    </x:row>
    <x:row r="229" ht="23" customHeight="1">
      <x:c r="A229" s="9"/>
      <x:c r="B229" s="11"/>
      <x:c r="C229" s="10"/>
      <x:c r="D229" s="9"/>
      <x:c r="E229" s="9"/>
      <x:c r="F229" s="9"/>
      <x:c r="G229" s="9"/>
      <x:c r="H229" s="9"/>
      <x:c r="I229" s="9"/>
      <x:c r="J229" s="9"/>
      <x:c r="K229" s="9"/>
      <x:c r="L229" s="10"/>
      <x:c r="M229" s="9"/>
      <x:c r="N229" s="9"/>
      <x:c r="O229" s="9"/>
      <x:c r="P229" s="9"/>
      <x:c r="Q229" s="9"/>
      <x:c r="R229" s="12" t="str">
        <x:f>IF(A229="","",IF(B229="","À compléter",IF(COUNTIFS($A$6:$A$505,A229,$B$6:$B$505,B229)&gt;1,"Doublon ville/mois",IF(OR(AND(ISNUMBER(H229),ISNUMBER(I229),I229&gt;H229),AND(ISNUMBER(M229),ISNUMBER(N229),N229&gt;M229),AND(ISNUMBER(O229),ISNUMBER(P229),P229&gt;O229)),"Incohérent",""))))</x:f>
      </x:c>
    </x:row>
    <x:row r="230" ht="23" customHeight="1">
      <x:c r="A230" s="9"/>
      <x:c r="B230" s="11"/>
      <x:c r="C230" s="10"/>
      <x:c r="D230" s="9"/>
      <x:c r="E230" s="9"/>
      <x:c r="F230" s="9"/>
      <x:c r="G230" s="9"/>
      <x:c r="H230" s="9"/>
      <x:c r="I230" s="9"/>
      <x:c r="J230" s="9"/>
      <x:c r="K230" s="9"/>
      <x:c r="L230" s="10"/>
      <x:c r="M230" s="9"/>
      <x:c r="N230" s="9"/>
      <x:c r="O230" s="9"/>
      <x:c r="P230" s="9"/>
      <x:c r="Q230" s="9"/>
      <x:c r="R230" s="12" t="str">
        <x:f>IF(A230="","",IF(B230="","À compléter",IF(COUNTIFS($A$6:$A$505,A230,$B$6:$B$505,B230)&gt;1,"Doublon ville/mois",IF(OR(AND(ISNUMBER(H230),ISNUMBER(I230),I230&gt;H230),AND(ISNUMBER(M230),ISNUMBER(N230),N230&gt;M230),AND(ISNUMBER(O230),ISNUMBER(P230),P230&gt;O230)),"Incohérent",""))))</x:f>
      </x:c>
    </x:row>
    <x:row r="231" ht="23" customHeight="1">
      <x:c r="A231" s="9"/>
      <x:c r="B231" s="11"/>
      <x:c r="C231" s="10"/>
      <x:c r="D231" s="9"/>
      <x:c r="E231" s="9"/>
      <x:c r="F231" s="9"/>
      <x:c r="G231" s="9"/>
      <x:c r="H231" s="9"/>
      <x:c r="I231" s="9"/>
      <x:c r="J231" s="9"/>
      <x:c r="K231" s="9"/>
      <x:c r="L231" s="10"/>
      <x:c r="M231" s="9"/>
      <x:c r="N231" s="9"/>
      <x:c r="O231" s="9"/>
      <x:c r="P231" s="9"/>
      <x:c r="Q231" s="9"/>
      <x:c r="R231" s="12" t="str">
        <x:f>IF(A231="","",IF(B231="","À compléter",IF(COUNTIFS($A$6:$A$505,A231,$B$6:$B$505,B231)&gt;1,"Doublon ville/mois",IF(OR(AND(ISNUMBER(H231),ISNUMBER(I231),I231&gt;H231),AND(ISNUMBER(M231),ISNUMBER(N231),N231&gt;M231),AND(ISNUMBER(O231),ISNUMBER(P231),P231&gt;O231)),"Incohérent",""))))</x:f>
      </x:c>
    </x:row>
    <x:row r="232" ht="23" customHeight="1">
      <x:c r="A232" s="9"/>
      <x:c r="B232" s="11"/>
      <x:c r="C232" s="10"/>
      <x:c r="D232" s="9"/>
      <x:c r="E232" s="9"/>
      <x:c r="F232" s="9"/>
      <x:c r="G232" s="9"/>
      <x:c r="H232" s="9"/>
      <x:c r="I232" s="9"/>
      <x:c r="J232" s="9"/>
      <x:c r="K232" s="9"/>
      <x:c r="L232" s="10"/>
      <x:c r="M232" s="9"/>
      <x:c r="N232" s="9"/>
      <x:c r="O232" s="9"/>
      <x:c r="P232" s="9"/>
      <x:c r="Q232" s="9"/>
      <x:c r="R232" s="12" t="str">
        <x:f>IF(A232="","",IF(B232="","À compléter",IF(COUNTIFS($A$6:$A$505,A232,$B$6:$B$505,B232)&gt;1,"Doublon ville/mois",IF(OR(AND(ISNUMBER(H232),ISNUMBER(I232),I232&gt;H232),AND(ISNUMBER(M232),ISNUMBER(N232),N232&gt;M232),AND(ISNUMBER(O232),ISNUMBER(P232),P232&gt;O232)),"Incohérent",""))))</x:f>
      </x:c>
    </x:row>
    <x:row r="233" ht="23" customHeight="1">
      <x:c r="A233" s="9"/>
      <x:c r="B233" s="11"/>
      <x:c r="C233" s="10"/>
      <x:c r="D233" s="9"/>
      <x:c r="E233" s="9"/>
      <x:c r="F233" s="9"/>
      <x:c r="G233" s="9"/>
      <x:c r="H233" s="9"/>
      <x:c r="I233" s="9"/>
      <x:c r="J233" s="9"/>
      <x:c r="K233" s="9"/>
      <x:c r="L233" s="10"/>
      <x:c r="M233" s="9"/>
      <x:c r="N233" s="9"/>
      <x:c r="O233" s="9"/>
      <x:c r="P233" s="9"/>
      <x:c r="Q233" s="9"/>
      <x:c r="R233" s="12" t="str">
        <x:f>IF(A233="","",IF(B233="","À compléter",IF(COUNTIFS($A$6:$A$505,A233,$B$6:$B$505,B233)&gt;1,"Doublon ville/mois",IF(OR(AND(ISNUMBER(H233),ISNUMBER(I233),I233&gt;H233),AND(ISNUMBER(M233),ISNUMBER(N233),N233&gt;M233),AND(ISNUMBER(O233),ISNUMBER(P233),P233&gt;O233)),"Incohérent",""))))</x:f>
      </x:c>
    </x:row>
    <x:row r="234" ht="23" customHeight="1">
      <x:c r="A234" s="9"/>
      <x:c r="B234" s="11"/>
      <x:c r="C234" s="10"/>
      <x:c r="D234" s="9"/>
      <x:c r="E234" s="9"/>
      <x:c r="F234" s="9"/>
      <x:c r="G234" s="9"/>
      <x:c r="H234" s="9"/>
      <x:c r="I234" s="9"/>
      <x:c r="J234" s="9"/>
      <x:c r="K234" s="9"/>
      <x:c r="L234" s="10"/>
      <x:c r="M234" s="9"/>
      <x:c r="N234" s="9"/>
      <x:c r="O234" s="9"/>
      <x:c r="P234" s="9"/>
      <x:c r="Q234" s="9"/>
      <x:c r="R234" s="12" t="str">
        <x:f>IF(A234="","",IF(B234="","À compléter",IF(COUNTIFS($A$6:$A$505,A234,$B$6:$B$505,B234)&gt;1,"Doublon ville/mois",IF(OR(AND(ISNUMBER(H234),ISNUMBER(I234),I234&gt;H234),AND(ISNUMBER(M234),ISNUMBER(N234),N234&gt;M234),AND(ISNUMBER(O234),ISNUMBER(P234),P234&gt;O234)),"Incohérent",""))))</x:f>
      </x:c>
    </x:row>
    <x:row r="235" ht="23" customHeight="1">
      <x:c r="A235" s="9"/>
      <x:c r="B235" s="11"/>
      <x:c r="C235" s="10"/>
      <x:c r="D235" s="9"/>
      <x:c r="E235" s="9"/>
      <x:c r="F235" s="9"/>
      <x:c r="G235" s="9"/>
      <x:c r="H235" s="9"/>
      <x:c r="I235" s="9"/>
      <x:c r="J235" s="9"/>
      <x:c r="K235" s="9"/>
      <x:c r="L235" s="10"/>
      <x:c r="M235" s="9"/>
      <x:c r="N235" s="9"/>
      <x:c r="O235" s="9"/>
      <x:c r="P235" s="9"/>
      <x:c r="Q235" s="9"/>
      <x:c r="R235" s="12" t="str">
        <x:f>IF(A235="","",IF(B235="","À compléter",IF(COUNTIFS($A$6:$A$505,A235,$B$6:$B$505,B235)&gt;1,"Doublon ville/mois",IF(OR(AND(ISNUMBER(H235),ISNUMBER(I235),I235&gt;H235),AND(ISNUMBER(M235),ISNUMBER(N235),N235&gt;M235),AND(ISNUMBER(O235),ISNUMBER(P235),P235&gt;O235)),"Incohérent",""))))</x:f>
      </x:c>
    </x:row>
    <x:row r="236" ht="23" customHeight="1">
      <x:c r="A236" s="9"/>
      <x:c r="B236" s="11"/>
      <x:c r="C236" s="10"/>
      <x:c r="D236" s="9"/>
      <x:c r="E236" s="9"/>
      <x:c r="F236" s="9"/>
      <x:c r="G236" s="9"/>
      <x:c r="H236" s="9"/>
      <x:c r="I236" s="9"/>
      <x:c r="J236" s="9"/>
      <x:c r="K236" s="9"/>
      <x:c r="L236" s="10"/>
      <x:c r="M236" s="9"/>
      <x:c r="N236" s="9"/>
      <x:c r="O236" s="9"/>
      <x:c r="P236" s="9"/>
      <x:c r="Q236" s="9"/>
      <x:c r="R236" s="12" t="str">
        <x:f>IF(A236="","",IF(B236="","À compléter",IF(COUNTIFS($A$6:$A$505,A236,$B$6:$B$505,B236)&gt;1,"Doublon ville/mois",IF(OR(AND(ISNUMBER(H236),ISNUMBER(I236),I236&gt;H236),AND(ISNUMBER(M236),ISNUMBER(N236),N236&gt;M236),AND(ISNUMBER(O236),ISNUMBER(P236),P236&gt;O236)),"Incohérent",""))))</x:f>
      </x:c>
    </x:row>
    <x:row r="237" ht="23" customHeight="1">
      <x:c r="A237" s="9"/>
      <x:c r="B237" s="11"/>
      <x:c r="C237" s="10"/>
      <x:c r="D237" s="9"/>
      <x:c r="E237" s="9"/>
      <x:c r="F237" s="9"/>
      <x:c r="G237" s="9"/>
      <x:c r="H237" s="9"/>
      <x:c r="I237" s="9"/>
      <x:c r="J237" s="9"/>
      <x:c r="K237" s="9"/>
      <x:c r="L237" s="10"/>
      <x:c r="M237" s="9"/>
      <x:c r="N237" s="9"/>
      <x:c r="O237" s="9"/>
      <x:c r="P237" s="9"/>
      <x:c r="Q237" s="9"/>
      <x:c r="R237" s="12" t="str">
        <x:f>IF(A237="","",IF(B237="","À compléter",IF(COUNTIFS($A$6:$A$505,A237,$B$6:$B$505,B237)&gt;1,"Doublon ville/mois",IF(OR(AND(ISNUMBER(H237),ISNUMBER(I237),I237&gt;H237),AND(ISNUMBER(M237),ISNUMBER(N237),N237&gt;M237),AND(ISNUMBER(O237),ISNUMBER(P237),P237&gt;O237)),"Incohérent",""))))</x:f>
      </x:c>
    </x:row>
    <x:row r="238" ht="23" customHeight="1">
      <x:c r="A238" s="9"/>
      <x:c r="B238" s="11"/>
      <x:c r="C238" s="10"/>
      <x:c r="D238" s="9"/>
      <x:c r="E238" s="9"/>
      <x:c r="F238" s="9"/>
      <x:c r="G238" s="9"/>
      <x:c r="H238" s="9"/>
      <x:c r="I238" s="9"/>
      <x:c r="J238" s="9"/>
      <x:c r="K238" s="9"/>
      <x:c r="L238" s="10"/>
      <x:c r="M238" s="9"/>
      <x:c r="N238" s="9"/>
      <x:c r="O238" s="9"/>
      <x:c r="P238" s="9"/>
      <x:c r="Q238" s="9"/>
      <x:c r="R238" s="12" t="str">
        <x:f>IF(A238="","",IF(B238="","À compléter",IF(COUNTIFS($A$6:$A$505,A238,$B$6:$B$505,B238)&gt;1,"Doublon ville/mois",IF(OR(AND(ISNUMBER(H238),ISNUMBER(I238),I238&gt;H238),AND(ISNUMBER(M238),ISNUMBER(N238),N238&gt;M238),AND(ISNUMBER(O238),ISNUMBER(P238),P238&gt;O238)),"Incohérent",""))))</x:f>
      </x:c>
    </x:row>
    <x:row r="239" ht="23" customHeight="1">
      <x:c r="A239" s="9"/>
      <x:c r="B239" s="11"/>
      <x:c r="C239" s="10"/>
      <x:c r="D239" s="9"/>
      <x:c r="E239" s="9"/>
      <x:c r="F239" s="9"/>
      <x:c r="G239" s="9"/>
      <x:c r="H239" s="9"/>
      <x:c r="I239" s="9"/>
      <x:c r="J239" s="9"/>
      <x:c r="K239" s="9"/>
      <x:c r="L239" s="10"/>
      <x:c r="M239" s="9"/>
      <x:c r="N239" s="9"/>
      <x:c r="O239" s="9"/>
      <x:c r="P239" s="9"/>
      <x:c r="Q239" s="9"/>
      <x:c r="R239" s="12" t="str">
        <x:f>IF(A239="","",IF(B239="","À compléter",IF(COUNTIFS($A$6:$A$505,A239,$B$6:$B$505,B239)&gt;1,"Doublon ville/mois",IF(OR(AND(ISNUMBER(H239),ISNUMBER(I239),I239&gt;H239),AND(ISNUMBER(M239),ISNUMBER(N239),N239&gt;M239),AND(ISNUMBER(O239),ISNUMBER(P239),P239&gt;O239)),"Incohérent",""))))</x:f>
      </x:c>
    </x:row>
    <x:row r="240" ht="23" customHeight="1">
      <x:c r="A240" s="9"/>
      <x:c r="B240" s="11"/>
      <x:c r="C240" s="10"/>
      <x:c r="D240" s="9"/>
      <x:c r="E240" s="9"/>
      <x:c r="F240" s="9"/>
      <x:c r="G240" s="9"/>
      <x:c r="H240" s="9"/>
      <x:c r="I240" s="9"/>
      <x:c r="J240" s="9"/>
      <x:c r="K240" s="9"/>
      <x:c r="L240" s="10"/>
      <x:c r="M240" s="9"/>
      <x:c r="N240" s="9"/>
      <x:c r="O240" s="9"/>
      <x:c r="P240" s="9"/>
      <x:c r="Q240" s="9"/>
      <x:c r="R240" s="12" t="str">
        <x:f>IF(A240="","",IF(B240="","À compléter",IF(COUNTIFS($A$6:$A$505,A240,$B$6:$B$505,B240)&gt;1,"Doublon ville/mois",IF(OR(AND(ISNUMBER(H240),ISNUMBER(I240),I240&gt;H240),AND(ISNUMBER(M240),ISNUMBER(N240),N240&gt;M240),AND(ISNUMBER(O240),ISNUMBER(P240),P240&gt;O240)),"Incohérent",""))))</x:f>
      </x:c>
    </x:row>
    <x:row r="241" ht="23" customHeight="1">
      <x:c r="A241" s="9"/>
      <x:c r="B241" s="11"/>
      <x:c r="C241" s="10"/>
      <x:c r="D241" s="9"/>
      <x:c r="E241" s="9"/>
      <x:c r="F241" s="9"/>
      <x:c r="G241" s="9"/>
      <x:c r="H241" s="9"/>
      <x:c r="I241" s="9"/>
      <x:c r="J241" s="9"/>
      <x:c r="K241" s="9"/>
      <x:c r="L241" s="10"/>
      <x:c r="M241" s="9"/>
      <x:c r="N241" s="9"/>
      <x:c r="O241" s="9"/>
      <x:c r="P241" s="9"/>
      <x:c r="Q241" s="9"/>
      <x:c r="R241" s="12" t="str">
        <x:f>IF(A241="","",IF(B241="","À compléter",IF(COUNTIFS($A$6:$A$505,A241,$B$6:$B$505,B241)&gt;1,"Doublon ville/mois",IF(OR(AND(ISNUMBER(H241),ISNUMBER(I241),I241&gt;H241),AND(ISNUMBER(M241),ISNUMBER(N241),N241&gt;M241),AND(ISNUMBER(O241),ISNUMBER(P241),P241&gt;O241)),"Incohérent",""))))</x:f>
      </x:c>
    </x:row>
    <x:row r="242" ht="23" customHeight="1">
      <x:c r="A242" s="9"/>
      <x:c r="B242" s="11"/>
      <x:c r="C242" s="10"/>
      <x:c r="D242" s="9"/>
      <x:c r="E242" s="9"/>
      <x:c r="F242" s="9"/>
      <x:c r="G242" s="9"/>
      <x:c r="H242" s="9"/>
      <x:c r="I242" s="9"/>
      <x:c r="J242" s="9"/>
      <x:c r="K242" s="9"/>
      <x:c r="L242" s="10"/>
      <x:c r="M242" s="9"/>
      <x:c r="N242" s="9"/>
      <x:c r="O242" s="9"/>
      <x:c r="P242" s="9"/>
      <x:c r="Q242" s="9"/>
      <x:c r="R242" s="12" t="str">
        <x:f>IF(A242="","",IF(B242="","À compléter",IF(COUNTIFS($A$6:$A$505,A242,$B$6:$B$505,B242)&gt;1,"Doublon ville/mois",IF(OR(AND(ISNUMBER(H242),ISNUMBER(I242),I242&gt;H242),AND(ISNUMBER(M242),ISNUMBER(N242),N242&gt;M242),AND(ISNUMBER(O242),ISNUMBER(P242),P242&gt;O242)),"Incohérent",""))))</x:f>
      </x:c>
    </x:row>
    <x:row r="243" ht="23" customHeight="1">
      <x:c r="A243" s="9"/>
      <x:c r="B243" s="11"/>
      <x:c r="C243" s="10"/>
      <x:c r="D243" s="9"/>
      <x:c r="E243" s="9"/>
      <x:c r="F243" s="9"/>
      <x:c r="G243" s="9"/>
      <x:c r="H243" s="9"/>
      <x:c r="I243" s="9"/>
      <x:c r="J243" s="9"/>
      <x:c r="K243" s="9"/>
      <x:c r="L243" s="10"/>
      <x:c r="M243" s="9"/>
      <x:c r="N243" s="9"/>
      <x:c r="O243" s="9"/>
      <x:c r="P243" s="9"/>
      <x:c r="Q243" s="9"/>
      <x:c r="R243" s="12" t="str">
        <x:f>IF(A243="","",IF(B243="","À compléter",IF(COUNTIFS($A$6:$A$505,A243,$B$6:$B$505,B243)&gt;1,"Doublon ville/mois",IF(OR(AND(ISNUMBER(H243),ISNUMBER(I243),I243&gt;H243),AND(ISNUMBER(M243),ISNUMBER(N243),N243&gt;M243),AND(ISNUMBER(O243),ISNUMBER(P243),P243&gt;O243)),"Incohérent",""))))</x:f>
      </x:c>
    </x:row>
    <x:row r="244" ht="23" customHeight="1">
      <x:c r="A244" s="9"/>
      <x:c r="B244" s="11"/>
      <x:c r="C244" s="10"/>
      <x:c r="D244" s="9"/>
      <x:c r="E244" s="9"/>
      <x:c r="F244" s="9"/>
      <x:c r="G244" s="9"/>
      <x:c r="H244" s="9"/>
      <x:c r="I244" s="9"/>
      <x:c r="J244" s="9"/>
      <x:c r="K244" s="9"/>
      <x:c r="L244" s="10"/>
      <x:c r="M244" s="9"/>
      <x:c r="N244" s="9"/>
      <x:c r="O244" s="9"/>
      <x:c r="P244" s="9"/>
      <x:c r="Q244" s="9"/>
      <x:c r="R244" s="12" t="str">
        <x:f>IF(A244="","",IF(B244="","À compléter",IF(COUNTIFS($A$6:$A$505,A244,$B$6:$B$505,B244)&gt;1,"Doublon ville/mois",IF(OR(AND(ISNUMBER(H244),ISNUMBER(I244),I244&gt;H244),AND(ISNUMBER(M244),ISNUMBER(N244),N244&gt;M244),AND(ISNUMBER(O244),ISNUMBER(P244),P244&gt;O244)),"Incohérent",""))))</x:f>
      </x:c>
    </x:row>
    <x:row r="245" ht="23" customHeight="1">
      <x:c r="A245" s="9"/>
      <x:c r="B245" s="11"/>
      <x:c r="C245" s="10"/>
      <x:c r="D245" s="9"/>
      <x:c r="E245" s="9"/>
      <x:c r="F245" s="9"/>
      <x:c r="G245" s="9"/>
      <x:c r="H245" s="9"/>
      <x:c r="I245" s="9"/>
      <x:c r="J245" s="9"/>
      <x:c r="K245" s="9"/>
      <x:c r="L245" s="10"/>
      <x:c r="M245" s="9"/>
      <x:c r="N245" s="9"/>
      <x:c r="O245" s="9"/>
      <x:c r="P245" s="9"/>
      <x:c r="Q245" s="9"/>
      <x:c r="R245" s="12" t="str">
        <x:f>IF(A245="","",IF(B245="","À compléter",IF(COUNTIFS($A$6:$A$505,A245,$B$6:$B$505,B245)&gt;1,"Doublon ville/mois",IF(OR(AND(ISNUMBER(H245),ISNUMBER(I245),I245&gt;H245),AND(ISNUMBER(M245),ISNUMBER(N245),N245&gt;M245),AND(ISNUMBER(O245),ISNUMBER(P245),P245&gt;O245)),"Incohérent",""))))</x:f>
      </x:c>
    </x:row>
    <x:row r="246" ht="23" customHeight="1">
      <x:c r="A246" s="9"/>
      <x:c r="B246" s="11"/>
      <x:c r="C246" s="10"/>
      <x:c r="D246" s="9"/>
      <x:c r="E246" s="9"/>
      <x:c r="F246" s="9"/>
      <x:c r="G246" s="9"/>
      <x:c r="H246" s="9"/>
      <x:c r="I246" s="9"/>
      <x:c r="J246" s="9"/>
      <x:c r="K246" s="9"/>
      <x:c r="L246" s="10"/>
      <x:c r="M246" s="9"/>
      <x:c r="N246" s="9"/>
      <x:c r="O246" s="9"/>
      <x:c r="P246" s="9"/>
      <x:c r="Q246" s="9"/>
      <x:c r="R246" s="12" t="str">
        <x:f>IF(A246="","",IF(B246="","À compléter",IF(COUNTIFS($A$6:$A$505,A246,$B$6:$B$505,B246)&gt;1,"Doublon ville/mois",IF(OR(AND(ISNUMBER(H246),ISNUMBER(I246),I246&gt;H246),AND(ISNUMBER(M246),ISNUMBER(N246),N246&gt;M246),AND(ISNUMBER(O246),ISNUMBER(P246),P246&gt;O246)),"Incohérent",""))))</x:f>
      </x:c>
    </x:row>
    <x:row r="247" ht="23" customHeight="1">
      <x:c r="A247" s="9"/>
      <x:c r="B247" s="11"/>
      <x:c r="C247" s="10"/>
      <x:c r="D247" s="9"/>
      <x:c r="E247" s="9"/>
      <x:c r="F247" s="9"/>
      <x:c r="G247" s="9"/>
      <x:c r="H247" s="9"/>
      <x:c r="I247" s="9"/>
      <x:c r="J247" s="9"/>
      <x:c r="K247" s="9"/>
      <x:c r="L247" s="10"/>
      <x:c r="M247" s="9"/>
      <x:c r="N247" s="9"/>
      <x:c r="O247" s="9"/>
      <x:c r="P247" s="9"/>
      <x:c r="Q247" s="9"/>
      <x:c r="R247" s="12" t="str">
        <x:f>IF(A247="","",IF(B247="","À compléter",IF(COUNTIFS($A$6:$A$505,A247,$B$6:$B$505,B247)&gt;1,"Doublon ville/mois",IF(OR(AND(ISNUMBER(H247),ISNUMBER(I247),I247&gt;H247),AND(ISNUMBER(M247),ISNUMBER(N247),N247&gt;M247),AND(ISNUMBER(O247),ISNUMBER(P247),P247&gt;O247)),"Incohérent",""))))</x:f>
      </x:c>
    </x:row>
    <x:row r="248" ht="23" customHeight="1">
      <x:c r="A248" s="9"/>
      <x:c r="B248" s="11"/>
      <x:c r="C248" s="10"/>
      <x:c r="D248" s="9"/>
      <x:c r="E248" s="9"/>
      <x:c r="F248" s="9"/>
      <x:c r="G248" s="9"/>
      <x:c r="H248" s="9"/>
      <x:c r="I248" s="9"/>
      <x:c r="J248" s="9"/>
      <x:c r="K248" s="9"/>
      <x:c r="L248" s="10"/>
      <x:c r="M248" s="9"/>
      <x:c r="N248" s="9"/>
      <x:c r="O248" s="9"/>
      <x:c r="P248" s="9"/>
      <x:c r="Q248" s="9"/>
      <x:c r="R248" s="12" t="str">
        <x:f>IF(A248="","",IF(B248="","À compléter",IF(COUNTIFS($A$6:$A$505,A248,$B$6:$B$505,B248)&gt;1,"Doublon ville/mois",IF(OR(AND(ISNUMBER(H248),ISNUMBER(I248),I248&gt;H248),AND(ISNUMBER(M248),ISNUMBER(N248),N248&gt;M248),AND(ISNUMBER(O248),ISNUMBER(P248),P248&gt;O248)),"Incohérent",""))))</x:f>
      </x:c>
    </x:row>
    <x:row r="249" ht="23" customHeight="1">
      <x:c r="A249" s="9"/>
      <x:c r="B249" s="11"/>
      <x:c r="C249" s="10"/>
      <x:c r="D249" s="9"/>
      <x:c r="E249" s="9"/>
      <x:c r="F249" s="9"/>
      <x:c r="G249" s="9"/>
      <x:c r="H249" s="9"/>
      <x:c r="I249" s="9"/>
      <x:c r="J249" s="9"/>
      <x:c r="K249" s="9"/>
      <x:c r="L249" s="10"/>
      <x:c r="M249" s="9"/>
      <x:c r="N249" s="9"/>
      <x:c r="O249" s="9"/>
      <x:c r="P249" s="9"/>
      <x:c r="Q249" s="9"/>
      <x:c r="R249" s="12" t="str">
        <x:f>IF(A249="","",IF(B249="","À compléter",IF(COUNTIFS($A$6:$A$505,A249,$B$6:$B$505,B249)&gt;1,"Doublon ville/mois",IF(OR(AND(ISNUMBER(H249),ISNUMBER(I249),I249&gt;H249),AND(ISNUMBER(M249),ISNUMBER(N249),N249&gt;M249),AND(ISNUMBER(O249),ISNUMBER(P249),P249&gt;O249)),"Incohérent",""))))</x:f>
      </x:c>
    </x:row>
    <x:row r="250" ht="23" customHeight="1">
      <x:c r="A250" s="9"/>
      <x:c r="B250" s="11"/>
      <x:c r="C250" s="10"/>
      <x:c r="D250" s="9"/>
      <x:c r="E250" s="9"/>
      <x:c r="F250" s="9"/>
      <x:c r="G250" s="9"/>
      <x:c r="H250" s="9"/>
      <x:c r="I250" s="9"/>
      <x:c r="J250" s="9"/>
      <x:c r="K250" s="9"/>
      <x:c r="L250" s="10"/>
      <x:c r="M250" s="9"/>
      <x:c r="N250" s="9"/>
      <x:c r="O250" s="9"/>
      <x:c r="P250" s="9"/>
      <x:c r="Q250" s="9"/>
      <x:c r="R250" s="12" t="str">
        <x:f>IF(A250="","",IF(B250="","À compléter",IF(COUNTIFS($A$6:$A$505,A250,$B$6:$B$505,B250)&gt;1,"Doublon ville/mois",IF(OR(AND(ISNUMBER(H250),ISNUMBER(I250),I250&gt;H250),AND(ISNUMBER(M250),ISNUMBER(N250),N250&gt;M250),AND(ISNUMBER(O250),ISNUMBER(P250),P250&gt;O250)),"Incohérent",""))))</x:f>
      </x:c>
    </x:row>
    <x:row r="251" ht="23" customHeight="1">
      <x:c r="A251" s="9"/>
      <x:c r="B251" s="11"/>
      <x:c r="C251" s="10"/>
      <x:c r="D251" s="9"/>
      <x:c r="E251" s="9"/>
      <x:c r="F251" s="9"/>
      <x:c r="G251" s="9"/>
      <x:c r="H251" s="9"/>
      <x:c r="I251" s="9"/>
      <x:c r="J251" s="9"/>
      <x:c r="K251" s="9"/>
      <x:c r="L251" s="10"/>
      <x:c r="M251" s="9"/>
      <x:c r="N251" s="9"/>
      <x:c r="O251" s="9"/>
      <x:c r="P251" s="9"/>
      <x:c r="Q251" s="9"/>
      <x:c r="R251" s="12" t="str">
        <x:f>IF(A251="","",IF(B251="","À compléter",IF(COUNTIFS($A$6:$A$505,A251,$B$6:$B$505,B251)&gt;1,"Doublon ville/mois",IF(OR(AND(ISNUMBER(H251),ISNUMBER(I251),I251&gt;H251),AND(ISNUMBER(M251),ISNUMBER(N251),N251&gt;M251),AND(ISNUMBER(O251),ISNUMBER(P251),P251&gt;O251)),"Incohérent",""))))</x:f>
      </x:c>
    </x:row>
    <x:row r="252" ht="23" customHeight="1">
      <x:c r="A252" s="9"/>
      <x:c r="B252" s="11"/>
      <x:c r="C252" s="10"/>
      <x:c r="D252" s="9"/>
      <x:c r="E252" s="9"/>
      <x:c r="F252" s="9"/>
      <x:c r="G252" s="9"/>
      <x:c r="H252" s="9"/>
      <x:c r="I252" s="9"/>
      <x:c r="J252" s="9"/>
      <x:c r="K252" s="9"/>
      <x:c r="L252" s="10"/>
      <x:c r="M252" s="9"/>
      <x:c r="N252" s="9"/>
      <x:c r="O252" s="9"/>
      <x:c r="P252" s="9"/>
      <x:c r="Q252" s="9"/>
      <x:c r="R252" s="12" t="str">
        <x:f>IF(A252="","",IF(B252="","À compléter",IF(COUNTIFS($A$6:$A$505,A252,$B$6:$B$505,B252)&gt;1,"Doublon ville/mois",IF(OR(AND(ISNUMBER(H252),ISNUMBER(I252),I252&gt;H252),AND(ISNUMBER(M252),ISNUMBER(N252),N252&gt;M252),AND(ISNUMBER(O252),ISNUMBER(P252),P252&gt;O252)),"Incohérent",""))))</x:f>
      </x:c>
    </x:row>
    <x:row r="253" ht="23" customHeight="1">
      <x:c r="A253" s="9"/>
      <x:c r="B253" s="11"/>
      <x:c r="C253" s="10"/>
      <x:c r="D253" s="9"/>
      <x:c r="E253" s="9"/>
      <x:c r="F253" s="9"/>
      <x:c r="G253" s="9"/>
      <x:c r="H253" s="9"/>
      <x:c r="I253" s="9"/>
      <x:c r="J253" s="9"/>
      <x:c r="K253" s="9"/>
      <x:c r="L253" s="10"/>
      <x:c r="M253" s="9"/>
      <x:c r="N253" s="9"/>
      <x:c r="O253" s="9"/>
      <x:c r="P253" s="9"/>
      <x:c r="Q253" s="9"/>
      <x:c r="R253" s="12" t="str">
        <x:f>IF(A253="","",IF(B253="","À compléter",IF(COUNTIFS($A$6:$A$505,A253,$B$6:$B$505,B253)&gt;1,"Doublon ville/mois",IF(OR(AND(ISNUMBER(H253),ISNUMBER(I253),I253&gt;H253),AND(ISNUMBER(M253),ISNUMBER(N253),N253&gt;M253),AND(ISNUMBER(O253),ISNUMBER(P253),P253&gt;O253)),"Incohérent",""))))</x:f>
      </x:c>
    </x:row>
    <x:row r="254" ht="23" customHeight="1">
      <x:c r="A254" s="9"/>
      <x:c r="B254" s="11"/>
      <x:c r="C254" s="10"/>
      <x:c r="D254" s="9"/>
      <x:c r="E254" s="9"/>
      <x:c r="F254" s="9"/>
      <x:c r="G254" s="9"/>
      <x:c r="H254" s="9"/>
      <x:c r="I254" s="9"/>
      <x:c r="J254" s="9"/>
      <x:c r="K254" s="9"/>
      <x:c r="L254" s="10"/>
      <x:c r="M254" s="9"/>
      <x:c r="N254" s="9"/>
      <x:c r="O254" s="9"/>
      <x:c r="P254" s="9"/>
      <x:c r="Q254" s="9"/>
      <x:c r="R254" s="12" t="str">
        <x:f>IF(A254="","",IF(B254="","À compléter",IF(COUNTIFS($A$6:$A$505,A254,$B$6:$B$505,B254)&gt;1,"Doublon ville/mois",IF(OR(AND(ISNUMBER(H254),ISNUMBER(I254),I254&gt;H254),AND(ISNUMBER(M254),ISNUMBER(N254),N254&gt;M254),AND(ISNUMBER(O254),ISNUMBER(P254),P254&gt;O254)),"Incohérent",""))))</x:f>
      </x:c>
    </x:row>
    <x:row r="255" ht="23" customHeight="1">
      <x:c r="A255" s="9"/>
      <x:c r="B255" s="11"/>
      <x:c r="C255" s="10"/>
      <x:c r="D255" s="9"/>
      <x:c r="E255" s="9"/>
      <x:c r="F255" s="9"/>
      <x:c r="G255" s="9"/>
      <x:c r="H255" s="9"/>
      <x:c r="I255" s="9"/>
      <x:c r="J255" s="9"/>
      <x:c r="K255" s="9"/>
      <x:c r="L255" s="10"/>
      <x:c r="M255" s="9"/>
      <x:c r="N255" s="9"/>
      <x:c r="O255" s="9"/>
      <x:c r="P255" s="9"/>
      <x:c r="Q255" s="9"/>
      <x:c r="R255" s="12" t="str">
        <x:f>IF(A255="","",IF(B255="","À compléter",IF(COUNTIFS($A$6:$A$505,A255,$B$6:$B$505,B255)&gt;1,"Doublon ville/mois",IF(OR(AND(ISNUMBER(H255),ISNUMBER(I255),I255&gt;H255),AND(ISNUMBER(M255),ISNUMBER(N255),N255&gt;M255),AND(ISNUMBER(O255),ISNUMBER(P255),P255&gt;O255)),"Incohérent",""))))</x:f>
      </x:c>
    </x:row>
    <x:row r="256" ht="23" customHeight="1">
      <x:c r="A256" s="9"/>
      <x:c r="B256" s="11"/>
      <x:c r="C256" s="10"/>
      <x:c r="D256" s="9"/>
      <x:c r="E256" s="9"/>
      <x:c r="F256" s="9"/>
      <x:c r="G256" s="9"/>
      <x:c r="H256" s="9"/>
      <x:c r="I256" s="9"/>
      <x:c r="J256" s="9"/>
      <x:c r="K256" s="9"/>
      <x:c r="L256" s="10"/>
      <x:c r="M256" s="9"/>
      <x:c r="N256" s="9"/>
      <x:c r="O256" s="9"/>
      <x:c r="P256" s="9"/>
      <x:c r="Q256" s="9"/>
      <x:c r="R256" s="12" t="str">
        <x:f>IF(A256="","",IF(B256="","À compléter",IF(COUNTIFS($A$6:$A$505,A256,$B$6:$B$505,B256)&gt;1,"Doublon ville/mois",IF(OR(AND(ISNUMBER(H256),ISNUMBER(I256),I256&gt;H256),AND(ISNUMBER(M256),ISNUMBER(N256),N256&gt;M256),AND(ISNUMBER(O256),ISNUMBER(P256),P256&gt;O256)),"Incohérent",""))))</x:f>
      </x:c>
    </x:row>
    <x:row r="257" ht="23" customHeight="1">
      <x:c r="A257" s="9"/>
      <x:c r="B257" s="11"/>
      <x:c r="C257" s="10"/>
      <x:c r="D257" s="9"/>
      <x:c r="E257" s="9"/>
      <x:c r="F257" s="9"/>
      <x:c r="G257" s="9"/>
      <x:c r="H257" s="9"/>
      <x:c r="I257" s="9"/>
      <x:c r="J257" s="9"/>
      <x:c r="K257" s="9"/>
      <x:c r="L257" s="10"/>
      <x:c r="M257" s="9"/>
      <x:c r="N257" s="9"/>
      <x:c r="O257" s="9"/>
      <x:c r="P257" s="9"/>
      <x:c r="Q257" s="9"/>
      <x:c r="R257" s="12" t="str">
        <x:f>IF(A257="","",IF(B257="","À compléter",IF(COUNTIFS($A$6:$A$505,A257,$B$6:$B$505,B257)&gt;1,"Doublon ville/mois",IF(OR(AND(ISNUMBER(H257),ISNUMBER(I257),I257&gt;H257),AND(ISNUMBER(M257),ISNUMBER(N257),N257&gt;M257),AND(ISNUMBER(O257),ISNUMBER(P257),P257&gt;O257)),"Incohérent",""))))</x:f>
      </x:c>
    </x:row>
    <x:row r="258" ht="23" customHeight="1">
      <x:c r="A258" s="9"/>
      <x:c r="B258" s="11"/>
      <x:c r="C258" s="10"/>
      <x:c r="D258" s="9"/>
      <x:c r="E258" s="9"/>
      <x:c r="F258" s="9"/>
      <x:c r="G258" s="9"/>
      <x:c r="H258" s="9"/>
      <x:c r="I258" s="9"/>
      <x:c r="J258" s="9"/>
      <x:c r="K258" s="9"/>
      <x:c r="L258" s="10"/>
      <x:c r="M258" s="9"/>
      <x:c r="N258" s="9"/>
      <x:c r="O258" s="9"/>
      <x:c r="P258" s="9"/>
      <x:c r="Q258" s="9"/>
      <x:c r="R258" s="12" t="str">
        <x:f>IF(A258="","",IF(B258="","À compléter",IF(COUNTIFS($A$6:$A$505,A258,$B$6:$B$505,B258)&gt;1,"Doublon ville/mois",IF(OR(AND(ISNUMBER(H258),ISNUMBER(I258),I258&gt;H258),AND(ISNUMBER(M258),ISNUMBER(N258),N258&gt;M258),AND(ISNUMBER(O258),ISNUMBER(P258),P258&gt;O258)),"Incohérent",""))))</x:f>
      </x:c>
    </x:row>
    <x:row r="259" ht="23" customHeight="1">
      <x:c r="A259" s="9"/>
      <x:c r="B259" s="11"/>
      <x:c r="C259" s="10"/>
      <x:c r="D259" s="9"/>
      <x:c r="E259" s="9"/>
      <x:c r="F259" s="9"/>
      <x:c r="G259" s="9"/>
      <x:c r="H259" s="9"/>
      <x:c r="I259" s="9"/>
      <x:c r="J259" s="9"/>
      <x:c r="K259" s="9"/>
      <x:c r="L259" s="10"/>
      <x:c r="M259" s="9"/>
      <x:c r="N259" s="9"/>
      <x:c r="O259" s="9"/>
      <x:c r="P259" s="9"/>
      <x:c r="Q259" s="9"/>
      <x:c r="R259" s="12" t="str">
        <x:f>IF(A259="","",IF(B259="","À compléter",IF(COUNTIFS($A$6:$A$505,A259,$B$6:$B$505,B259)&gt;1,"Doublon ville/mois",IF(OR(AND(ISNUMBER(H259),ISNUMBER(I259),I259&gt;H259),AND(ISNUMBER(M259),ISNUMBER(N259),N259&gt;M259),AND(ISNUMBER(O259),ISNUMBER(P259),P259&gt;O259)),"Incohérent",""))))</x:f>
      </x:c>
    </x:row>
    <x:row r="260" ht="23" customHeight="1">
      <x:c r="A260" s="9"/>
      <x:c r="B260" s="11"/>
      <x:c r="C260" s="10"/>
      <x:c r="D260" s="9"/>
      <x:c r="E260" s="9"/>
      <x:c r="F260" s="9"/>
      <x:c r="G260" s="9"/>
      <x:c r="H260" s="9"/>
      <x:c r="I260" s="9"/>
      <x:c r="J260" s="9"/>
      <x:c r="K260" s="9"/>
      <x:c r="L260" s="10"/>
      <x:c r="M260" s="9"/>
      <x:c r="N260" s="9"/>
      <x:c r="O260" s="9"/>
      <x:c r="P260" s="9"/>
      <x:c r="Q260" s="9"/>
      <x:c r="R260" s="12" t="str">
        <x:f>IF(A260="","",IF(B260="","À compléter",IF(COUNTIFS($A$6:$A$505,A260,$B$6:$B$505,B260)&gt;1,"Doublon ville/mois",IF(OR(AND(ISNUMBER(H260),ISNUMBER(I260),I260&gt;H260),AND(ISNUMBER(M260),ISNUMBER(N260),N260&gt;M260),AND(ISNUMBER(O260),ISNUMBER(P260),P260&gt;O260)),"Incohérent",""))))</x:f>
      </x:c>
    </x:row>
    <x:row r="261" ht="23" customHeight="1">
      <x:c r="A261" s="9"/>
      <x:c r="B261" s="11"/>
      <x:c r="C261" s="10"/>
      <x:c r="D261" s="9"/>
      <x:c r="E261" s="9"/>
      <x:c r="F261" s="9"/>
      <x:c r="G261" s="9"/>
      <x:c r="H261" s="9"/>
      <x:c r="I261" s="9"/>
      <x:c r="J261" s="9"/>
      <x:c r="K261" s="9"/>
      <x:c r="L261" s="10"/>
      <x:c r="M261" s="9"/>
      <x:c r="N261" s="9"/>
      <x:c r="O261" s="9"/>
      <x:c r="P261" s="9"/>
      <x:c r="Q261" s="9"/>
      <x:c r="R261" s="12" t="str">
        <x:f>IF(A261="","",IF(B261="","À compléter",IF(COUNTIFS($A$6:$A$505,A261,$B$6:$B$505,B261)&gt;1,"Doublon ville/mois",IF(OR(AND(ISNUMBER(H261),ISNUMBER(I261),I261&gt;H261),AND(ISNUMBER(M261),ISNUMBER(N261),N261&gt;M261),AND(ISNUMBER(O261),ISNUMBER(P261),P261&gt;O261)),"Incohérent",""))))</x:f>
      </x:c>
    </x:row>
    <x:row r="262" ht="23" customHeight="1">
      <x:c r="A262" s="9"/>
      <x:c r="B262" s="11"/>
      <x:c r="C262" s="10"/>
      <x:c r="D262" s="9"/>
      <x:c r="E262" s="9"/>
      <x:c r="F262" s="9"/>
      <x:c r="G262" s="9"/>
      <x:c r="H262" s="9"/>
      <x:c r="I262" s="9"/>
      <x:c r="J262" s="9"/>
      <x:c r="K262" s="9"/>
      <x:c r="L262" s="10"/>
      <x:c r="M262" s="9"/>
      <x:c r="N262" s="9"/>
      <x:c r="O262" s="9"/>
      <x:c r="P262" s="9"/>
      <x:c r="Q262" s="9"/>
      <x:c r="R262" s="12" t="str">
        <x:f>IF(A262="","",IF(B262="","À compléter",IF(COUNTIFS($A$6:$A$505,A262,$B$6:$B$505,B262)&gt;1,"Doublon ville/mois",IF(OR(AND(ISNUMBER(H262),ISNUMBER(I262),I262&gt;H262),AND(ISNUMBER(M262),ISNUMBER(N262),N262&gt;M262),AND(ISNUMBER(O262),ISNUMBER(P262),P262&gt;O262)),"Incohérent",""))))</x:f>
      </x:c>
    </x:row>
    <x:row r="263" ht="23" customHeight="1">
      <x:c r="A263" s="9"/>
      <x:c r="B263" s="11"/>
      <x:c r="C263" s="10"/>
      <x:c r="D263" s="9"/>
      <x:c r="E263" s="9"/>
      <x:c r="F263" s="9"/>
      <x:c r="G263" s="9"/>
      <x:c r="H263" s="9"/>
      <x:c r="I263" s="9"/>
      <x:c r="J263" s="9"/>
      <x:c r="K263" s="9"/>
      <x:c r="L263" s="10"/>
      <x:c r="M263" s="9"/>
      <x:c r="N263" s="9"/>
      <x:c r="O263" s="9"/>
      <x:c r="P263" s="9"/>
      <x:c r="Q263" s="9"/>
      <x:c r="R263" s="12" t="str">
        <x:f>IF(A263="","",IF(B263="","À compléter",IF(COUNTIFS($A$6:$A$505,A263,$B$6:$B$505,B263)&gt;1,"Doublon ville/mois",IF(OR(AND(ISNUMBER(H263),ISNUMBER(I263),I263&gt;H263),AND(ISNUMBER(M263),ISNUMBER(N263),N263&gt;M263),AND(ISNUMBER(O263),ISNUMBER(P263),P263&gt;O263)),"Incohérent",""))))</x:f>
      </x:c>
    </x:row>
    <x:row r="264" ht="23" customHeight="1">
      <x:c r="A264" s="9"/>
      <x:c r="B264" s="11"/>
      <x:c r="C264" s="10"/>
      <x:c r="D264" s="9"/>
      <x:c r="E264" s="9"/>
      <x:c r="F264" s="9"/>
      <x:c r="G264" s="9"/>
      <x:c r="H264" s="9"/>
      <x:c r="I264" s="9"/>
      <x:c r="J264" s="9"/>
      <x:c r="K264" s="9"/>
      <x:c r="L264" s="10"/>
      <x:c r="M264" s="9"/>
      <x:c r="N264" s="9"/>
      <x:c r="O264" s="9"/>
      <x:c r="P264" s="9"/>
      <x:c r="Q264" s="9"/>
      <x:c r="R264" s="12" t="str">
        <x:f>IF(A264="","",IF(B264="","À compléter",IF(COUNTIFS($A$6:$A$505,A264,$B$6:$B$505,B264)&gt;1,"Doublon ville/mois",IF(OR(AND(ISNUMBER(H264),ISNUMBER(I264),I264&gt;H264),AND(ISNUMBER(M264),ISNUMBER(N264),N264&gt;M264),AND(ISNUMBER(O264),ISNUMBER(P264),P264&gt;O264)),"Incohérent",""))))</x:f>
      </x:c>
    </x:row>
    <x:row r="265" ht="23" customHeight="1">
      <x:c r="A265" s="9"/>
      <x:c r="B265" s="11"/>
      <x:c r="C265" s="10"/>
      <x:c r="D265" s="9"/>
      <x:c r="E265" s="9"/>
      <x:c r="F265" s="9"/>
      <x:c r="G265" s="9"/>
      <x:c r="H265" s="9"/>
      <x:c r="I265" s="9"/>
      <x:c r="J265" s="9"/>
      <x:c r="K265" s="9"/>
      <x:c r="L265" s="10"/>
      <x:c r="M265" s="9"/>
      <x:c r="N265" s="9"/>
      <x:c r="O265" s="9"/>
      <x:c r="P265" s="9"/>
      <x:c r="Q265" s="9"/>
      <x:c r="R265" s="12" t="str">
        <x:f>IF(A265="","",IF(B265="","À compléter",IF(COUNTIFS($A$6:$A$505,A265,$B$6:$B$505,B265)&gt;1,"Doublon ville/mois",IF(OR(AND(ISNUMBER(H265),ISNUMBER(I265),I265&gt;H265),AND(ISNUMBER(M265),ISNUMBER(N265),N265&gt;M265),AND(ISNUMBER(O265),ISNUMBER(P265),P265&gt;O265)),"Incohérent",""))))</x:f>
      </x:c>
    </x:row>
    <x:row r="266" ht="23" customHeight="1">
      <x:c r="A266" s="9"/>
      <x:c r="B266" s="11"/>
      <x:c r="C266" s="10"/>
      <x:c r="D266" s="9"/>
      <x:c r="E266" s="9"/>
      <x:c r="F266" s="9"/>
      <x:c r="G266" s="9"/>
      <x:c r="H266" s="9"/>
      <x:c r="I266" s="9"/>
      <x:c r="J266" s="9"/>
      <x:c r="K266" s="9"/>
      <x:c r="L266" s="10"/>
      <x:c r="M266" s="9"/>
      <x:c r="N266" s="9"/>
      <x:c r="O266" s="9"/>
      <x:c r="P266" s="9"/>
      <x:c r="Q266" s="9"/>
      <x:c r="R266" s="12" t="str">
        <x:f>IF(A266="","",IF(B266="","À compléter",IF(COUNTIFS($A$6:$A$505,A266,$B$6:$B$505,B266)&gt;1,"Doublon ville/mois",IF(OR(AND(ISNUMBER(H266),ISNUMBER(I266),I266&gt;H266),AND(ISNUMBER(M266),ISNUMBER(N266),N266&gt;M266),AND(ISNUMBER(O266),ISNUMBER(P266),P266&gt;O266)),"Incohérent",""))))</x:f>
      </x:c>
    </x:row>
    <x:row r="267" ht="23" customHeight="1">
      <x:c r="A267" s="9"/>
      <x:c r="B267" s="11"/>
      <x:c r="C267" s="10"/>
      <x:c r="D267" s="9"/>
      <x:c r="E267" s="9"/>
      <x:c r="F267" s="9"/>
      <x:c r="G267" s="9"/>
      <x:c r="H267" s="9"/>
      <x:c r="I267" s="9"/>
      <x:c r="J267" s="9"/>
      <x:c r="K267" s="9"/>
      <x:c r="L267" s="10"/>
      <x:c r="M267" s="9"/>
      <x:c r="N267" s="9"/>
      <x:c r="O267" s="9"/>
      <x:c r="P267" s="9"/>
      <x:c r="Q267" s="9"/>
      <x:c r="R267" s="12" t="str">
        <x:f>IF(A267="","",IF(B267="","À compléter",IF(COUNTIFS($A$6:$A$505,A267,$B$6:$B$505,B267)&gt;1,"Doublon ville/mois",IF(OR(AND(ISNUMBER(H267),ISNUMBER(I267),I267&gt;H267),AND(ISNUMBER(M267),ISNUMBER(N267),N267&gt;M267),AND(ISNUMBER(O267),ISNUMBER(P267),P267&gt;O267)),"Incohérent",""))))</x:f>
      </x:c>
    </x:row>
    <x:row r="268" ht="23" customHeight="1">
      <x:c r="A268" s="9"/>
      <x:c r="B268" s="11"/>
      <x:c r="C268" s="10"/>
      <x:c r="D268" s="9"/>
      <x:c r="E268" s="9"/>
      <x:c r="F268" s="9"/>
      <x:c r="G268" s="9"/>
      <x:c r="H268" s="9"/>
      <x:c r="I268" s="9"/>
      <x:c r="J268" s="9"/>
      <x:c r="K268" s="9"/>
      <x:c r="L268" s="10"/>
      <x:c r="M268" s="9"/>
      <x:c r="N268" s="9"/>
      <x:c r="O268" s="9"/>
      <x:c r="P268" s="9"/>
      <x:c r="Q268" s="9"/>
      <x:c r="R268" s="12" t="str">
        <x:f>IF(A268="","",IF(B268="","À compléter",IF(COUNTIFS($A$6:$A$505,A268,$B$6:$B$505,B268)&gt;1,"Doublon ville/mois",IF(OR(AND(ISNUMBER(H268),ISNUMBER(I268),I268&gt;H268),AND(ISNUMBER(M268),ISNUMBER(N268),N268&gt;M268),AND(ISNUMBER(O268),ISNUMBER(P268),P268&gt;O268)),"Incohérent",""))))</x:f>
      </x:c>
    </x:row>
    <x:row r="269" ht="23" customHeight="1">
      <x:c r="A269" s="9"/>
      <x:c r="B269" s="11"/>
      <x:c r="C269" s="10"/>
      <x:c r="D269" s="9"/>
      <x:c r="E269" s="9"/>
      <x:c r="F269" s="9"/>
      <x:c r="G269" s="9"/>
      <x:c r="H269" s="9"/>
      <x:c r="I269" s="9"/>
      <x:c r="J269" s="9"/>
      <x:c r="K269" s="9"/>
      <x:c r="L269" s="10"/>
      <x:c r="M269" s="9"/>
      <x:c r="N269" s="9"/>
      <x:c r="O269" s="9"/>
      <x:c r="P269" s="9"/>
      <x:c r="Q269" s="9"/>
      <x:c r="R269" s="12" t="str">
        <x:f>IF(A269="","",IF(B269="","À compléter",IF(COUNTIFS($A$6:$A$505,A269,$B$6:$B$505,B269)&gt;1,"Doublon ville/mois",IF(OR(AND(ISNUMBER(H269),ISNUMBER(I269),I269&gt;H269),AND(ISNUMBER(M269),ISNUMBER(N269),N269&gt;M269),AND(ISNUMBER(O269),ISNUMBER(P269),P269&gt;O269)),"Incohérent",""))))</x:f>
      </x:c>
    </x:row>
    <x:row r="270" ht="23" customHeight="1">
      <x:c r="A270" s="9"/>
      <x:c r="B270" s="11"/>
      <x:c r="C270" s="10"/>
      <x:c r="D270" s="9"/>
      <x:c r="E270" s="9"/>
      <x:c r="F270" s="9"/>
      <x:c r="G270" s="9"/>
      <x:c r="H270" s="9"/>
      <x:c r="I270" s="9"/>
      <x:c r="J270" s="9"/>
      <x:c r="K270" s="9"/>
      <x:c r="L270" s="10"/>
      <x:c r="M270" s="9"/>
      <x:c r="N270" s="9"/>
      <x:c r="O270" s="9"/>
      <x:c r="P270" s="9"/>
      <x:c r="Q270" s="9"/>
      <x:c r="R270" s="12" t="str">
        <x:f>IF(A270="","",IF(B270="","À compléter",IF(COUNTIFS($A$6:$A$505,A270,$B$6:$B$505,B270)&gt;1,"Doublon ville/mois",IF(OR(AND(ISNUMBER(H270),ISNUMBER(I270),I270&gt;H270),AND(ISNUMBER(M270),ISNUMBER(N270),N270&gt;M270),AND(ISNUMBER(O270),ISNUMBER(P270),P270&gt;O270)),"Incohérent",""))))</x:f>
      </x:c>
    </x:row>
    <x:row r="271" ht="23" customHeight="1">
      <x:c r="A271" s="9"/>
      <x:c r="B271" s="11"/>
      <x:c r="C271" s="10"/>
      <x:c r="D271" s="9"/>
      <x:c r="E271" s="9"/>
      <x:c r="F271" s="9"/>
      <x:c r="G271" s="9"/>
      <x:c r="H271" s="9"/>
      <x:c r="I271" s="9"/>
      <x:c r="J271" s="9"/>
      <x:c r="K271" s="9"/>
      <x:c r="L271" s="10"/>
      <x:c r="M271" s="9"/>
      <x:c r="N271" s="9"/>
      <x:c r="O271" s="9"/>
      <x:c r="P271" s="9"/>
      <x:c r="Q271" s="9"/>
      <x:c r="R271" s="12" t="str">
        <x:f>IF(A271="","",IF(B271="","À compléter",IF(COUNTIFS($A$6:$A$505,A271,$B$6:$B$505,B271)&gt;1,"Doublon ville/mois",IF(OR(AND(ISNUMBER(H271),ISNUMBER(I271),I271&gt;H271),AND(ISNUMBER(M271),ISNUMBER(N271),N271&gt;M271),AND(ISNUMBER(O271),ISNUMBER(P271),P271&gt;O271)),"Incohérent",""))))</x:f>
      </x:c>
    </x:row>
    <x:row r="272" ht="23" customHeight="1">
      <x:c r="A272" s="9"/>
      <x:c r="B272" s="11"/>
      <x:c r="C272" s="10"/>
      <x:c r="D272" s="9"/>
      <x:c r="E272" s="9"/>
      <x:c r="F272" s="9"/>
      <x:c r="G272" s="9"/>
      <x:c r="H272" s="9"/>
      <x:c r="I272" s="9"/>
      <x:c r="J272" s="9"/>
      <x:c r="K272" s="9"/>
      <x:c r="L272" s="10"/>
      <x:c r="M272" s="9"/>
      <x:c r="N272" s="9"/>
      <x:c r="O272" s="9"/>
      <x:c r="P272" s="9"/>
      <x:c r="Q272" s="9"/>
      <x:c r="R272" s="12" t="str">
        <x:f>IF(A272="","",IF(B272="","À compléter",IF(COUNTIFS($A$6:$A$505,A272,$B$6:$B$505,B272)&gt;1,"Doublon ville/mois",IF(OR(AND(ISNUMBER(H272),ISNUMBER(I272),I272&gt;H272),AND(ISNUMBER(M272),ISNUMBER(N272),N272&gt;M272),AND(ISNUMBER(O272),ISNUMBER(P272),P272&gt;O272)),"Incohérent",""))))</x:f>
      </x:c>
    </x:row>
    <x:row r="273" ht="23" customHeight="1">
      <x:c r="A273" s="9"/>
      <x:c r="B273" s="11"/>
      <x:c r="C273" s="10"/>
      <x:c r="D273" s="9"/>
      <x:c r="E273" s="9"/>
      <x:c r="F273" s="9"/>
      <x:c r="G273" s="9"/>
      <x:c r="H273" s="9"/>
      <x:c r="I273" s="9"/>
      <x:c r="J273" s="9"/>
      <x:c r="K273" s="9"/>
      <x:c r="L273" s="10"/>
      <x:c r="M273" s="9"/>
      <x:c r="N273" s="9"/>
      <x:c r="O273" s="9"/>
      <x:c r="P273" s="9"/>
      <x:c r="Q273" s="9"/>
      <x:c r="R273" s="12" t="str">
        <x:f>IF(A273="","",IF(B273="","À compléter",IF(COUNTIFS($A$6:$A$505,A273,$B$6:$B$505,B273)&gt;1,"Doublon ville/mois",IF(OR(AND(ISNUMBER(H273),ISNUMBER(I273),I273&gt;H273),AND(ISNUMBER(M273),ISNUMBER(N273),N273&gt;M273),AND(ISNUMBER(O273),ISNUMBER(P273),P273&gt;O273)),"Incohérent",""))))</x:f>
      </x:c>
    </x:row>
    <x:row r="274" ht="23" customHeight="1">
      <x:c r="A274" s="9"/>
      <x:c r="B274" s="11"/>
      <x:c r="C274" s="10"/>
      <x:c r="D274" s="9"/>
      <x:c r="E274" s="9"/>
      <x:c r="F274" s="9"/>
      <x:c r="G274" s="9"/>
      <x:c r="H274" s="9"/>
      <x:c r="I274" s="9"/>
      <x:c r="J274" s="9"/>
      <x:c r="K274" s="9"/>
      <x:c r="L274" s="10"/>
      <x:c r="M274" s="9"/>
      <x:c r="N274" s="9"/>
      <x:c r="O274" s="9"/>
      <x:c r="P274" s="9"/>
      <x:c r="Q274" s="9"/>
      <x:c r="R274" s="12" t="str">
        <x:f>IF(A274="","",IF(B274="","À compléter",IF(COUNTIFS($A$6:$A$505,A274,$B$6:$B$505,B274)&gt;1,"Doublon ville/mois",IF(OR(AND(ISNUMBER(H274),ISNUMBER(I274),I274&gt;H274),AND(ISNUMBER(M274),ISNUMBER(N274),N274&gt;M274),AND(ISNUMBER(O274),ISNUMBER(P274),P274&gt;O274)),"Incohérent",""))))</x:f>
      </x:c>
    </x:row>
    <x:row r="275" ht="23" customHeight="1">
      <x:c r="A275" s="9"/>
      <x:c r="B275" s="11"/>
      <x:c r="C275" s="10"/>
      <x:c r="D275" s="9"/>
      <x:c r="E275" s="9"/>
      <x:c r="F275" s="9"/>
      <x:c r="G275" s="9"/>
      <x:c r="H275" s="9"/>
      <x:c r="I275" s="9"/>
      <x:c r="J275" s="9"/>
      <x:c r="K275" s="9"/>
      <x:c r="L275" s="10"/>
      <x:c r="M275" s="9"/>
      <x:c r="N275" s="9"/>
      <x:c r="O275" s="9"/>
      <x:c r="P275" s="9"/>
      <x:c r="Q275" s="9"/>
      <x:c r="R275" s="12" t="str">
        <x:f>IF(A275="","",IF(B275="","À compléter",IF(COUNTIFS($A$6:$A$505,A275,$B$6:$B$505,B275)&gt;1,"Doublon ville/mois",IF(OR(AND(ISNUMBER(H275),ISNUMBER(I275),I275&gt;H275),AND(ISNUMBER(M275),ISNUMBER(N275),N275&gt;M275),AND(ISNUMBER(O275),ISNUMBER(P275),P275&gt;O275)),"Incohérent",""))))</x:f>
      </x:c>
    </x:row>
    <x:row r="276" ht="23" customHeight="1">
      <x:c r="A276" s="9"/>
      <x:c r="B276" s="11"/>
      <x:c r="C276" s="10"/>
      <x:c r="D276" s="9"/>
      <x:c r="E276" s="9"/>
      <x:c r="F276" s="9"/>
      <x:c r="G276" s="9"/>
      <x:c r="H276" s="9"/>
      <x:c r="I276" s="9"/>
      <x:c r="J276" s="9"/>
      <x:c r="K276" s="9"/>
      <x:c r="L276" s="10"/>
      <x:c r="M276" s="9"/>
      <x:c r="N276" s="9"/>
      <x:c r="O276" s="9"/>
      <x:c r="P276" s="9"/>
      <x:c r="Q276" s="9"/>
      <x:c r="R276" s="12" t="str">
        <x:f>IF(A276="","",IF(B276="","À compléter",IF(COUNTIFS($A$6:$A$505,A276,$B$6:$B$505,B276)&gt;1,"Doublon ville/mois",IF(OR(AND(ISNUMBER(H276),ISNUMBER(I276),I276&gt;H276),AND(ISNUMBER(M276),ISNUMBER(N276),N276&gt;M276),AND(ISNUMBER(O276),ISNUMBER(P276),P276&gt;O276)),"Incohérent",""))))</x:f>
      </x:c>
    </x:row>
    <x:row r="277" ht="23" customHeight="1">
      <x:c r="A277" s="9"/>
      <x:c r="B277" s="11"/>
      <x:c r="C277" s="10"/>
      <x:c r="D277" s="9"/>
      <x:c r="E277" s="9"/>
      <x:c r="F277" s="9"/>
      <x:c r="G277" s="9"/>
      <x:c r="H277" s="9"/>
      <x:c r="I277" s="9"/>
      <x:c r="J277" s="9"/>
      <x:c r="K277" s="9"/>
      <x:c r="L277" s="10"/>
      <x:c r="M277" s="9"/>
      <x:c r="N277" s="9"/>
      <x:c r="O277" s="9"/>
      <x:c r="P277" s="9"/>
      <x:c r="Q277" s="9"/>
      <x:c r="R277" s="12" t="str">
        <x:f>IF(A277="","",IF(B277="","À compléter",IF(COUNTIFS($A$6:$A$505,A277,$B$6:$B$505,B277)&gt;1,"Doublon ville/mois",IF(OR(AND(ISNUMBER(H277),ISNUMBER(I277),I277&gt;H277),AND(ISNUMBER(M277),ISNUMBER(N277),N277&gt;M277),AND(ISNUMBER(O277),ISNUMBER(P277),P277&gt;O277)),"Incohérent",""))))</x:f>
      </x:c>
    </x:row>
    <x:row r="278" ht="23" customHeight="1">
      <x:c r="A278" s="9"/>
      <x:c r="B278" s="11"/>
      <x:c r="C278" s="10"/>
      <x:c r="D278" s="9"/>
      <x:c r="E278" s="9"/>
      <x:c r="F278" s="9"/>
      <x:c r="G278" s="9"/>
      <x:c r="H278" s="9"/>
      <x:c r="I278" s="9"/>
      <x:c r="J278" s="9"/>
      <x:c r="K278" s="9"/>
      <x:c r="L278" s="10"/>
      <x:c r="M278" s="9"/>
      <x:c r="N278" s="9"/>
      <x:c r="O278" s="9"/>
      <x:c r="P278" s="9"/>
      <x:c r="Q278" s="9"/>
      <x:c r="R278" s="12" t="str">
        <x:f>IF(A278="","",IF(B278="","À compléter",IF(COUNTIFS($A$6:$A$505,A278,$B$6:$B$505,B278)&gt;1,"Doublon ville/mois",IF(OR(AND(ISNUMBER(H278),ISNUMBER(I278),I278&gt;H278),AND(ISNUMBER(M278),ISNUMBER(N278),N278&gt;M278),AND(ISNUMBER(O278),ISNUMBER(P278),P278&gt;O278)),"Incohérent",""))))</x:f>
      </x:c>
    </x:row>
    <x:row r="279" ht="23" customHeight="1">
      <x:c r="A279" s="9"/>
      <x:c r="B279" s="11"/>
      <x:c r="C279" s="10"/>
      <x:c r="D279" s="9"/>
      <x:c r="E279" s="9"/>
      <x:c r="F279" s="9"/>
      <x:c r="G279" s="9"/>
      <x:c r="H279" s="9"/>
      <x:c r="I279" s="9"/>
      <x:c r="J279" s="9"/>
      <x:c r="K279" s="9"/>
      <x:c r="L279" s="10"/>
      <x:c r="M279" s="9"/>
      <x:c r="N279" s="9"/>
      <x:c r="O279" s="9"/>
      <x:c r="P279" s="9"/>
      <x:c r="Q279" s="9"/>
      <x:c r="R279" s="12" t="str">
        <x:f>IF(A279="","",IF(B279="","À compléter",IF(COUNTIFS($A$6:$A$505,A279,$B$6:$B$505,B279)&gt;1,"Doublon ville/mois",IF(OR(AND(ISNUMBER(H279),ISNUMBER(I279),I279&gt;H279),AND(ISNUMBER(M279),ISNUMBER(N279),N279&gt;M279),AND(ISNUMBER(O279),ISNUMBER(P279),P279&gt;O279)),"Incohérent",""))))</x:f>
      </x:c>
    </x:row>
    <x:row r="280" ht="23" customHeight="1">
      <x:c r="A280" s="9"/>
      <x:c r="B280" s="11"/>
      <x:c r="C280" s="10"/>
      <x:c r="D280" s="9"/>
      <x:c r="E280" s="9"/>
      <x:c r="F280" s="9"/>
      <x:c r="G280" s="9"/>
      <x:c r="H280" s="9"/>
      <x:c r="I280" s="9"/>
      <x:c r="J280" s="9"/>
      <x:c r="K280" s="9"/>
      <x:c r="L280" s="10"/>
      <x:c r="M280" s="9"/>
      <x:c r="N280" s="9"/>
      <x:c r="O280" s="9"/>
      <x:c r="P280" s="9"/>
      <x:c r="Q280" s="9"/>
      <x:c r="R280" s="12" t="str">
        <x:f>IF(A280="","",IF(B280="","À compléter",IF(COUNTIFS($A$6:$A$505,A280,$B$6:$B$505,B280)&gt;1,"Doublon ville/mois",IF(OR(AND(ISNUMBER(H280),ISNUMBER(I280),I280&gt;H280),AND(ISNUMBER(M280),ISNUMBER(N280),N280&gt;M280),AND(ISNUMBER(O280),ISNUMBER(P280),P280&gt;O280)),"Incohérent",""))))</x:f>
      </x:c>
    </x:row>
    <x:row r="281" ht="23" customHeight="1">
      <x:c r="A281" s="9"/>
      <x:c r="B281" s="11"/>
      <x:c r="C281" s="10"/>
      <x:c r="D281" s="9"/>
      <x:c r="E281" s="9"/>
      <x:c r="F281" s="9"/>
      <x:c r="G281" s="9"/>
      <x:c r="H281" s="9"/>
      <x:c r="I281" s="9"/>
      <x:c r="J281" s="9"/>
      <x:c r="K281" s="9"/>
      <x:c r="L281" s="10"/>
      <x:c r="M281" s="9"/>
      <x:c r="N281" s="9"/>
      <x:c r="O281" s="9"/>
      <x:c r="P281" s="9"/>
      <x:c r="Q281" s="9"/>
      <x:c r="R281" s="12" t="str">
        <x:f>IF(A281="","",IF(B281="","À compléter",IF(COUNTIFS($A$6:$A$505,A281,$B$6:$B$505,B281)&gt;1,"Doublon ville/mois",IF(OR(AND(ISNUMBER(H281),ISNUMBER(I281),I281&gt;H281),AND(ISNUMBER(M281),ISNUMBER(N281),N281&gt;M281),AND(ISNUMBER(O281),ISNUMBER(P281),P281&gt;O281)),"Incohérent",""))))</x:f>
      </x:c>
    </x:row>
    <x:row r="282" ht="23" customHeight="1">
      <x:c r="A282" s="9"/>
      <x:c r="B282" s="11"/>
      <x:c r="C282" s="10"/>
      <x:c r="D282" s="9"/>
      <x:c r="E282" s="9"/>
      <x:c r="F282" s="9"/>
      <x:c r="G282" s="9"/>
      <x:c r="H282" s="9"/>
      <x:c r="I282" s="9"/>
      <x:c r="J282" s="9"/>
      <x:c r="K282" s="9"/>
      <x:c r="L282" s="10"/>
      <x:c r="M282" s="9"/>
      <x:c r="N282" s="9"/>
      <x:c r="O282" s="9"/>
      <x:c r="P282" s="9"/>
      <x:c r="Q282" s="9"/>
      <x:c r="R282" s="12" t="str">
        <x:f>IF(A282="","",IF(B282="","À compléter",IF(COUNTIFS($A$6:$A$505,A282,$B$6:$B$505,B282)&gt;1,"Doublon ville/mois",IF(OR(AND(ISNUMBER(H282),ISNUMBER(I282),I282&gt;H282),AND(ISNUMBER(M282),ISNUMBER(N282),N282&gt;M282),AND(ISNUMBER(O282),ISNUMBER(P282),P282&gt;O282)),"Incohérent",""))))</x:f>
      </x:c>
    </x:row>
    <x:row r="283" ht="23" customHeight="1">
      <x:c r="A283" s="9"/>
      <x:c r="B283" s="11"/>
      <x:c r="C283" s="10"/>
      <x:c r="D283" s="9"/>
      <x:c r="E283" s="9"/>
      <x:c r="F283" s="9"/>
      <x:c r="G283" s="9"/>
      <x:c r="H283" s="9"/>
      <x:c r="I283" s="9"/>
      <x:c r="J283" s="9"/>
      <x:c r="K283" s="9"/>
      <x:c r="L283" s="10"/>
      <x:c r="M283" s="9"/>
      <x:c r="N283" s="9"/>
      <x:c r="O283" s="9"/>
      <x:c r="P283" s="9"/>
      <x:c r="Q283" s="9"/>
      <x:c r="R283" s="12" t="str">
        <x:f>IF(A283="","",IF(B283="","À compléter",IF(COUNTIFS($A$6:$A$505,A283,$B$6:$B$505,B283)&gt;1,"Doublon ville/mois",IF(OR(AND(ISNUMBER(H283),ISNUMBER(I283),I283&gt;H283),AND(ISNUMBER(M283),ISNUMBER(N283),N283&gt;M283),AND(ISNUMBER(O283),ISNUMBER(P283),P283&gt;O283)),"Incohérent",""))))</x:f>
      </x:c>
    </x:row>
    <x:row r="284" ht="23" customHeight="1">
      <x:c r="A284" s="9"/>
      <x:c r="B284" s="11"/>
      <x:c r="C284" s="10"/>
      <x:c r="D284" s="9"/>
      <x:c r="E284" s="9"/>
      <x:c r="F284" s="9"/>
      <x:c r="G284" s="9"/>
      <x:c r="H284" s="9"/>
      <x:c r="I284" s="9"/>
      <x:c r="J284" s="9"/>
      <x:c r="K284" s="9"/>
      <x:c r="L284" s="10"/>
      <x:c r="M284" s="9"/>
      <x:c r="N284" s="9"/>
      <x:c r="O284" s="9"/>
      <x:c r="P284" s="9"/>
      <x:c r="Q284" s="9"/>
      <x:c r="R284" s="12" t="str">
        <x:f>IF(A284="","",IF(B284="","À compléter",IF(COUNTIFS($A$6:$A$505,A284,$B$6:$B$505,B284)&gt;1,"Doublon ville/mois",IF(OR(AND(ISNUMBER(H284),ISNUMBER(I284),I284&gt;H284),AND(ISNUMBER(M284),ISNUMBER(N284),N284&gt;M284),AND(ISNUMBER(O284),ISNUMBER(P284),P284&gt;O284)),"Incohérent",""))))</x:f>
      </x:c>
    </x:row>
    <x:row r="285" ht="23" customHeight="1">
      <x:c r="A285" s="9"/>
      <x:c r="B285" s="11"/>
      <x:c r="C285" s="10"/>
      <x:c r="D285" s="9"/>
      <x:c r="E285" s="9"/>
      <x:c r="F285" s="9"/>
      <x:c r="G285" s="9"/>
      <x:c r="H285" s="9"/>
      <x:c r="I285" s="9"/>
      <x:c r="J285" s="9"/>
      <x:c r="K285" s="9"/>
      <x:c r="L285" s="10"/>
      <x:c r="M285" s="9"/>
      <x:c r="N285" s="9"/>
      <x:c r="O285" s="9"/>
      <x:c r="P285" s="9"/>
      <x:c r="Q285" s="9"/>
      <x:c r="R285" s="12" t="str">
        <x:f>IF(A285="","",IF(B285="","À compléter",IF(COUNTIFS($A$6:$A$505,A285,$B$6:$B$505,B285)&gt;1,"Doublon ville/mois",IF(OR(AND(ISNUMBER(H285),ISNUMBER(I285),I285&gt;H285),AND(ISNUMBER(M285),ISNUMBER(N285),N285&gt;M285),AND(ISNUMBER(O285),ISNUMBER(P285),P285&gt;O285)),"Incohérent",""))))</x:f>
      </x:c>
    </x:row>
    <x:row r="286" ht="23" customHeight="1">
      <x:c r="A286" s="9"/>
      <x:c r="B286" s="11"/>
      <x:c r="C286" s="10"/>
      <x:c r="D286" s="9"/>
      <x:c r="E286" s="9"/>
      <x:c r="F286" s="9"/>
      <x:c r="G286" s="9"/>
      <x:c r="H286" s="9"/>
      <x:c r="I286" s="9"/>
      <x:c r="J286" s="9"/>
      <x:c r="K286" s="9"/>
      <x:c r="L286" s="10"/>
      <x:c r="M286" s="9"/>
      <x:c r="N286" s="9"/>
      <x:c r="O286" s="9"/>
      <x:c r="P286" s="9"/>
      <x:c r="Q286" s="9"/>
      <x:c r="R286" s="12" t="str">
        <x:f>IF(A286="","",IF(B286="","À compléter",IF(COUNTIFS($A$6:$A$505,A286,$B$6:$B$505,B286)&gt;1,"Doublon ville/mois",IF(OR(AND(ISNUMBER(H286),ISNUMBER(I286),I286&gt;H286),AND(ISNUMBER(M286),ISNUMBER(N286),N286&gt;M286),AND(ISNUMBER(O286),ISNUMBER(P286),P286&gt;O286)),"Incohérent",""))))</x:f>
      </x:c>
    </x:row>
    <x:row r="287" ht="23" customHeight="1">
      <x:c r="A287" s="9"/>
      <x:c r="B287" s="11"/>
      <x:c r="C287" s="10"/>
      <x:c r="D287" s="9"/>
      <x:c r="E287" s="9"/>
      <x:c r="F287" s="9"/>
      <x:c r="G287" s="9"/>
      <x:c r="H287" s="9"/>
      <x:c r="I287" s="9"/>
      <x:c r="J287" s="9"/>
      <x:c r="K287" s="9"/>
      <x:c r="L287" s="10"/>
      <x:c r="M287" s="9"/>
      <x:c r="N287" s="9"/>
      <x:c r="O287" s="9"/>
      <x:c r="P287" s="9"/>
      <x:c r="Q287" s="9"/>
      <x:c r="R287" s="12" t="str">
        <x:f>IF(A287="","",IF(B287="","À compléter",IF(COUNTIFS($A$6:$A$505,A287,$B$6:$B$505,B287)&gt;1,"Doublon ville/mois",IF(OR(AND(ISNUMBER(H287),ISNUMBER(I287),I287&gt;H287),AND(ISNUMBER(M287),ISNUMBER(N287),N287&gt;M287),AND(ISNUMBER(O287),ISNUMBER(P287),P287&gt;O287)),"Incohérent",""))))</x:f>
      </x:c>
    </x:row>
    <x:row r="288" ht="23" customHeight="1">
      <x:c r="A288" s="9"/>
      <x:c r="B288" s="11"/>
      <x:c r="C288" s="10"/>
      <x:c r="D288" s="9"/>
      <x:c r="E288" s="9"/>
      <x:c r="F288" s="9"/>
      <x:c r="G288" s="9"/>
      <x:c r="H288" s="9"/>
      <x:c r="I288" s="9"/>
      <x:c r="J288" s="9"/>
      <x:c r="K288" s="9"/>
      <x:c r="L288" s="10"/>
      <x:c r="M288" s="9"/>
      <x:c r="N288" s="9"/>
      <x:c r="O288" s="9"/>
      <x:c r="P288" s="9"/>
      <x:c r="Q288" s="9"/>
      <x:c r="R288" s="12" t="str">
        <x:f>IF(A288="","",IF(B288="","À compléter",IF(COUNTIFS($A$6:$A$505,A288,$B$6:$B$505,B288)&gt;1,"Doublon ville/mois",IF(OR(AND(ISNUMBER(H288),ISNUMBER(I288),I288&gt;H288),AND(ISNUMBER(M288),ISNUMBER(N288),N288&gt;M288),AND(ISNUMBER(O288),ISNUMBER(P288),P288&gt;O288)),"Incohérent",""))))</x:f>
      </x:c>
    </x:row>
    <x:row r="289" ht="23" customHeight="1">
      <x:c r="A289" s="9"/>
      <x:c r="B289" s="11"/>
      <x:c r="C289" s="10"/>
      <x:c r="D289" s="9"/>
      <x:c r="E289" s="9"/>
      <x:c r="F289" s="9"/>
      <x:c r="G289" s="9"/>
      <x:c r="H289" s="9"/>
      <x:c r="I289" s="9"/>
      <x:c r="J289" s="9"/>
      <x:c r="K289" s="9"/>
      <x:c r="L289" s="10"/>
      <x:c r="M289" s="9"/>
      <x:c r="N289" s="9"/>
      <x:c r="O289" s="9"/>
      <x:c r="P289" s="9"/>
      <x:c r="Q289" s="9"/>
      <x:c r="R289" s="12" t="str">
        <x:f>IF(A289="","",IF(B289="","À compléter",IF(COUNTIFS($A$6:$A$505,A289,$B$6:$B$505,B289)&gt;1,"Doublon ville/mois",IF(OR(AND(ISNUMBER(H289),ISNUMBER(I289),I289&gt;H289),AND(ISNUMBER(M289),ISNUMBER(N289),N289&gt;M289),AND(ISNUMBER(O289),ISNUMBER(P289),P289&gt;O289)),"Incohérent",""))))</x:f>
      </x:c>
    </x:row>
    <x:row r="290" ht="23" customHeight="1">
      <x:c r="A290" s="9"/>
      <x:c r="B290" s="11"/>
      <x:c r="C290" s="10"/>
      <x:c r="D290" s="9"/>
      <x:c r="E290" s="9"/>
      <x:c r="F290" s="9"/>
      <x:c r="G290" s="9"/>
      <x:c r="H290" s="9"/>
      <x:c r="I290" s="9"/>
      <x:c r="J290" s="9"/>
      <x:c r="K290" s="9"/>
      <x:c r="L290" s="10"/>
      <x:c r="M290" s="9"/>
      <x:c r="N290" s="9"/>
      <x:c r="O290" s="9"/>
      <x:c r="P290" s="9"/>
      <x:c r="Q290" s="9"/>
      <x:c r="R290" s="12" t="str">
        <x:f>IF(A290="","",IF(B290="","À compléter",IF(COUNTIFS($A$6:$A$505,A290,$B$6:$B$505,B290)&gt;1,"Doublon ville/mois",IF(OR(AND(ISNUMBER(H290),ISNUMBER(I290),I290&gt;H290),AND(ISNUMBER(M290),ISNUMBER(N290),N290&gt;M290),AND(ISNUMBER(O290),ISNUMBER(P290),P290&gt;O290)),"Incohérent",""))))</x:f>
      </x:c>
    </x:row>
    <x:row r="291" ht="23" customHeight="1">
      <x:c r="A291" s="9"/>
      <x:c r="B291" s="11"/>
      <x:c r="C291" s="10"/>
      <x:c r="D291" s="9"/>
      <x:c r="E291" s="9"/>
      <x:c r="F291" s="9"/>
      <x:c r="G291" s="9"/>
      <x:c r="H291" s="9"/>
      <x:c r="I291" s="9"/>
      <x:c r="J291" s="9"/>
      <x:c r="K291" s="9"/>
      <x:c r="L291" s="10"/>
      <x:c r="M291" s="9"/>
      <x:c r="N291" s="9"/>
      <x:c r="O291" s="9"/>
      <x:c r="P291" s="9"/>
      <x:c r="Q291" s="9"/>
      <x:c r="R291" s="12" t="str">
        <x:f>IF(A291="","",IF(B291="","À compléter",IF(COUNTIFS($A$6:$A$505,A291,$B$6:$B$505,B291)&gt;1,"Doublon ville/mois",IF(OR(AND(ISNUMBER(H291),ISNUMBER(I291),I291&gt;H291),AND(ISNUMBER(M291),ISNUMBER(N291),N291&gt;M291),AND(ISNUMBER(O291),ISNUMBER(P291),P291&gt;O291)),"Incohérent",""))))</x:f>
      </x:c>
    </x:row>
    <x:row r="292" ht="23" customHeight="1">
      <x:c r="A292" s="9"/>
      <x:c r="B292" s="11"/>
      <x:c r="C292" s="10"/>
      <x:c r="D292" s="9"/>
      <x:c r="E292" s="9"/>
      <x:c r="F292" s="9"/>
      <x:c r="G292" s="9"/>
      <x:c r="H292" s="9"/>
      <x:c r="I292" s="9"/>
      <x:c r="J292" s="9"/>
      <x:c r="K292" s="9"/>
      <x:c r="L292" s="10"/>
      <x:c r="M292" s="9"/>
      <x:c r="N292" s="9"/>
      <x:c r="O292" s="9"/>
      <x:c r="P292" s="9"/>
      <x:c r="Q292" s="9"/>
      <x:c r="R292" s="12" t="str">
        <x:f>IF(A292="","",IF(B292="","À compléter",IF(COUNTIFS($A$6:$A$505,A292,$B$6:$B$505,B292)&gt;1,"Doublon ville/mois",IF(OR(AND(ISNUMBER(H292),ISNUMBER(I292),I292&gt;H292),AND(ISNUMBER(M292),ISNUMBER(N292),N292&gt;M292),AND(ISNUMBER(O292),ISNUMBER(P292),P292&gt;O292)),"Incohérent",""))))</x:f>
      </x:c>
    </x:row>
    <x:row r="293" ht="23" customHeight="1">
      <x:c r="A293" s="9"/>
      <x:c r="B293" s="11"/>
      <x:c r="C293" s="10"/>
      <x:c r="D293" s="9"/>
      <x:c r="E293" s="9"/>
      <x:c r="F293" s="9"/>
      <x:c r="G293" s="9"/>
      <x:c r="H293" s="9"/>
      <x:c r="I293" s="9"/>
      <x:c r="J293" s="9"/>
      <x:c r="K293" s="9"/>
      <x:c r="L293" s="10"/>
      <x:c r="M293" s="9"/>
      <x:c r="N293" s="9"/>
      <x:c r="O293" s="9"/>
      <x:c r="P293" s="9"/>
      <x:c r="Q293" s="9"/>
      <x:c r="R293" s="12" t="str">
        <x:f>IF(A293="","",IF(B293="","À compléter",IF(COUNTIFS($A$6:$A$505,A293,$B$6:$B$505,B293)&gt;1,"Doublon ville/mois",IF(OR(AND(ISNUMBER(H293),ISNUMBER(I293),I293&gt;H293),AND(ISNUMBER(M293),ISNUMBER(N293),N293&gt;M293),AND(ISNUMBER(O293),ISNUMBER(P293),P293&gt;O293)),"Incohérent",""))))</x:f>
      </x:c>
    </x:row>
    <x:row r="294" ht="23" customHeight="1">
      <x:c r="A294" s="9"/>
      <x:c r="B294" s="11"/>
      <x:c r="C294" s="10"/>
      <x:c r="D294" s="9"/>
      <x:c r="E294" s="9"/>
      <x:c r="F294" s="9"/>
      <x:c r="G294" s="9"/>
      <x:c r="H294" s="9"/>
      <x:c r="I294" s="9"/>
      <x:c r="J294" s="9"/>
      <x:c r="K294" s="9"/>
      <x:c r="L294" s="10"/>
      <x:c r="M294" s="9"/>
      <x:c r="N294" s="9"/>
      <x:c r="O294" s="9"/>
      <x:c r="P294" s="9"/>
      <x:c r="Q294" s="9"/>
      <x:c r="R294" s="12" t="str">
        <x:f>IF(A294="","",IF(B294="","À compléter",IF(COUNTIFS($A$6:$A$505,A294,$B$6:$B$505,B294)&gt;1,"Doublon ville/mois",IF(OR(AND(ISNUMBER(H294),ISNUMBER(I294),I294&gt;H294),AND(ISNUMBER(M294),ISNUMBER(N294),N294&gt;M294),AND(ISNUMBER(O294),ISNUMBER(P294),P294&gt;O294)),"Incohérent",""))))</x:f>
      </x:c>
    </x:row>
    <x:row r="295" ht="23" customHeight="1">
      <x:c r="A295" s="9"/>
      <x:c r="B295" s="11"/>
      <x:c r="C295" s="10"/>
      <x:c r="D295" s="9"/>
      <x:c r="E295" s="9"/>
      <x:c r="F295" s="9"/>
      <x:c r="G295" s="9"/>
      <x:c r="H295" s="9"/>
      <x:c r="I295" s="9"/>
      <x:c r="J295" s="9"/>
      <x:c r="K295" s="9"/>
      <x:c r="L295" s="10"/>
      <x:c r="M295" s="9"/>
      <x:c r="N295" s="9"/>
      <x:c r="O295" s="9"/>
      <x:c r="P295" s="9"/>
      <x:c r="Q295" s="9"/>
      <x:c r="R295" s="12" t="str">
        <x:f>IF(A295="","",IF(B295="","À compléter",IF(COUNTIFS($A$6:$A$505,A295,$B$6:$B$505,B295)&gt;1,"Doublon ville/mois",IF(OR(AND(ISNUMBER(H295),ISNUMBER(I295),I295&gt;H295),AND(ISNUMBER(M295),ISNUMBER(N295),N295&gt;M295),AND(ISNUMBER(O295),ISNUMBER(P295),P295&gt;O295)),"Incohérent",""))))</x:f>
      </x:c>
    </x:row>
    <x:row r="296" ht="23" customHeight="1">
      <x:c r="A296" s="9"/>
      <x:c r="B296" s="11"/>
      <x:c r="C296" s="10"/>
      <x:c r="D296" s="9"/>
      <x:c r="E296" s="9"/>
      <x:c r="F296" s="9"/>
      <x:c r="G296" s="9"/>
      <x:c r="H296" s="9"/>
      <x:c r="I296" s="9"/>
      <x:c r="J296" s="9"/>
      <x:c r="K296" s="9"/>
      <x:c r="L296" s="10"/>
      <x:c r="M296" s="9"/>
      <x:c r="N296" s="9"/>
      <x:c r="O296" s="9"/>
      <x:c r="P296" s="9"/>
      <x:c r="Q296" s="9"/>
      <x:c r="R296" s="12" t="str">
        <x:f>IF(A296="","",IF(B296="","À compléter",IF(COUNTIFS($A$6:$A$505,A296,$B$6:$B$505,B296)&gt;1,"Doublon ville/mois",IF(OR(AND(ISNUMBER(H296),ISNUMBER(I296),I296&gt;H296),AND(ISNUMBER(M296),ISNUMBER(N296),N296&gt;M296),AND(ISNUMBER(O296),ISNUMBER(P296),P296&gt;O296)),"Incohérent",""))))</x:f>
      </x:c>
    </x:row>
    <x:row r="297" ht="23" customHeight="1">
      <x:c r="A297" s="9"/>
      <x:c r="B297" s="11"/>
      <x:c r="C297" s="10"/>
      <x:c r="D297" s="9"/>
      <x:c r="E297" s="9"/>
      <x:c r="F297" s="9"/>
      <x:c r="G297" s="9"/>
      <x:c r="H297" s="9"/>
      <x:c r="I297" s="9"/>
      <x:c r="J297" s="9"/>
      <x:c r="K297" s="9"/>
      <x:c r="L297" s="10"/>
      <x:c r="M297" s="9"/>
      <x:c r="N297" s="9"/>
      <x:c r="O297" s="9"/>
      <x:c r="P297" s="9"/>
      <x:c r="Q297" s="9"/>
      <x:c r="R297" s="12" t="str">
        <x:f>IF(A297="","",IF(B297="","À compléter",IF(COUNTIFS($A$6:$A$505,A297,$B$6:$B$505,B297)&gt;1,"Doublon ville/mois",IF(OR(AND(ISNUMBER(H297),ISNUMBER(I297),I297&gt;H297),AND(ISNUMBER(M297),ISNUMBER(N297),N297&gt;M297),AND(ISNUMBER(O297),ISNUMBER(P297),P297&gt;O297)),"Incohérent",""))))</x:f>
      </x:c>
    </x:row>
    <x:row r="298" ht="23" customHeight="1">
      <x:c r="A298" s="9"/>
      <x:c r="B298" s="11"/>
      <x:c r="C298" s="10"/>
      <x:c r="D298" s="9"/>
      <x:c r="E298" s="9"/>
      <x:c r="F298" s="9"/>
      <x:c r="G298" s="9"/>
      <x:c r="H298" s="9"/>
      <x:c r="I298" s="9"/>
      <x:c r="J298" s="9"/>
      <x:c r="K298" s="9"/>
      <x:c r="L298" s="10"/>
      <x:c r="M298" s="9"/>
      <x:c r="N298" s="9"/>
      <x:c r="O298" s="9"/>
      <x:c r="P298" s="9"/>
      <x:c r="Q298" s="9"/>
      <x:c r="R298" s="12" t="str">
        <x:f>IF(A298="","",IF(B298="","À compléter",IF(COUNTIFS($A$6:$A$505,A298,$B$6:$B$505,B298)&gt;1,"Doublon ville/mois",IF(OR(AND(ISNUMBER(H298),ISNUMBER(I298),I298&gt;H298),AND(ISNUMBER(M298),ISNUMBER(N298),N298&gt;M298),AND(ISNUMBER(O298),ISNUMBER(P298),P298&gt;O298)),"Incohérent",""))))</x:f>
      </x:c>
    </x:row>
    <x:row r="299" ht="23" customHeight="1">
      <x:c r="A299" s="9"/>
      <x:c r="B299" s="11"/>
      <x:c r="C299" s="10"/>
      <x:c r="D299" s="9"/>
      <x:c r="E299" s="9"/>
      <x:c r="F299" s="9"/>
      <x:c r="G299" s="9"/>
      <x:c r="H299" s="9"/>
      <x:c r="I299" s="9"/>
      <x:c r="J299" s="9"/>
      <x:c r="K299" s="9"/>
      <x:c r="L299" s="10"/>
      <x:c r="M299" s="9"/>
      <x:c r="N299" s="9"/>
      <x:c r="O299" s="9"/>
      <x:c r="P299" s="9"/>
      <x:c r="Q299" s="9"/>
      <x:c r="R299" s="12" t="str">
        <x:f>IF(A299="","",IF(B299="","À compléter",IF(COUNTIFS($A$6:$A$505,A299,$B$6:$B$505,B299)&gt;1,"Doublon ville/mois",IF(OR(AND(ISNUMBER(H299),ISNUMBER(I299),I299&gt;H299),AND(ISNUMBER(M299),ISNUMBER(N299),N299&gt;M299),AND(ISNUMBER(O299),ISNUMBER(P299),P299&gt;O299)),"Incohérent",""))))</x:f>
      </x:c>
    </x:row>
    <x:row r="300" ht="23" customHeight="1">
      <x:c r="A300" s="9"/>
      <x:c r="B300" s="11"/>
      <x:c r="C300" s="10"/>
      <x:c r="D300" s="9"/>
      <x:c r="E300" s="9"/>
      <x:c r="F300" s="9"/>
      <x:c r="G300" s="9"/>
      <x:c r="H300" s="9"/>
      <x:c r="I300" s="9"/>
      <x:c r="J300" s="9"/>
      <x:c r="K300" s="9"/>
      <x:c r="L300" s="10"/>
      <x:c r="M300" s="9"/>
      <x:c r="N300" s="9"/>
      <x:c r="O300" s="9"/>
      <x:c r="P300" s="9"/>
      <x:c r="Q300" s="9"/>
      <x:c r="R300" s="12" t="str">
        <x:f>IF(A300="","",IF(B300="","À compléter",IF(COUNTIFS($A$6:$A$505,A300,$B$6:$B$505,B300)&gt;1,"Doublon ville/mois",IF(OR(AND(ISNUMBER(H300),ISNUMBER(I300),I300&gt;H300),AND(ISNUMBER(M300),ISNUMBER(N300),N300&gt;M300),AND(ISNUMBER(O300),ISNUMBER(P300),P300&gt;O300)),"Incohérent",""))))</x:f>
      </x:c>
    </x:row>
    <x:row r="301" ht="23" customHeight="1">
      <x:c r="A301" s="9"/>
      <x:c r="B301" s="11"/>
      <x:c r="C301" s="10"/>
      <x:c r="D301" s="9"/>
      <x:c r="E301" s="9"/>
      <x:c r="F301" s="9"/>
      <x:c r="G301" s="9"/>
      <x:c r="H301" s="9"/>
      <x:c r="I301" s="9"/>
      <x:c r="J301" s="9"/>
      <x:c r="K301" s="9"/>
      <x:c r="L301" s="10"/>
      <x:c r="M301" s="9"/>
      <x:c r="N301" s="9"/>
      <x:c r="O301" s="9"/>
      <x:c r="P301" s="9"/>
      <x:c r="Q301" s="9"/>
      <x:c r="R301" s="12" t="str">
        <x:f>IF(A301="","",IF(B301="","À compléter",IF(COUNTIFS($A$6:$A$505,A301,$B$6:$B$505,B301)&gt;1,"Doublon ville/mois",IF(OR(AND(ISNUMBER(H301),ISNUMBER(I301),I301&gt;H301),AND(ISNUMBER(M301),ISNUMBER(N301),N301&gt;M301),AND(ISNUMBER(O301),ISNUMBER(P301),P301&gt;O301)),"Incohérent",""))))</x:f>
      </x:c>
    </x:row>
    <x:row r="302" ht="23" customHeight="1">
      <x:c r="A302" s="9"/>
      <x:c r="B302" s="11"/>
      <x:c r="C302" s="10"/>
      <x:c r="D302" s="9"/>
      <x:c r="E302" s="9"/>
      <x:c r="F302" s="9"/>
      <x:c r="G302" s="9"/>
      <x:c r="H302" s="9"/>
      <x:c r="I302" s="9"/>
      <x:c r="J302" s="9"/>
      <x:c r="K302" s="9"/>
      <x:c r="L302" s="10"/>
      <x:c r="M302" s="9"/>
      <x:c r="N302" s="9"/>
      <x:c r="O302" s="9"/>
      <x:c r="P302" s="9"/>
      <x:c r="Q302" s="9"/>
      <x:c r="R302" s="12" t="str">
        <x:f>IF(A302="","",IF(B302="","À compléter",IF(COUNTIFS($A$6:$A$505,A302,$B$6:$B$505,B302)&gt;1,"Doublon ville/mois",IF(OR(AND(ISNUMBER(H302),ISNUMBER(I302),I302&gt;H302),AND(ISNUMBER(M302),ISNUMBER(N302),N302&gt;M302),AND(ISNUMBER(O302),ISNUMBER(P302),P302&gt;O302)),"Incohérent",""))))</x:f>
      </x:c>
    </x:row>
    <x:row r="303" ht="23" customHeight="1">
      <x:c r="A303" s="9"/>
      <x:c r="B303" s="11"/>
      <x:c r="C303" s="10"/>
      <x:c r="D303" s="9"/>
      <x:c r="E303" s="9"/>
      <x:c r="F303" s="9"/>
      <x:c r="G303" s="9"/>
      <x:c r="H303" s="9"/>
      <x:c r="I303" s="9"/>
      <x:c r="J303" s="9"/>
      <x:c r="K303" s="9"/>
      <x:c r="L303" s="10"/>
      <x:c r="M303" s="9"/>
      <x:c r="N303" s="9"/>
      <x:c r="O303" s="9"/>
      <x:c r="P303" s="9"/>
      <x:c r="Q303" s="9"/>
      <x:c r="R303" s="12" t="str">
        <x:f>IF(A303="","",IF(B303="","À compléter",IF(COUNTIFS($A$6:$A$505,A303,$B$6:$B$505,B303)&gt;1,"Doublon ville/mois",IF(OR(AND(ISNUMBER(H303),ISNUMBER(I303),I303&gt;H303),AND(ISNUMBER(M303),ISNUMBER(N303),N303&gt;M303),AND(ISNUMBER(O303),ISNUMBER(P303),P303&gt;O303)),"Incohérent",""))))</x:f>
      </x:c>
    </x:row>
    <x:row r="304" ht="23" customHeight="1">
      <x:c r="A304" s="9"/>
      <x:c r="B304" s="11"/>
      <x:c r="C304" s="10"/>
      <x:c r="D304" s="9"/>
      <x:c r="E304" s="9"/>
      <x:c r="F304" s="9"/>
      <x:c r="G304" s="9"/>
      <x:c r="H304" s="9"/>
      <x:c r="I304" s="9"/>
      <x:c r="J304" s="9"/>
      <x:c r="K304" s="9"/>
      <x:c r="L304" s="10"/>
      <x:c r="M304" s="9"/>
      <x:c r="N304" s="9"/>
      <x:c r="O304" s="9"/>
      <x:c r="P304" s="9"/>
      <x:c r="Q304" s="9"/>
      <x:c r="R304" s="12" t="str">
        <x:f>IF(A304="","",IF(B304="","À compléter",IF(COUNTIFS($A$6:$A$505,A304,$B$6:$B$505,B304)&gt;1,"Doublon ville/mois",IF(OR(AND(ISNUMBER(H304),ISNUMBER(I304),I304&gt;H304),AND(ISNUMBER(M304),ISNUMBER(N304),N304&gt;M304),AND(ISNUMBER(O304),ISNUMBER(P304),P304&gt;O304)),"Incohérent",""))))</x:f>
      </x:c>
    </x:row>
    <x:row r="305" ht="23" customHeight="1">
      <x:c r="A305" s="9"/>
      <x:c r="B305" s="11"/>
      <x:c r="C305" s="10"/>
      <x:c r="D305" s="9"/>
      <x:c r="E305" s="9"/>
      <x:c r="F305" s="9"/>
      <x:c r="G305" s="9"/>
      <x:c r="H305" s="9"/>
      <x:c r="I305" s="9"/>
      <x:c r="J305" s="9"/>
      <x:c r="K305" s="9"/>
      <x:c r="L305" s="10"/>
      <x:c r="M305" s="9"/>
      <x:c r="N305" s="9"/>
      <x:c r="O305" s="9"/>
      <x:c r="P305" s="9"/>
      <x:c r="Q305" s="9"/>
      <x:c r="R305" s="12" t="str">
        <x:f>IF(A305="","",IF(B305="","À compléter",IF(COUNTIFS($A$6:$A$505,A305,$B$6:$B$505,B305)&gt;1,"Doublon ville/mois",IF(OR(AND(ISNUMBER(H305),ISNUMBER(I305),I305&gt;H305),AND(ISNUMBER(M305),ISNUMBER(N305),N305&gt;M305),AND(ISNUMBER(O305),ISNUMBER(P305),P305&gt;O305)),"Incohérent",""))))</x:f>
      </x:c>
    </x:row>
    <x:row r="306" ht="23" customHeight="1">
      <x:c r="A306" s="9"/>
      <x:c r="B306" s="11"/>
      <x:c r="C306" s="10"/>
      <x:c r="D306" s="9"/>
      <x:c r="E306" s="9"/>
      <x:c r="F306" s="9"/>
      <x:c r="G306" s="9"/>
      <x:c r="H306" s="9"/>
      <x:c r="I306" s="9"/>
      <x:c r="J306" s="9"/>
      <x:c r="K306" s="9"/>
      <x:c r="L306" s="10"/>
      <x:c r="M306" s="9"/>
      <x:c r="N306" s="9"/>
      <x:c r="O306" s="9"/>
      <x:c r="P306" s="9"/>
      <x:c r="Q306" s="9"/>
      <x:c r="R306" s="12" t="str">
        <x:f>IF(A306="","",IF(B306="","À compléter",IF(COUNTIFS($A$6:$A$505,A306,$B$6:$B$505,B306)&gt;1,"Doublon ville/mois",IF(OR(AND(ISNUMBER(H306),ISNUMBER(I306),I306&gt;H306),AND(ISNUMBER(M306),ISNUMBER(N306),N306&gt;M306),AND(ISNUMBER(O306),ISNUMBER(P306),P306&gt;O306)),"Incohérent",""))))</x:f>
      </x:c>
    </x:row>
    <x:row r="307" ht="23" customHeight="1">
      <x:c r="A307" s="9"/>
      <x:c r="B307" s="11"/>
      <x:c r="C307" s="10"/>
      <x:c r="D307" s="9"/>
      <x:c r="E307" s="9"/>
      <x:c r="F307" s="9"/>
      <x:c r="G307" s="9"/>
      <x:c r="H307" s="9"/>
      <x:c r="I307" s="9"/>
      <x:c r="J307" s="9"/>
      <x:c r="K307" s="9"/>
      <x:c r="L307" s="10"/>
      <x:c r="M307" s="9"/>
      <x:c r="N307" s="9"/>
      <x:c r="O307" s="9"/>
      <x:c r="P307" s="9"/>
      <x:c r="Q307" s="9"/>
      <x:c r="R307" s="12" t="str">
        <x:f>IF(A307="","",IF(B307="","À compléter",IF(COUNTIFS($A$6:$A$505,A307,$B$6:$B$505,B307)&gt;1,"Doublon ville/mois",IF(OR(AND(ISNUMBER(H307),ISNUMBER(I307),I307&gt;H307),AND(ISNUMBER(M307),ISNUMBER(N307),N307&gt;M307),AND(ISNUMBER(O307),ISNUMBER(P307),P307&gt;O307)),"Incohérent",""))))</x:f>
      </x:c>
    </x:row>
    <x:row r="308" ht="23" customHeight="1">
      <x:c r="A308" s="9"/>
      <x:c r="B308" s="11"/>
      <x:c r="C308" s="10"/>
      <x:c r="D308" s="9"/>
      <x:c r="E308" s="9"/>
      <x:c r="F308" s="9"/>
      <x:c r="G308" s="9"/>
      <x:c r="H308" s="9"/>
      <x:c r="I308" s="9"/>
      <x:c r="J308" s="9"/>
      <x:c r="K308" s="9"/>
      <x:c r="L308" s="10"/>
      <x:c r="M308" s="9"/>
      <x:c r="N308" s="9"/>
      <x:c r="O308" s="9"/>
      <x:c r="P308" s="9"/>
      <x:c r="Q308" s="9"/>
      <x:c r="R308" s="12" t="str">
        <x:f>IF(A308="","",IF(B308="","À compléter",IF(COUNTIFS($A$6:$A$505,A308,$B$6:$B$505,B308)&gt;1,"Doublon ville/mois",IF(OR(AND(ISNUMBER(H308),ISNUMBER(I308),I308&gt;H308),AND(ISNUMBER(M308),ISNUMBER(N308),N308&gt;M308),AND(ISNUMBER(O308),ISNUMBER(P308),P308&gt;O308)),"Incohérent",""))))</x:f>
      </x:c>
    </x:row>
    <x:row r="309" ht="23" customHeight="1">
      <x:c r="A309" s="9"/>
      <x:c r="B309" s="11"/>
      <x:c r="C309" s="10"/>
      <x:c r="D309" s="9"/>
      <x:c r="E309" s="9"/>
      <x:c r="F309" s="9"/>
      <x:c r="G309" s="9"/>
      <x:c r="H309" s="9"/>
      <x:c r="I309" s="9"/>
      <x:c r="J309" s="9"/>
      <x:c r="K309" s="9"/>
      <x:c r="L309" s="10"/>
      <x:c r="M309" s="9"/>
      <x:c r="N309" s="9"/>
      <x:c r="O309" s="9"/>
      <x:c r="P309" s="9"/>
      <x:c r="Q309" s="9"/>
      <x:c r="R309" s="12" t="str">
        <x:f>IF(A309="","",IF(B309="","À compléter",IF(COUNTIFS($A$6:$A$505,A309,$B$6:$B$505,B309)&gt;1,"Doublon ville/mois",IF(OR(AND(ISNUMBER(H309),ISNUMBER(I309),I309&gt;H309),AND(ISNUMBER(M309),ISNUMBER(N309),N309&gt;M309),AND(ISNUMBER(O309),ISNUMBER(P309),P309&gt;O309)),"Incohérent",""))))</x:f>
      </x:c>
    </x:row>
    <x:row r="310" ht="23" customHeight="1">
      <x:c r="A310" s="9"/>
      <x:c r="B310" s="11"/>
      <x:c r="C310" s="10"/>
      <x:c r="D310" s="9"/>
      <x:c r="E310" s="9"/>
      <x:c r="F310" s="9"/>
      <x:c r="G310" s="9"/>
      <x:c r="H310" s="9"/>
      <x:c r="I310" s="9"/>
      <x:c r="J310" s="9"/>
      <x:c r="K310" s="9"/>
      <x:c r="L310" s="10"/>
      <x:c r="M310" s="9"/>
      <x:c r="N310" s="9"/>
      <x:c r="O310" s="9"/>
      <x:c r="P310" s="9"/>
      <x:c r="Q310" s="9"/>
      <x:c r="R310" s="12" t="str">
        <x:f>IF(A310="","",IF(B310="","À compléter",IF(COUNTIFS($A$6:$A$505,A310,$B$6:$B$505,B310)&gt;1,"Doublon ville/mois",IF(OR(AND(ISNUMBER(H310),ISNUMBER(I310),I310&gt;H310),AND(ISNUMBER(M310),ISNUMBER(N310),N310&gt;M310),AND(ISNUMBER(O310),ISNUMBER(P310),P310&gt;O310)),"Incohérent",""))))</x:f>
      </x:c>
    </x:row>
    <x:row r="311" ht="23" customHeight="1">
      <x:c r="A311" s="9"/>
      <x:c r="B311" s="11"/>
      <x:c r="C311" s="10"/>
      <x:c r="D311" s="9"/>
      <x:c r="E311" s="9"/>
      <x:c r="F311" s="9"/>
      <x:c r="G311" s="9"/>
      <x:c r="H311" s="9"/>
      <x:c r="I311" s="9"/>
      <x:c r="J311" s="9"/>
      <x:c r="K311" s="9"/>
      <x:c r="L311" s="10"/>
      <x:c r="M311" s="9"/>
      <x:c r="N311" s="9"/>
      <x:c r="O311" s="9"/>
      <x:c r="P311" s="9"/>
      <x:c r="Q311" s="9"/>
      <x:c r="R311" s="12" t="str">
        <x:f>IF(A311="","",IF(B311="","À compléter",IF(COUNTIFS($A$6:$A$505,A311,$B$6:$B$505,B311)&gt;1,"Doublon ville/mois",IF(OR(AND(ISNUMBER(H311),ISNUMBER(I311),I311&gt;H311),AND(ISNUMBER(M311),ISNUMBER(N311),N311&gt;M311),AND(ISNUMBER(O311),ISNUMBER(P311),P311&gt;O311)),"Incohérent",""))))</x:f>
      </x:c>
    </x:row>
    <x:row r="312" ht="23" customHeight="1">
      <x:c r="A312" s="9"/>
      <x:c r="B312" s="11"/>
      <x:c r="C312" s="10"/>
      <x:c r="D312" s="9"/>
      <x:c r="E312" s="9"/>
      <x:c r="F312" s="9"/>
      <x:c r="G312" s="9"/>
      <x:c r="H312" s="9"/>
      <x:c r="I312" s="9"/>
      <x:c r="J312" s="9"/>
      <x:c r="K312" s="9"/>
      <x:c r="L312" s="10"/>
      <x:c r="M312" s="9"/>
      <x:c r="N312" s="9"/>
      <x:c r="O312" s="9"/>
      <x:c r="P312" s="9"/>
      <x:c r="Q312" s="9"/>
      <x:c r="R312" s="12" t="str">
        <x:f>IF(A312="","",IF(B312="","À compléter",IF(COUNTIFS($A$6:$A$505,A312,$B$6:$B$505,B312)&gt;1,"Doublon ville/mois",IF(OR(AND(ISNUMBER(H312),ISNUMBER(I312),I312&gt;H312),AND(ISNUMBER(M312),ISNUMBER(N312),N312&gt;M312),AND(ISNUMBER(O312),ISNUMBER(P312),P312&gt;O312)),"Incohérent",""))))</x:f>
      </x:c>
    </x:row>
    <x:row r="313" ht="23" customHeight="1">
      <x:c r="A313" s="9"/>
      <x:c r="B313" s="11"/>
      <x:c r="C313" s="10"/>
      <x:c r="D313" s="9"/>
      <x:c r="E313" s="9"/>
      <x:c r="F313" s="9"/>
      <x:c r="G313" s="9"/>
      <x:c r="H313" s="9"/>
      <x:c r="I313" s="9"/>
      <x:c r="J313" s="9"/>
      <x:c r="K313" s="9"/>
      <x:c r="L313" s="10"/>
      <x:c r="M313" s="9"/>
      <x:c r="N313" s="9"/>
      <x:c r="O313" s="9"/>
      <x:c r="P313" s="9"/>
      <x:c r="Q313" s="9"/>
      <x:c r="R313" s="12" t="str">
        <x:f>IF(A313="","",IF(B313="","À compléter",IF(COUNTIFS($A$6:$A$505,A313,$B$6:$B$505,B313)&gt;1,"Doublon ville/mois",IF(OR(AND(ISNUMBER(H313),ISNUMBER(I313),I313&gt;H313),AND(ISNUMBER(M313),ISNUMBER(N313),N313&gt;M313),AND(ISNUMBER(O313),ISNUMBER(P313),P313&gt;O313)),"Incohérent",""))))</x:f>
      </x:c>
    </x:row>
    <x:row r="314" ht="23" customHeight="1">
      <x:c r="A314" s="9"/>
      <x:c r="B314" s="11"/>
      <x:c r="C314" s="10"/>
      <x:c r="D314" s="9"/>
      <x:c r="E314" s="9"/>
      <x:c r="F314" s="9"/>
      <x:c r="G314" s="9"/>
      <x:c r="H314" s="9"/>
      <x:c r="I314" s="9"/>
      <x:c r="J314" s="9"/>
      <x:c r="K314" s="9"/>
      <x:c r="L314" s="10"/>
      <x:c r="M314" s="9"/>
      <x:c r="N314" s="9"/>
      <x:c r="O314" s="9"/>
      <x:c r="P314" s="9"/>
      <x:c r="Q314" s="9"/>
      <x:c r="R314" s="12" t="str">
        <x:f>IF(A314="","",IF(B314="","À compléter",IF(COUNTIFS($A$6:$A$505,A314,$B$6:$B$505,B314)&gt;1,"Doublon ville/mois",IF(OR(AND(ISNUMBER(H314),ISNUMBER(I314),I314&gt;H314),AND(ISNUMBER(M314),ISNUMBER(N314),N314&gt;M314),AND(ISNUMBER(O314),ISNUMBER(P314),P314&gt;O314)),"Incohérent",""))))</x:f>
      </x:c>
    </x:row>
    <x:row r="315" ht="23" customHeight="1">
      <x:c r="A315" s="9"/>
      <x:c r="B315" s="11"/>
      <x:c r="C315" s="10"/>
      <x:c r="D315" s="9"/>
      <x:c r="E315" s="9"/>
      <x:c r="F315" s="9"/>
      <x:c r="G315" s="9"/>
      <x:c r="H315" s="9"/>
      <x:c r="I315" s="9"/>
      <x:c r="J315" s="9"/>
      <x:c r="K315" s="9"/>
      <x:c r="L315" s="10"/>
      <x:c r="M315" s="9"/>
      <x:c r="N315" s="9"/>
      <x:c r="O315" s="9"/>
      <x:c r="P315" s="9"/>
      <x:c r="Q315" s="9"/>
      <x:c r="R315" s="12" t="str">
        <x:f>IF(A315="","",IF(B315="","À compléter",IF(COUNTIFS($A$6:$A$505,A315,$B$6:$B$505,B315)&gt;1,"Doublon ville/mois",IF(OR(AND(ISNUMBER(H315),ISNUMBER(I315),I315&gt;H315),AND(ISNUMBER(M315),ISNUMBER(N315),N315&gt;M315),AND(ISNUMBER(O315),ISNUMBER(P315),P315&gt;O315)),"Incohérent",""))))</x:f>
      </x:c>
    </x:row>
    <x:row r="316" ht="23" customHeight="1">
      <x:c r="A316" s="9"/>
      <x:c r="B316" s="11"/>
      <x:c r="C316" s="10"/>
      <x:c r="D316" s="9"/>
      <x:c r="E316" s="9"/>
      <x:c r="F316" s="9"/>
      <x:c r="G316" s="9"/>
      <x:c r="H316" s="9"/>
      <x:c r="I316" s="9"/>
      <x:c r="J316" s="9"/>
      <x:c r="K316" s="9"/>
      <x:c r="L316" s="10"/>
      <x:c r="M316" s="9"/>
      <x:c r="N316" s="9"/>
      <x:c r="O316" s="9"/>
      <x:c r="P316" s="9"/>
      <x:c r="Q316" s="9"/>
      <x:c r="R316" s="12" t="str">
        <x:f>IF(A316="","",IF(B316="","À compléter",IF(COUNTIFS($A$6:$A$505,A316,$B$6:$B$505,B316)&gt;1,"Doublon ville/mois",IF(OR(AND(ISNUMBER(H316),ISNUMBER(I316),I316&gt;H316),AND(ISNUMBER(M316),ISNUMBER(N316),N316&gt;M316),AND(ISNUMBER(O316),ISNUMBER(P316),P316&gt;O316)),"Incohérent",""))))</x:f>
      </x:c>
    </x:row>
    <x:row r="317" ht="23" customHeight="1">
      <x:c r="A317" s="9"/>
      <x:c r="B317" s="11"/>
      <x:c r="C317" s="10"/>
      <x:c r="D317" s="9"/>
      <x:c r="E317" s="9"/>
      <x:c r="F317" s="9"/>
      <x:c r="G317" s="9"/>
      <x:c r="H317" s="9"/>
      <x:c r="I317" s="9"/>
      <x:c r="J317" s="9"/>
      <x:c r="K317" s="9"/>
      <x:c r="L317" s="10"/>
      <x:c r="M317" s="9"/>
      <x:c r="N317" s="9"/>
      <x:c r="O317" s="9"/>
      <x:c r="P317" s="9"/>
      <x:c r="Q317" s="9"/>
      <x:c r="R317" s="12" t="str">
        <x:f>IF(A317="","",IF(B317="","À compléter",IF(COUNTIFS($A$6:$A$505,A317,$B$6:$B$505,B317)&gt;1,"Doublon ville/mois",IF(OR(AND(ISNUMBER(H317),ISNUMBER(I317),I317&gt;H317),AND(ISNUMBER(M317),ISNUMBER(N317),N317&gt;M317),AND(ISNUMBER(O317),ISNUMBER(P317),P317&gt;O317)),"Incohérent",""))))</x:f>
      </x:c>
    </x:row>
    <x:row r="318" ht="23" customHeight="1">
      <x:c r="A318" s="9"/>
      <x:c r="B318" s="11"/>
      <x:c r="C318" s="10"/>
      <x:c r="D318" s="9"/>
      <x:c r="E318" s="9"/>
      <x:c r="F318" s="9"/>
      <x:c r="G318" s="9"/>
      <x:c r="H318" s="9"/>
      <x:c r="I318" s="9"/>
      <x:c r="J318" s="9"/>
      <x:c r="K318" s="9"/>
      <x:c r="L318" s="10"/>
      <x:c r="M318" s="9"/>
      <x:c r="N318" s="9"/>
      <x:c r="O318" s="9"/>
      <x:c r="P318" s="9"/>
      <x:c r="Q318" s="9"/>
      <x:c r="R318" s="12" t="str">
        <x:f>IF(A318="","",IF(B318="","À compléter",IF(COUNTIFS($A$6:$A$505,A318,$B$6:$B$505,B318)&gt;1,"Doublon ville/mois",IF(OR(AND(ISNUMBER(H318),ISNUMBER(I318),I318&gt;H318),AND(ISNUMBER(M318),ISNUMBER(N318),N318&gt;M318),AND(ISNUMBER(O318),ISNUMBER(P318),P318&gt;O318)),"Incohérent",""))))</x:f>
      </x:c>
    </x:row>
    <x:row r="319" ht="23" customHeight="1">
      <x:c r="A319" s="9"/>
      <x:c r="B319" s="11"/>
      <x:c r="C319" s="10"/>
      <x:c r="D319" s="9"/>
      <x:c r="E319" s="9"/>
      <x:c r="F319" s="9"/>
      <x:c r="G319" s="9"/>
      <x:c r="H319" s="9"/>
      <x:c r="I319" s="9"/>
      <x:c r="J319" s="9"/>
      <x:c r="K319" s="9"/>
      <x:c r="L319" s="10"/>
      <x:c r="M319" s="9"/>
      <x:c r="N319" s="9"/>
      <x:c r="O319" s="9"/>
      <x:c r="P319" s="9"/>
      <x:c r="Q319" s="9"/>
      <x:c r="R319" s="12" t="str">
        <x:f>IF(A319="","",IF(B319="","À compléter",IF(COUNTIFS($A$6:$A$505,A319,$B$6:$B$505,B319)&gt;1,"Doublon ville/mois",IF(OR(AND(ISNUMBER(H319),ISNUMBER(I319),I319&gt;H319),AND(ISNUMBER(M319),ISNUMBER(N319),N319&gt;M319),AND(ISNUMBER(O319),ISNUMBER(P319),P319&gt;O319)),"Incohérent",""))))</x:f>
      </x:c>
    </x:row>
    <x:row r="320" ht="23" customHeight="1">
      <x:c r="A320" s="9"/>
      <x:c r="B320" s="11"/>
      <x:c r="C320" s="10"/>
      <x:c r="D320" s="9"/>
      <x:c r="E320" s="9"/>
      <x:c r="F320" s="9"/>
      <x:c r="G320" s="9"/>
      <x:c r="H320" s="9"/>
      <x:c r="I320" s="9"/>
      <x:c r="J320" s="9"/>
      <x:c r="K320" s="9"/>
      <x:c r="L320" s="10"/>
      <x:c r="M320" s="9"/>
      <x:c r="N320" s="9"/>
      <x:c r="O320" s="9"/>
      <x:c r="P320" s="9"/>
      <x:c r="Q320" s="9"/>
      <x:c r="R320" s="12" t="str">
        <x:f>IF(A320="","",IF(B320="","À compléter",IF(COUNTIFS($A$6:$A$505,A320,$B$6:$B$505,B320)&gt;1,"Doublon ville/mois",IF(OR(AND(ISNUMBER(H320),ISNUMBER(I320),I320&gt;H320),AND(ISNUMBER(M320),ISNUMBER(N320),N320&gt;M320),AND(ISNUMBER(O320),ISNUMBER(P320),P320&gt;O320)),"Incohérent",""))))</x:f>
      </x:c>
    </x:row>
    <x:row r="321" ht="23" customHeight="1">
      <x:c r="A321" s="9"/>
      <x:c r="B321" s="11"/>
      <x:c r="C321" s="10"/>
      <x:c r="D321" s="9"/>
      <x:c r="E321" s="9"/>
      <x:c r="F321" s="9"/>
      <x:c r="G321" s="9"/>
      <x:c r="H321" s="9"/>
      <x:c r="I321" s="9"/>
      <x:c r="J321" s="9"/>
      <x:c r="K321" s="9"/>
      <x:c r="L321" s="10"/>
      <x:c r="M321" s="9"/>
      <x:c r="N321" s="9"/>
      <x:c r="O321" s="9"/>
      <x:c r="P321" s="9"/>
      <x:c r="Q321" s="9"/>
      <x:c r="R321" s="12" t="str">
        <x:f>IF(A321="","",IF(B321="","À compléter",IF(COUNTIFS($A$6:$A$505,A321,$B$6:$B$505,B321)&gt;1,"Doublon ville/mois",IF(OR(AND(ISNUMBER(H321),ISNUMBER(I321),I321&gt;H321),AND(ISNUMBER(M321),ISNUMBER(N321),N321&gt;M321),AND(ISNUMBER(O321),ISNUMBER(P321),P321&gt;O321)),"Incohérent",""))))</x:f>
      </x:c>
    </x:row>
    <x:row r="322" ht="23" customHeight="1">
      <x:c r="A322" s="9"/>
      <x:c r="B322" s="11"/>
      <x:c r="C322" s="10"/>
      <x:c r="D322" s="9"/>
      <x:c r="E322" s="9"/>
      <x:c r="F322" s="9"/>
      <x:c r="G322" s="9"/>
      <x:c r="H322" s="9"/>
      <x:c r="I322" s="9"/>
      <x:c r="J322" s="9"/>
      <x:c r="K322" s="9"/>
      <x:c r="L322" s="10"/>
      <x:c r="M322" s="9"/>
      <x:c r="N322" s="9"/>
      <x:c r="O322" s="9"/>
      <x:c r="P322" s="9"/>
      <x:c r="Q322" s="9"/>
      <x:c r="R322" s="12" t="str">
        <x:f>IF(A322="","",IF(B322="","À compléter",IF(COUNTIFS($A$6:$A$505,A322,$B$6:$B$505,B322)&gt;1,"Doublon ville/mois",IF(OR(AND(ISNUMBER(H322),ISNUMBER(I322),I322&gt;H322),AND(ISNUMBER(M322),ISNUMBER(N322),N322&gt;M322),AND(ISNUMBER(O322),ISNUMBER(P322),P322&gt;O322)),"Incohérent",""))))</x:f>
      </x:c>
    </x:row>
    <x:row r="323" ht="23" customHeight="1">
      <x:c r="A323" s="9"/>
      <x:c r="B323" s="11"/>
      <x:c r="C323" s="10"/>
      <x:c r="D323" s="9"/>
      <x:c r="E323" s="9"/>
      <x:c r="F323" s="9"/>
      <x:c r="G323" s="9"/>
      <x:c r="H323" s="9"/>
      <x:c r="I323" s="9"/>
      <x:c r="J323" s="9"/>
      <x:c r="K323" s="9"/>
      <x:c r="L323" s="10"/>
      <x:c r="M323" s="9"/>
      <x:c r="N323" s="9"/>
      <x:c r="O323" s="9"/>
      <x:c r="P323" s="9"/>
      <x:c r="Q323" s="9"/>
      <x:c r="R323" s="12" t="str">
        <x:f>IF(A323="","",IF(B323="","À compléter",IF(COUNTIFS($A$6:$A$505,A323,$B$6:$B$505,B323)&gt;1,"Doublon ville/mois",IF(OR(AND(ISNUMBER(H323),ISNUMBER(I323),I323&gt;H323),AND(ISNUMBER(M323),ISNUMBER(N323),N323&gt;M323),AND(ISNUMBER(O323),ISNUMBER(P323),P323&gt;O323)),"Incohérent",""))))</x:f>
      </x:c>
    </x:row>
    <x:row r="324" ht="23" customHeight="1">
      <x:c r="A324" s="9"/>
      <x:c r="B324" s="11"/>
      <x:c r="C324" s="10"/>
      <x:c r="D324" s="9"/>
      <x:c r="E324" s="9"/>
      <x:c r="F324" s="9"/>
      <x:c r="G324" s="9"/>
      <x:c r="H324" s="9"/>
      <x:c r="I324" s="9"/>
      <x:c r="J324" s="9"/>
      <x:c r="K324" s="9"/>
      <x:c r="L324" s="10"/>
      <x:c r="M324" s="9"/>
      <x:c r="N324" s="9"/>
      <x:c r="O324" s="9"/>
      <x:c r="P324" s="9"/>
      <x:c r="Q324" s="9"/>
      <x:c r="R324" s="12" t="str">
        <x:f>IF(A324="","",IF(B324="","À compléter",IF(COUNTIFS($A$6:$A$505,A324,$B$6:$B$505,B324)&gt;1,"Doublon ville/mois",IF(OR(AND(ISNUMBER(H324),ISNUMBER(I324),I324&gt;H324),AND(ISNUMBER(M324),ISNUMBER(N324),N324&gt;M324),AND(ISNUMBER(O324),ISNUMBER(P324),P324&gt;O324)),"Incohérent",""))))</x:f>
      </x:c>
    </x:row>
    <x:row r="325" ht="23" customHeight="1">
      <x:c r="A325" s="9"/>
      <x:c r="B325" s="11"/>
      <x:c r="C325" s="10"/>
      <x:c r="D325" s="9"/>
      <x:c r="E325" s="9"/>
      <x:c r="F325" s="9"/>
      <x:c r="G325" s="9"/>
      <x:c r="H325" s="9"/>
      <x:c r="I325" s="9"/>
      <x:c r="J325" s="9"/>
      <x:c r="K325" s="9"/>
      <x:c r="L325" s="10"/>
      <x:c r="M325" s="9"/>
      <x:c r="N325" s="9"/>
      <x:c r="O325" s="9"/>
      <x:c r="P325" s="9"/>
      <x:c r="Q325" s="9"/>
      <x:c r="R325" s="12" t="str">
        <x:f>IF(A325="","",IF(B325="","À compléter",IF(COUNTIFS($A$6:$A$505,A325,$B$6:$B$505,B325)&gt;1,"Doublon ville/mois",IF(OR(AND(ISNUMBER(H325),ISNUMBER(I325),I325&gt;H325),AND(ISNUMBER(M325),ISNUMBER(N325),N325&gt;M325),AND(ISNUMBER(O325),ISNUMBER(P325),P325&gt;O325)),"Incohérent",""))))</x:f>
      </x:c>
    </x:row>
    <x:row r="326" ht="23" customHeight="1">
      <x:c r="A326" s="9"/>
      <x:c r="B326" s="11"/>
      <x:c r="C326" s="10"/>
      <x:c r="D326" s="9"/>
      <x:c r="E326" s="9"/>
      <x:c r="F326" s="9"/>
      <x:c r="G326" s="9"/>
      <x:c r="H326" s="9"/>
      <x:c r="I326" s="9"/>
      <x:c r="J326" s="9"/>
      <x:c r="K326" s="9"/>
      <x:c r="L326" s="10"/>
      <x:c r="M326" s="9"/>
      <x:c r="N326" s="9"/>
      <x:c r="O326" s="9"/>
      <x:c r="P326" s="9"/>
      <x:c r="Q326" s="9"/>
      <x:c r="R326" s="12" t="str">
        <x:f>IF(A326="","",IF(B326="","À compléter",IF(COUNTIFS($A$6:$A$505,A326,$B$6:$B$505,B326)&gt;1,"Doublon ville/mois",IF(OR(AND(ISNUMBER(H326),ISNUMBER(I326),I326&gt;H326),AND(ISNUMBER(M326),ISNUMBER(N326),N326&gt;M326),AND(ISNUMBER(O326),ISNUMBER(P326),P326&gt;O326)),"Incohérent",""))))</x:f>
      </x:c>
    </x:row>
    <x:row r="327" ht="23" customHeight="1">
      <x:c r="A327" s="9"/>
      <x:c r="B327" s="11"/>
      <x:c r="C327" s="10"/>
      <x:c r="D327" s="9"/>
      <x:c r="E327" s="9"/>
      <x:c r="F327" s="9"/>
      <x:c r="G327" s="9"/>
      <x:c r="H327" s="9"/>
      <x:c r="I327" s="9"/>
      <x:c r="J327" s="9"/>
      <x:c r="K327" s="9"/>
      <x:c r="L327" s="10"/>
      <x:c r="M327" s="9"/>
      <x:c r="N327" s="9"/>
      <x:c r="O327" s="9"/>
      <x:c r="P327" s="9"/>
      <x:c r="Q327" s="9"/>
      <x:c r="R327" s="12" t="str">
        <x:f>IF(A327="","",IF(B327="","À compléter",IF(COUNTIFS($A$6:$A$505,A327,$B$6:$B$505,B327)&gt;1,"Doublon ville/mois",IF(OR(AND(ISNUMBER(H327),ISNUMBER(I327),I327&gt;H327),AND(ISNUMBER(M327),ISNUMBER(N327),N327&gt;M327),AND(ISNUMBER(O327),ISNUMBER(P327),P327&gt;O327)),"Incohérent",""))))</x:f>
      </x:c>
    </x:row>
    <x:row r="328" ht="23" customHeight="1">
      <x:c r="A328" s="9"/>
      <x:c r="B328" s="11"/>
      <x:c r="C328" s="10"/>
      <x:c r="D328" s="9"/>
      <x:c r="E328" s="9"/>
      <x:c r="F328" s="9"/>
      <x:c r="G328" s="9"/>
      <x:c r="H328" s="9"/>
      <x:c r="I328" s="9"/>
      <x:c r="J328" s="9"/>
      <x:c r="K328" s="9"/>
      <x:c r="L328" s="10"/>
      <x:c r="M328" s="9"/>
      <x:c r="N328" s="9"/>
      <x:c r="O328" s="9"/>
      <x:c r="P328" s="9"/>
      <x:c r="Q328" s="9"/>
      <x:c r="R328" s="12" t="str">
        <x:f>IF(A328="","",IF(B328="","À compléter",IF(COUNTIFS($A$6:$A$505,A328,$B$6:$B$505,B328)&gt;1,"Doublon ville/mois",IF(OR(AND(ISNUMBER(H328),ISNUMBER(I328),I328&gt;H328),AND(ISNUMBER(M328),ISNUMBER(N328),N328&gt;M328),AND(ISNUMBER(O328),ISNUMBER(P328),P328&gt;O328)),"Incohérent",""))))</x:f>
      </x:c>
    </x:row>
    <x:row r="329" ht="23" customHeight="1">
      <x:c r="A329" s="9"/>
      <x:c r="B329" s="11"/>
      <x:c r="C329" s="10"/>
      <x:c r="D329" s="9"/>
      <x:c r="E329" s="9"/>
      <x:c r="F329" s="9"/>
      <x:c r="G329" s="9"/>
      <x:c r="H329" s="9"/>
      <x:c r="I329" s="9"/>
      <x:c r="J329" s="9"/>
      <x:c r="K329" s="9"/>
      <x:c r="L329" s="10"/>
      <x:c r="M329" s="9"/>
      <x:c r="N329" s="9"/>
      <x:c r="O329" s="9"/>
      <x:c r="P329" s="9"/>
      <x:c r="Q329" s="9"/>
      <x:c r="R329" s="12" t="str">
        <x:f>IF(A329="","",IF(B329="","À compléter",IF(COUNTIFS($A$6:$A$505,A329,$B$6:$B$505,B329)&gt;1,"Doublon ville/mois",IF(OR(AND(ISNUMBER(H329),ISNUMBER(I329),I329&gt;H329),AND(ISNUMBER(M329),ISNUMBER(N329),N329&gt;M329),AND(ISNUMBER(O329),ISNUMBER(P329),P329&gt;O329)),"Incohérent",""))))</x:f>
      </x:c>
    </x:row>
    <x:row r="330" ht="23" customHeight="1">
      <x:c r="A330" s="9"/>
      <x:c r="B330" s="11"/>
      <x:c r="C330" s="10"/>
      <x:c r="D330" s="9"/>
      <x:c r="E330" s="9"/>
      <x:c r="F330" s="9"/>
      <x:c r="G330" s="9"/>
      <x:c r="H330" s="9"/>
      <x:c r="I330" s="9"/>
      <x:c r="J330" s="9"/>
      <x:c r="K330" s="9"/>
      <x:c r="L330" s="10"/>
      <x:c r="M330" s="9"/>
      <x:c r="N330" s="9"/>
      <x:c r="O330" s="9"/>
      <x:c r="P330" s="9"/>
      <x:c r="Q330" s="9"/>
      <x:c r="R330" s="12" t="str">
        <x:f>IF(A330="","",IF(B330="","À compléter",IF(COUNTIFS($A$6:$A$505,A330,$B$6:$B$505,B330)&gt;1,"Doublon ville/mois",IF(OR(AND(ISNUMBER(H330),ISNUMBER(I330),I330&gt;H330),AND(ISNUMBER(M330),ISNUMBER(N330),N330&gt;M330),AND(ISNUMBER(O330),ISNUMBER(P330),P330&gt;O330)),"Incohérent",""))))</x:f>
      </x:c>
    </x:row>
    <x:row r="331" ht="23" customHeight="1">
      <x:c r="A331" s="9"/>
      <x:c r="B331" s="11"/>
      <x:c r="C331" s="10"/>
      <x:c r="D331" s="9"/>
      <x:c r="E331" s="9"/>
      <x:c r="F331" s="9"/>
      <x:c r="G331" s="9"/>
      <x:c r="H331" s="9"/>
      <x:c r="I331" s="9"/>
      <x:c r="J331" s="9"/>
      <x:c r="K331" s="9"/>
      <x:c r="L331" s="10"/>
      <x:c r="M331" s="9"/>
      <x:c r="N331" s="9"/>
      <x:c r="O331" s="9"/>
      <x:c r="P331" s="9"/>
      <x:c r="Q331" s="9"/>
      <x:c r="R331" s="12" t="str">
        <x:f>IF(A331="","",IF(B331="","À compléter",IF(COUNTIFS($A$6:$A$505,A331,$B$6:$B$505,B331)&gt;1,"Doublon ville/mois",IF(OR(AND(ISNUMBER(H331),ISNUMBER(I331),I331&gt;H331),AND(ISNUMBER(M331),ISNUMBER(N331),N331&gt;M331),AND(ISNUMBER(O331),ISNUMBER(P331),P331&gt;O331)),"Incohérent",""))))</x:f>
      </x:c>
    </x:row>
    <x:row r="332" ht="23" customHeight="1">
      <x:c r="A332" s="9"/>
      <x:c r="B332" s="11"/>
      <x:c r="C332" s="10"/>
      <x:c r="D332" s="9"/>
      <x:c r="E332" s="9"/>
      <x:c r="F332" s="9"/>
      <x:c r="G332" s="9"/>
      <x:c r="H332" s="9"/>
      <x:c r="I332" s="9"/>
      <x:c r="J332" s="9"/>
      <x:c r="K332" s="9"/>
      <x:c r="L332" s="10"/>
      <x:c r="M332" s="9"/>
      <x:c r="N332" s="9"/>
      <x:c r="O332" s="9"/>
      <x:c r="P332" s="9"/>
      <x:c r="Q332" s="9"/>
      <x:c r="R332" s="12" t="str">
        <x:f>IF(A332="","",IF(B332="","À compléter",IF(COUNTIFS($A$6:$A$505,A332,$B$6:$B$505,B332)&gt;1,"Doublon ville/mois",IF(OR(AND(ISNUMBER(H332),ISNUMBER(I332),I332&gt;H332),AND(ISNUMBER(M332),ISNUMBER(N332),N332&gt;M332),AND(ISNUMBER(O332),ISNUMBER(P332),P332&gt;O332)),"Incohérent",""))))</x:f>
      </x:c>
    </x:row>
    <x:row r="333" ht="23" customHeight="1">
      <x:c r="A333" s="9"/>
      <x:c r="B333" s="11"/>
      <x:c r="C333" s="10"/>
      <x:c r="D333" s="9"/>
      <x:c r="E333" s="9"/>
      <x:c r="F333" s="9"/>
      <x:c r="G333" s="9"/>
      <x:c r="H333" s="9"/>
      <x:c r="I333" s="9"/>
      <x:c r="J333" s="9"/>
      <x:c r="K333" s="9"/>
      <x:c r="L333" s="10"/>
      <x:c r="M333" s="9"/>
      <x:c r="N333" s="9"/>
      <x:c r="O333" s="9"/>
      <x:c r="P333" s="9"/>
      <x:c r="Q333" s="9"/>
      <x:c r="R333" s="12" t="str">
        <x:f>IF(A333="","",IF(B333="","À compléter",IF(COUNTIFS($A$6:$A$505,A333,$B$6:$B$505,B333)&gt;1,"Doublon ville/mois",IF(OR(AND(ISNUMBER(H333),ISNUMBER(I333),I333&gt;H333),AND(ISNUMBER(M333),ISNUMBER(N333),N333&gt;M333),AND(ISNUMBER(O333),ISNUMBER(P333),P333&gt;O333)),"Incohérent",""))))</x:f>
      </x:c>
    </x:row>
    <x:row r="334" ht="23" customHeight="1">
      <x:c r="A334" s="9"/>
      <x:c r="B334" s="11"/>
      <x:c r="C334" s="10"/>
      <x:c r="D334" s="9"/>
      <x:c r="E334" s="9"/>
      <x:c r="F334" s="9"/>
      <x:c r="G334" s="9"/>
      <x:c r="H334" s="9"/>
      <x:c r="I334" s="9"/>
      <x:c r="J334" s="9"/>
      <x:c r="K334" s="9"/>
      <x:c r="L334" s="10"/>
      <x:c r="M334" s="9"/>
      <x:c r="N334" s="9"/>
      <x:c r="O334" s="9"/>
      <x:c r="P334" s="9"/>
      <x:c r="Q334" s="9"/>
      <x:c r="R334" s="12" t="str">
        <x:f>IF(A334="","",IF(B334="","À compléter",IF(COUNTIFS($A$6:$A$505,A334,$B$6:$B$505,B334)&gt;1,"Doublon ville/mois",IF(OR(AND(ISNUMBER(H334),ISNUMBER(I334),I334&gt;H334),AND(ISNUMBER(M334),ISNUMBER(N334),N334&gt;M334),AND(ISNUMBER(O334),ISNUMBER(P334),P334&gt;O334)),"Incohérent",""))))</x:f>
      </x:c>
    </x:row>
    <x:row r="335" ht="23" customHeight="1">
      <x:c r="A335" s="9"/>
      <x:c r="B335" s="11"/>
      <x:c r="C335" s="10"/>
      <x:c r="D335" s="9"/>
      <x:c r="E335" s="9"/>
      <x:c r="F335" s="9"/>
      <x:c r="G335" s="9"/>
      <x:c r="H335" s="9"/>
      <x:c r="I335" s="9"/>
      <x:c r="J335" s="9"/>
      <x:c r="K335" s="9"/>
      <x:c r="L335" s="10"/>
      <x:c r="M335" s="9"/>
      <x:c r="N335" s="9"/>
      <x:c r="O335" s="9"/>
      <x:c r="P335" s="9"/>
      <x:c r="Q335" s="9"/>
      <x:c r="R335" s="12" t="str">
        <x:f>IF(A335="","",IF(B335="","À compléter",IF(COUNTIFS($A$6:$A$505,A335,$B$6:$B$505,B335)&gt;1,"Doublon ville/mois",IF(OR(AND(ISNUMBER(H335),ISNUMBER(I335),I335&gt;H335),AND(ISNUMBER(M335),ISNUMBER(N335),N335&gt;M335),AND(ISNUMBER(O335),ISNUMBER(P335),P335&gt;O335)),"Incohérent",""))))</x:f>
      </x:c>
    </x:row>
    <x:row r="336" ht="23" customHeight="1">
      <x:c r="A336" s="9"/>
      <x:c r="B336" s="11"/>
      <x:c r="C336" s="10"/>
      <x:c r="D336" s="9"/>
      <x:c r="E336" s="9"/>
      <x:c r="F336" s="9"/>
      <x:c r="G336" s="9"/>
      <x:c r="H336" s="9"/>
      <x:c r="I336" s="9"/>
      <x:c r="J336" s="9"/>
      <x:c r="K336" s="9"/>
      <x:c r="L336" s="10"/>
      <x:c r="M336" s="9"/>
      <x:c r="N336" s="9"/>
      <x:c r="O336" s="9"/>
      <x:c r="P336" s="9"/>
      <x:c r="Q336" s="9"/>
      <x:c r="R336" s="12" t="str">
        <x:f>IF(A336="","",IF(B336="","À compléter",IF(COUNTIFS($A$6:$A$505,A336,$B$6:$B$505,B336)&gt;1,"Doublon ville/mois",IF(OR(AND(ISNUMBER(H336),ISNUMBER(I336),I336&gt;H336),AND(ISNUMBER(M336),ISNUMBER(N336),N336&gt;M336),AND(ISNUMBER(O336),ISNUMBER(P336),P336&gt;O336)),"Incohérent",""))))</x:f>
      </x:c>
    </x:row>
    <x:row r="337" ht="23" customHeight="1">
      <x:c r="A337" s="9"/>
      <x:c r="B337" s="11"/>
      <x:c r="C337" s="10"/>
      <x:c r="D337" s="9"/>
      <x:c r="E337" s="9"/>
      <x:c r="F337" s="9"/>
      <x:c r="G337" s="9"/>
      <x:c r="H337" s="9"/>
      <x:c r="I337" s="9"/>
      <x:c r="J337" s="9"/>
      <x:c r="K337" s="9"/>
      <x:c r="L337" s="10"/>
      <x:c r="M337" s="9"/>
      <x:c r="N337" s="9"/>
      <x:c r="O337" s="9"/>
      <x:c r="P337" s="9"/>
      <x:c r="Q337" s="9"/>
      <x:c r="R337" s="12" t="str">
        <x:f>IF(A337="","",IF(B337="","À compléter",IF(COUNTIFS($A$6:$A$505,A337,$B$6:$B$505,B337)&gt;1,"Doublon ville/mois",IF(OR(AND(ISNUMBER(H337),ISNUMBER(I337),I337&gt;H337),AND(ISNUMBER(M337),ISNUMBER(N337),N337&gt;M337),AND(ISNUMBER(O337),ISNUMBER(P337),P337&gt;O337)),"Incohérent",""))))</x:f>
      </x:c>
    </x:row>
    <x:row r="338" ht="23" customHeight="1">
      <x:c r="A338" s="9"/>
      <x:c r="B338" s="11"/>
      <x:c r="C338" s="10"/>
      <x:c r="D338" s="9"/>
      <x:c r="E338" s="9"/>
      <x:c r="F338" s="9"/>
      <x:c r="G338" s="9"/>
      <x:c r="H338" s="9"/>
      <x:c r="I338" s="9"/>
      <x:c r="J338" s="9"/>
      <x:c r="K338" s="9"/>
      <x:c r="L338" s="10"/>
      <x:c r="M338" s="9"/>
      <x:c r="N338" s="9"/>
      <x:c r="O338" s="9"/>
      <x:c r="P338" s="9"/>
      <x:c r="Q338" s="9"/>
      <x:c r="R338" s="12" t="str">
        <x:f>IF(A338="","",IF(B338="","À compléter",IF(COUNTIFS($A$6:$A$505,A338,$B$6:$B$505,B338)&gt;1,"Doublon ville/mois",IF(OR(AND(ISNUMBER(H338),ISNUMBER(I338),I338&gt;H338),AND(ISNUMBER(M338),ISNUMBER(N338),N338&gt;M338),AND(ISNUMBER(O338),ISNUMBER(P338),P338&gt;O338)),"Incohérent",""))))</x:f>
      </x:c>
    </x:row>
    <x:row r="339" ht="23" customHeight="1">
      <x:c r="A339" s="9"/>
      <x:c r="B339" s="11"/>
      <x:c r="C339" s="10"/>
      <x:c r="D339" s="9"/>
      <x:c r="E339" s="9"/>
      <x:c r="F339" s="9"/>
      <x:c r="G339" s="9"/>
      <x:c r="H339" s="9"/>
      <x:c r="I339" s="9"/>
      <x:c r="J339" s="9"/>
      <x:c r="K339" s="9"/>
      <x:c r="L339" s="10"/>
      <x:c r="M339" s="9"/>
      <x:c r="N339" s="9"/>
      <x:c r="O339" s="9"/>
      <x:c r="P339" s="9"/>
      <x:c r="Q339" s="9"/>
      <x:c r="R339" s="12" t="str">
        <x:f>IF(A339="","",IF(B339="","À compléter",IF(COUNTIFS($A$6:$A$505,A339,$B$6:$B$505,B339)&gt;1,"Doublon ville/mois",IF(OR(AND(ISNUMBER(H339),ISNUMBER(I339),I339&gt;H339),AND(ISNUMBER(M339),ISNUMBER(N339),N339&gt;M339),AND(ISNUMBER(O339),ISNUMBER(P339),P339&gt;O339)),"Incohérent",""))))</x:f>
      </x:c>
    </x:row>
    <x:row r="340" ht="23" customHeight="1">
      <x:c r="A340" s="9"/>
      <x:c r="B340" s="11"/>
      <x:c r="C340" s="10"/>
      <x:c r="D340" s="9"/>
      <x:c r="E340" s="9"/>
      <x:c r="F340" s="9"/>
      <x:c r="G340" s="9"/>
      <x:c r="H340" s="9"/>
      <x:c r="I340" s="9"/>
      <x:c r="J340" s="9"/>
      <x:c r="K340" s="9"/>
      <x:c r="L340" s="10"/>
      <x:c r="M340" s="9"/>
      <x:c r="N340" s="9"/>
      <x:c r="O340" s="9"/>
      <x:c r="P340" s="9"/>
      <x:c r="Q340" s="9"/>
      <x:c r="R340" s="12" t="str">
        <x:f>IF(A340="","",IF(B340="","À compléter",IF(COUNTIFS($A$6:$A$505,A340,$B$6:$B$505,B340)&gt;1,"Doublon ville/mois",IF(OR(AND(ISNUMBER(H340),ISNUMBER(I340),I340&gt;H340),AND(ISNUMBER(M340),ISNUMBER(N340),N340&gt;M340),AND(ISNUMBER(O340),ISNUMBER(P340),P340&gt;O340)),"Incohérent",""))))</x:f>
      </x:c>
    </x:row>
    <x:row r="341" ht="23" customHeight="1">
      <x:c r="A341" s="9"/>
      <x:c r="B341" s="11"/>
      <x:c r="C341" s="10"/>
      <x:c r="D341" s="9"/>
      <x:c r="E341" s="9"/>
      <x:c r="F341" s="9"/>
      <x:c r="G341" s="9"/>
      <x:c r="H341" s="9"/>
      <x:c r="I341" s="9"/>
      <x:c r="J341" s="9"/>
      <x:c r="K341" s="9"/>
      <x:c r="L341" s="10"/>
      <x:c r="M341" s="9"/>
      <x:c r="N341" s="9"/>
      <x:c r="O341" s="9"/>
      <x:c r="P341" s="9"/>
      <x:c r="Q341" s="9"/>
      <x:c r="R341" s="12" t="str">
        <x:f>IF(A341="","",IF(B341="","À compléter",IF(COUNTIFS($A$6:$A$505,A341,$B$6:$B$505,B341)&gt;1,"Doublon ville/mois",IF(OR(AND(ISNUMBER(H341),ISNUMBER(I341),I341&gt;H341),AND(ISNUMBER(M341),ISNUMBER(N341),N341&gt;M341),AND(ISNUMBER(O341),ISNUMBER(P341),P341&gt;O341)),"Incohérent",""))))</x:f>
      </x:c>
    </x:row>
    <x:row r="342" ht="23" customHeight="1">
      <x:c r="A342" s="9"/>
      <x:c r="B342" s="11"/>
      <x:c r="C342" s="10"/>
      <x:c r="D342" s="9"/>
      <x:c r="E342" s="9"/>
      <x:c r="F342" s="9"/>
      <x:c r="G342" s="9"/>
      <x:c r="H342" s="9"/>
      <x:c r="I342" s="9"/>
      <x:c r="J342" s="9"/>
      <x:c r="K342" s="9"/>
      <x:c r="L342" s="10"/>
      <x:c r="M342" s="9"/>
      <x:c r="N342" s="9"/>
      <x:c r="O342" s="9"/>
      <x:c r="P342" s="9"/>
      <x:c r="Q342" s="9"/>
      <x:c r="R342" s="12" t="str">
        <x:f>IF(A342="","",IF(B342="","À compléter",IF(COUNTIFS($A$6:$A$505,A342,$B$6:$B$505,B342)&gt;1,"Doublon ville/mois",IF(OR(AND(ISNUMBER(H342),ISNUMBER(I342),I342&gt;H342),AND(ISNUMBER(M342),ISNUMBER(N342),N342&gt;M342),AND(ISNUMBER(O342),ISNUMBER(P342),P342&gt;O342)),"Incohérent",""))))</x:f>
      </x:c>
    </x:row>
    <x:row r="343" ht="23" customHeight="1">
      <x:c r="A343" s="9"/>
      <x:c r="B343" s="11"/>
      <x:c r="C343" s="10"/>
      <x:c r="D343" s="9"/>
      <x:c r="E343" s="9"/>
      <x:c r="F343" s="9"/>
      <x:c r="G343" s="9"/>
      <x:c r="H343" s="9"/>
      <x:c r="I343" s="9"/>
      <x:c r="J343" s="9"/>
      <x:c r="K343" s="9"/>
      <x:c r="L343" s="10"/>
      <x:c r="M343" s="9"/>
      <x:c r="N343" s="9"/>
      <x:c r="O343" s="9"/>
      <x:c r="P343" s="9"/>
      <x:c r="Q343" s="9"/>
      <x:c r="R343" s="12" t="str">
        <x:f>IF(A343="","",IF(B343="","À compléter",IF(COUNTIFS($A$6:$A$505,A343,$B$6:$B$505,B343)&gt;1,"Doublon ville/mois",IF(OR(AND(ISNUMBER(H343),ISNUMBER(I343),I343&gt;H343),AND(ISNUMBER(M343),ISNUMBER(N343),N343&gt;M343),AND(ISNUMBER(O343),ISNUMBER(P343),P343&gt;O343)),"Incohérent",""))))</x:f>
      </x:c>
    </x:row>
    <x:row r="344" ht="23" customHeight="1">
      <x:c r="A344" s="9"/>
      <x:c r="B344" s="11"/>
      <x:c r="C344" s="10"/>
      <x:c r="D344" s="9"/>
      <x:c r="E344" s="9"/>
      <x:c r="F344" s="9"/>
      <x:c r="G344" s="9"/>
      <x:c r="H344" s="9"/>
      <x:c r="I344" s="9"/>
      <x:c r="J344" s="9"/>
      <x:c r="K344" s="9"/>
      <x:c r="L344" s="10"/>
      <x:c r="M344" s="9"/>
      <x:c r="N344" s="9"/>
      <x:c r="O344" s="9"/>
      <x:c r="P344" s="9"/>
      <x:c r="Q344" s="9"/>
      <x:c r="R344" s="12" t="str">
        <x:f>IF(A344="","",IF(B344="","À compléter",IF(COUNTIFS($A$6:$A$505,A344,$B$6:$B$505,B344)&gt;1,"Doublon ville/mois",IF(OR(AND(ISNUMBER(H344),ISNUMBER(I344),I344&gt;H344),AND(ISNUMBER(M344),ISNUMBER(N344),N344&gt;M344),AND(ISNUMBER(O344),ISNUMBER(P344),P344&gt;O344)),"Incohérent",""))))</x:f>
      </x:c>
    </x:row>
    <x:row r="345" ht="23" customHeight="1">
      <x:c r="A345" s="9"/>
      <x:c r="B345" s="11"/>
      <x:c r="C345" s="10"/>
      <x:c r="D345" s="9"/>
      <x:c r="E345" s="9"/>
      <x:c r="F345" s="9"/>
      <x:c r="G345" s="9"/>
      <x:c r="H345" s="9"/>
      <x:c r="I345" s="9"/>
      <x:c r="J345" s="9"/>
      <x:c r="K345" s="9"/>
      <x:c r="L345" s="10"/>
      <x:c r="M345" s="9"/>
      <x:c r="N345" s="9"/>
      <x:c r="O345" s="9"/>
      <x:c r="P345" s="9"/>
      <x:c r="Q345" s="9"/>
      <x:c r="R345" s="12" t="str">
        <x:f>IF(A345="","",IF(B345="","À compléter",IF(COUNTIFS($A$6:$A$505,A345,$B$6:$B$505,B345)&gt;1,"Doublon ville/mois",IF(OR(AND(ISNUMBER(H345),ISNUMBER(I345),I345&gt;H345),AND(ISNUMBER(M345),ISNUMBER(N345),N345&gt;M345),AND(ISNUMBER(O345),ISNUMBER(P345),P345&gt;O345)),"Incohérent",""))))</x:f>
      </x:c>
    </x:row>
    <x:row r="346" ht="23" customHeight="1">
      <x:c r="A346" s="9"/>
      <x:c r="B346" s="11"/>
      <x:c r="C346" s="10"/>
      <x:c r="D346" s="9"/>
      <x:c r="E346" s="9"/>
      <x:c r="F346" s="9"/>
      <x:c r="G346" s="9"/>
      <x:c r="H346" s="9"/>
      <x:c r="I346" s="9"/>
      <x:c r="J346" s="9"/>
      <x:c r="K346" s="9"/>
      <x:c r="L346" s="10"/>
      <x:c r="M346" s="9"/>
      <x:c r="N346" s="9"/>
      <x:c r="O346" s="9"/>
      <x:c r="P346" s="9"/>
      <x:c r="Q346" s="9"/>
      <x:c r="R346" s="12" t="str">
        <x:f>IF(A346="","",IF(B346="","À compléter",IF(COUNTIFS($A$6:$A$505,A346,$B$6:$B$505,B346)&gt;1,"Doublon ville/mois",IF(OR(AND(ISNUMBER(H346),ISNUMBER(I346),I346&gt;H346),AND(ISNUMBER(M346),ISNUMBER(N346),N346&gt;M346),AND(ISNUMBER(O346),ISNUMBER(P346),P346&gt;O346)),"Incohérent",""))))</x:f>
      </x:c>
    </x:row>
    <x:row r="347" ht="23" customHeight="1">
      <x:c r="A347" s="9"/>
      <x:c r="B347" s="11"/>
      <x:c r="C347" s="10"/>
      <x:c r="D347" s="9"/>
      <x:c r="E347" s="9"/>
      <x:c r="F347" s="9"/>
      <x:c r="G347" s="9"/>
      <x:c r="H347" s="9"/>
      <x:c r="I347" s="9"/>
      <x:c r="J347" s="9"/>
      <x:c r="K347" s="9"/>
      <x:c r="L347" s="10"/>
      <x:c r="M347" s="9"/>
      <x:c r="N347" s="9"/>
      <x:c r="O347" s="9"/>
      <x:c r="P347" s="9"/>
      <x:c r="Q347" s="9"/>
      <x:c r="R347" s="12" t="str">
        <x:f>IF(A347="","",IF(B347="","À compléter",IF(COUNTIFS($A$6:$A$505,A347,$B$6:$B$505,B347)&gt;1,"Doublon ville/mois",IF(OR(AND(ISNUMBER(H347),ISNUMBER(I347),I347&gt;H347),AND(ISNUMBER(M347),ISNUMBER(N347),N347&gt;M347),AND(ISNUMBER(O347),ISNUMBER(P347),P347&gt;O347)),"Incohérent",""))))</x:f>
      </x:c>
    </x:row>
    <x:row r="348" ht="23" customHeight="1">
      <x:c r="A348" s="9"/>
      <x:c r="B348" s="11"/>
      <x:c r="C348" s="10"/>
      <x:c r="D348" s="9"/>
      <x:c r="E348" s="9"/>
      <x:c r="F348" s="9"/>
      <x:c r="G348" s="9"/>
      <x:c r="H348" s="9"/>
      <x:c r="I348" s="9"/>
      <x:c r="J348" s="9"/>
      <x:c r="K348" s="9"/>
      <x:c r="L348" s="10"/>
      <x:c r="M348" s="9"/>
      <x:c r="N348" s="9"/>
      <x:c r="O348" s="9"/>
      <x:c r="P348" s="9"/>
      <x:c r="Q348" s="9"/>
      <x:c r="R348" s="12" t="str">
        <x:f>IF(A348="","",IF(B348="","À compléter",IF(COUNTIFS($A$6:$A$505,A348,$B$6:$B$505,B348)&gt;1,"Doublon ville/mois",IF(OR(AND(ISNUMBER(H348),ISNUMBER(I348),I348&gt;H348),AND(ISNUMBER(M348),ISNUMBER(N348),N348&gt;M348),AND(ISNUMBER(O348),ISNUMBER(P348),P348&gt;O348)),"Incohérent",""))))</x:f>
      </x:c>
    </x:row>
    <x:row r="349" ht="23" customHeight="1">
      <x:c r="A349" s="9"/>
      <x:c r="B349" s="11"/>
      <x:c r="C349" s="10"/>
      <x:c r="D349" s="9"/>
      <x:c r="E349" s="9"/>
      <x:c r="F349" s="9"/>
      <x:c r="G349" s="9"/>
      <x:c r="H349" s="9"/>
      <x:c r="I349" s="9"/>
      <x:c r="J349" s="9"/>
      <x:c r="K349" s="9"/>
      <x:c r="L349" s="10"/>
      <x:c r="M349" s="9"/>
      <x:c r="N349" s="9"/>
      <x:c r="O349" s="9"/>
      <x:c r="P349" s="9"/>
      <x:c r="Q349" s="9"/>
      <x:c r="R349" s="12" t="str">
        <x:f>IF(A349="","",IF(B349="","À compléter",IF(COUNTIFS($A$6:$A$505,A349,$B$6:$B$505,B349)&gt;1,"Doublon ville/mois",IF(OR(AND(ISNUMBER(H349),ISNUMBER(I349),I349&gt;H349),AND(ISNUMBER(M349),ISNUMBER(N349),N349&gt;M349),AND(ISNUMBER(O349),ISNUMBER(P349),P349&gt;O349)),"Incohérent",""))))</x:f>
      </x:c>
    </x:row>
    <x:row r="350" ht="23" customHeight="1">
      <x:c r="A350" s="9"/>
      <x:c r="B350" s="11"/>
      <x:c r="C350" s="10"/>
      <x:c r="D350" s="9"/>
      <x:c r="E350" s="9"/>
      <x:c r="F350" s="9"/>
      <x:c r="G350" s="9"/>
      <x:c r="H350" s="9"/>
      <x:c r="I350" s="9"/>
      <x:c r="J350" s="9"/>
      <x:c r="K350" s="9"/>
      <x:c r="L350" s="10"/>
      <x:c r="M350" s="9"/>
      <x:c r="N350" s="9"/>
      <x:c r="O350" s="9"/>
      <x:c r="P350" s="9"/>
      <x:c r="Q350" s="9"/>
      <x:c r="R350" s="12" t="str">
        <x:f>IF(A350="","",IF(B350="","À compléter",IF(COUNTIFS($A$6:$A$505,A350,$B$6:$B$505,B350)&gt;1,"Doublon ville/mois",IF(OR(AND(ISNUMBER(H350),ISNUMBER(I350),I350&gt;H350),AND(ISNUMBER(M350),ISNUMBER(N350),N350&gt;M350),AND(ISNUMBER(O350),ISNUMBER(P350),P350&gt;O350)),"Incohérent",""))))</x:f>
      </x:c>
    </x:row>
    <x:row r="351" ht="23" customHeight="1">
      <x:c r="A351" s="9"/>
      <x:c r="B351" s="11"/>
      <x:c r="C351" s="10"/>
      <x:c r="D351" s="9"/>
      <x:c r="E351" s="9"/>
      <x:c r="F351" s="9"/>
      <x:c r="G351" s="9"/>
      <x:c r="H351" s="9"/>
      <x:c r="I351" s="9"/>
      <x:c r="J351" s="9"/>
      <x:c r="K351" s="9"/>
      <x:c r="L351" s="10"/>
      <x:c r="M351" s="9"/>
      <x:c r="N351" s="9"/>
      <x:c r="O351" s="9"/>
      <x:c r="P351" s="9"/>
      <x:c r="Q351" s="9"/>
      <x:c r="R351" s="12" t="str">
        <x:f>IF(A351="","",IF(B351="","À compléter",IF(COUNTIFS($A$6:$A$505,A351,$B$6:$B$505,B351)&gt;1,"Doublon ville/mois",IF(OR(AND(ISNUMBER(H351),ISNUMBER(I351),I351&gt;H351),AND(ISNUMBER(M351),ISNUMBER(N351),N351&gt;M351),AND(ISNUMBER(O351),ISNUMBER(P351),P351&gt;O351)),"Incohérent",""))))</x:f>
      </x:c>
    </x:row>
    <x:row r="352" ht="23" customHeight="1">
      <x:c r="A352" s="9"/>
      <x:c r="B352" s="11"/>
      <x:c r="C352" s="10"/>
      <x:c r="D352" s="9"/>
      <x:c r="E352" s="9"/>
      <x:c r="F352" s="9"/>
      <x:c r="G352" s="9"/>
      <x:c r="H352" s="9"/>
      <x:c r="I352" s="9"/>
      <x:c r="J352" s="9"/>
      <x:c r="K352" s="9"/>
      <x:c r="L352" s="10"/>
      <x:c r="M352" s="9"/>
      <x:c r="N352" s="9"/>
      <x:c r="O352" s="9"/>
      <x:c r="P352" s="9"/>
      <x:c r="Q352" s="9"/>
      <x:c r="R352" s="12" t="str">
        <x:f>IF(A352="","",IF(B352="","À compléter",IF(COUNTIFS($A$6:$A$505,A352,$B$6:$B$505,B352)&gt;1,"Doublon ville/mois",IF(OR(AND(ISNUMBER(H352),ISNUMBER(I352),I352&gt;H352),AND(ISNUMBER(M352),ISNUMBER(N352),N352&gt;M352),AND(ISNUMBER(O352),ISNUMBER(P352),P352&gt;O352)),"Incohérent",""))))</x:f>
      </x:c>
    </x:row>
    <x:row r="353" ht="23" customHeight="1">
      <x:c r="A353" s="9"/>
      <x:c r="B353" s="11"/>
      <x:c r="C353" s="10"/>
      <x:c r="D353" s="9"/>
      <x:c r="E353" s="9"/>
      <x:c r="F353" s="9"/>
      <x:c r="G353" s="9"/>
      <x:c r="H353" s="9"/>
      <x:c r="I353" s="9"/>
      <x:c r="J353" s="9"/>
      <x:c r="K353" s="9"/>
      <x:c r="L353" s="10"/>
      <x:c r="M353" s="9"/>
      <x:c r="N353" s="9"/>
      <x:c r="O353" s="9"/>
      <x:c r="P353" s="9"/>
      <x:c r="Q353" s="9"/>
      <x:c r="R353" s="12" t="str">
        <x:f>IF(A353="","",IF(B353="","À compléter",IF(COUNTIFS($A$6:$A$505,A353,$B$6:$B$505,B353)&gt;1,"Doublon ville/mois",IF(OR(AND(ISNUMBER(H353),ISNUMBER(I353),I353&gt;H353),AND(ISNUMBER(M353),ISNUMBER(N353),N353&gt;M353),AND(ISNUMBER(O353),ISNUMBER(P353),P353&gt;O353)),"Incohérent",""))))</x:f>
      </x:c>
    </x:row>
    <x:row r="354" ht="23" customHeight="1">
      <x:c r="A354" s="9"/>
      <x:c r="B354" s="11"/>
      <x:c r="C354" s="10"/>
      <x:c r="D354" s="9"/>
      <x:c r="E354" s="9"/>
      <x:c r="F354" s="9"/>
      <x:c r="G354" s="9"/>
      <x:c r="H354" s="9"/>
      <x:c r="I354" s="9"/>
      <x:c r="J354" s="9"/>
      <x:c r="K354" s="9"/>
      <x:c r="L354" s="10"/>
      <x:c r="M354" s="9"/>
      <x:c r="N354" s="9"/>
      <x:c r="O354" s="9"/>
      <x:c r="P354" s="9"/>
      <x:c r="Q354" s="9"/>
      <x:c r="R354" s="12" t="str">
        <x:f>IF(A354="","",IF(B354="","À compléter",IF(COUNTIFS($A$6:$A$505,A354,$B$6:$B$505,B354)&gt;1,"Doublon ville/mois",IF(OR(AND(ISNUMBER(H354),ISNUMBER(I354),I354&gt;H354),AND(ISNUMBER(M354),ISNUMBER(N354),N354&gt;M354),AND(ISNUMBER(O354),ISNUMBER(P354),P354&gt;O354)),"Incohérent",""))))</x:f>
      </x:c>
    </x:row>
    <x:row r="355" ht="23" customHeight="1">
      <x:c r="A355" s="9"/>
      <x:c r="B355" s="11"/>
      <x:c r="C355" s="10"/>
      <x:c r="D355" s="9"/>
      <x:c r="E355" s="9"/>
      <x:c r="F355" s="9"/>
      <x:c r="G355" s="9"/>
      <x:c r="H355" s="9"/>
      <x:c r="I355" s="9"/>
      <x:c r="J355" s="9"/>
      <x:c r="K355" s="9"/>
      <x:c r="L355" s="10"/>
      <x:c r="M355" s="9"/>
      <x:c r="N355" s="9"/>
      <x:c r="O355" s="9"/>
      <x:c r="P355" s="9"/>
      <x:c r="Q355" s="9"/>
      <x:c r="R355" s="12" t="str">
        <x:f>IF(A355="","",IF(B355="","À compléter",IF(COUNTIFS($A$6:$A$505,A355,$B$6:$B$505,B355)&gt;1,"Doublon ville/mois",IF(OR(AND(ISNUMBER(H355),ISNUMBER(I355),I355&gt;H355),AND(ISNUMBER(M355),ISNUMBER(N355),N355&gt;M355),AND(ISNUMBER(O355),ISNUMBER(P355),P355&gt;O355)),"Incohérent",""))))</x:f>
      </x:c>
    </x:row>
    <x:row r="356" ht="23" customHeight="1">
      <x:c r="A356" s="9"/>
      <x:c r="B356" s="11"/>
      <x:c r="C356" s="10"/>
      <x:c r="D356" s="9"/>
      <x:c r="E356" s="9"/>
      <x:c r="F356" s="9"/>
      <x:c r="G356" s="9"/>
      <x:c r="H356" s="9"/>
      <x:c r="I356" s="9"/>
      <x:c r="J356" s="9"/>
      <x:c r="K356" s="9"/>
      <x:c r="L356" s="10"/>
      <x:c r="M356" s="9"/>
      <x:c r="N356" s="9"/>
      <x:c r="O356" s="9"/>
      <x:c r="P356" s="9"/>
      <x:c r="Q356" s="9"/>
      <x:c r="R356" s="12" t="str">
        <x:f>IF(A356="","",IF(B356="","À compléter",IF(COUNTIFS($A$6:$A$505,A356,$B$6:$B$505,B356)&gt;1,"Doublon ville/mois",IF(OR(AND(ISNUMBER(H356),ISNUMBER(I356),I356&gt;H356),AND(ISNUMBER(M356),ISNUMBER(N356),N356&gt;M356),AND(ISNUMBER(O356),ISNUMBER(P356),P356&gt;O356)),"Incohérent",""))))</x:f>
      </x:c>
    </x:row>
    <x:row r="357" ht="23" customHeight="1">
      <x:c r="A357" s="9"/>
      <x:c r="B357" s="11"/>
      <x:c r="C357" s="10"/>
      <x:c r="D357" s="9"/>
      <x:c r="E357" s="9"/>
      <x:c r="F357" s="9"/>
      <x:c r="G357" s="9"/>
      <x:c r="H357" s="9"/>
      <x:c r="I357" s="9"/>
      <x:c r="J357" s="9"/>
      <x:c r="K357" s="9"/>
      <x:c r="L357" s="10"/>
      <x:c r="M357" s="9"/>
      <x:c r="N357" s="9"/>
      <x:c r="O357" s="9"/>
      <x:c r="P357" s="9"/>
      <x:c r="Q357" s="9"/>
      <x:c r="R357" s="12" t="str">
        <x:f>IF(A357="","",IF(B357="","À compléter",IF(COUNTIFS($A$6:$A$505,A357,$B$6:$B$505,B357)&gt;1,"Doublon ville/mois",IF(OR(AND(ISNUMBER(H357),ISNUMBER(I357),I357&gt;H357),AND(ISNUMBER(M357),ISNUMBER(N357),N357&gt;M357),AND(ISNUMBER(O357),ISNUMBER(P357),P357&gt;O357)),"Incohérent",""))))</x:f>
      </x:c>
    </x:row>
    <x:row r="358" ht="23" customHeight="1">
      <x:c r="A358" s="9"/>
      <x:c r="B358" s="11"/>
      <x:c r="C358" s="10"/>
      <x:c r="D358" s="9"/>
      <x:c r="E358" s="9"/>
      <x:c r="F358" s="9"/>
      <x:c r="G358" s="9"/>
      <x:c r="H358" s="9"/>
      <x:c r="I358" s="9"/>
      <x:c r="J358" s="9"/>
      <x:c r="K358" s="9"/>
      <x:c r="L358" s="10"/>
      <x:c r="M358" s="9"/>
      <x:c r="N358" s="9"/>
      <x:c r="O358" s="9"/>
      <x:c r="P358" s="9"/>
      <x:c r="Q358" s="9"/>
      <x:c r="R358" s="12" t="str">
        <x:f>IF(A358="","",IF(B358="","À compléter",IF(COUNTIFS($A$6:$A$505,A358,$B$6:$B$505,B358)&gt;1,"Doublon ville/mois",IF(OR(AND(ISNUMBER(H358),ISNUMBER(I358),I358&gt;H358),AND(ISNUMBER(M358),ISNUMBER(N358),N358&gt;M358),AND(ISNUMBER(O358),ISNUMBER(P358),P358&gt;O358)),"Incohérent",""))))</x:f>
      </x:c>
    </x:row>
    <x:row r="359" ht="23" customHeight="1">
      <x:c r="A359" s="9"/>
      <x:c r="B359" s="11"/>
      <x:c r="C359" s="10"/>
      <x:c r="D359" s="9"/>
      <x:c r="E359" s="9"/>
      <x:c r="F359" s="9"/>
      <x:c r="G359" s="9"/>
      <x:c r="H359" s="9"/>
      <x:c r="I359" s="9"/>
      <x:c r="J359" s="9"/>
      <x:c r="K359" s="9"/>
      <x:c r="L359" s="10"/>
      <x:c r="M359" s="9"/>
      <x:c r="N359" s="9"/>
      <x:c r="O359" s="9"/>
      <x:c r="P359" s="9"/>
      <x:c r="Q359" s="9"/>
      <x:c r="R359" s="12" t="str">
        <x:f>IF(A359="","",IF(B359="","À compléter",IF(COUNTIFS($A$6:$A$505,A359,$B$6:$B$505,B359)&gt;1,"Doublon ville/mois",IF(OR(AND(ISNUMBER(H359),ISNUMBER(I359),I359&gt;H359),AND(ISNUMBER(M359),ISNUMBER(N359),N359&gt;M359),AND(ISNUMBER(O359),ISNUMBER(P359),P359&gt;O359)),"Incohérent",""))))</x:f>
      </x:c>
    </x:row>
    <x:row r="360" ht="23" customHeight="1">
      <x:c r="A360" s="9"/>
      <x:c r="B360" s="11"/>
      <x:c r="C360" s="10"/>
      <x:c r="D360" s="9"/>
      <x:c r="E360" s="9"/>
      <x:c r="F360" s="9"/>
      <x:c r="G360" s="9"/>
      <x:c r="H360" s="9"/>
      <x:c r="I360" s="9"/>
      <x:c r="J360" s="9"/>
      <x:c r="K360" s="9"/>
      <x:c r="L360" s="10"/>
      <x:c r="M360" s="9"/>
      <x:c r="N360" s="9"/>
      <x:c r="O360" s="9"/>
      <x:c r="P360" s="9"/>
      <x:c r="Q360" s="9"/>
      <x:c r="R360" s="12" t="str">
        <x:f>IF(A360="","",IF(B360="","À compléter",IF(COUNTIFS($A$6:$A$505,A360,$B$6:$B$505,B360)&gt;1,"Doublon ville/mois",IF(OR(AND(ISNUMBER(H360),ISNUMBER(I360),I360&gt;H360),AND(ISNUMBER(M360),ISNUMBER(N360),N360&gt;M360),AND(ISNUMBER(O360),ISNUMBER(P360),P360&gt;O360)),"Incohérent",""))))</x:f>
      </x:c>
    </x:row>
    <x:row r="361" ht="23" customHeight="1">
      <x:c r="A361" s="9"/>
      <x:c r="B361" s="11"/>
      <x:c r="C361" s="10"/>
      <x:c r="D361" s="9"/>
      <x:c r="E361" s="9"/>
      <x:c r="F361" s="9"/>
      <x:c r="G361" s="9"/>
      <x:c r="H361" s="9"/>
      <x:c r="I361" s="9"/>
      <x:c r="J361" s="9"/>
      <x:c r="K361" s="9"/>
      <x:c r="L361" s="10"/>
      <x:c r="M361" s="9"/>
      <x:c r="N361" s="9"/>
      <x:c r="O361" s="9"/>
      <x:c r="P361" s="9"/>
      <x:c r="Q361" s="9"/>
      <x:c r="R361" s="12" t="str">
        <x:f>IF(A361="","",IF(B361="","À compléter",IF(COUNTIFS($A$6:$A$505,A361,$B$6:$B$505,B361)&gt;1,"Doublon ville/mois",IF(OR(AND(ISNUMBER(H361),ISNUMBER(I361),I361&gt;H361),AND(ISNUMBER(M361),ISNUMBER(N361),N361&gt;M361),AND(ISNUMBER(O361),ISNUMBER(P361),P361&gt;O361)),"Incohérent",""))))</x:f>
      </x:c>
    </x:row>
    <x:row r="362" ht="23" customHeight="1">
      <x:c r="A362" s="9"/>
      <x:c r="B362" s="11"/>
      <x:c r="C362" s="10"/>
      <x:c r="D362" s="9"/>
      <x:c r="E362" s="9"/>
      <x:c r="F362" s="9"/>
      <x:c r="G362" s="9"/>
      <x:c r="H362" s="9"/>
      <x:c r="I362" s="9"/>
      <x:c r="J362" s="9"/>
      <x:c r="K362" s="9"/>
      <x:c r="L362" s="10"/>
      <x:c r="M362" s="9"/>
      <x:c r="N362" s="9"/>
      <x:c r="O362" s="9"/>
      <x:c r="P362" s="9"/>
      <x:c r="Q362" s="9"/>
      <x:c r="R362" s="12" t="str">
        <x:f>IF(A362="","",IF(B362="","À compléter",IF(COUNTIFS($A$6:$A$505,A362,$B$6:$B$505,B362)&gt;1,"Doublon ville/mois",IF(OR(AND(ISNUMBER(H362),ISNUMBER(I362),I362&gt;H362),AND(ISNUMBER(M362),ISNUMBER(N362),N362&gt;M362),AND(ISNUMBER(O362),ISNUMBER(P362),P362&gt;O362)),"Incohérent",""))))</x:f>
      </x:c>
    </x:row>
    <x:row r="363" ht="23" customHeight="1">
      <x:c r="A363" s="9"/>
      <x:c r="B363" s="11"/>
      <x:c r="C363" s="10"/>
      <x:c r="D363" s="9"/>
      <x:c r="E363" s="9"/>
      <x:c r="F363" s="9"/>
      <x:c r="G363" s="9"/>
      <x:c r="H363" s="9"/>
      <x:c r="I363" s="9"/>
      <x:c r="J363" s="9"/>
      <x:c r="K363" s="9"/>
      <x:c r="L363" s="10"/>
      <x:c r="M363" s="9"/>
      <x:c r="N363" s="9"/>
      <x:c r="O363" s="9"/>
      <x:c r="P363" s="9"/>
      <x:c r="Q363" s="9"/>
      <x:c r="R363" s="12" t="str">
        <x:f>IF(A363="","",IF(B363="","À compléter",IF(COUNTIFS($A$6:$A$505,A363,$B$6:$B$505,B363)&gt;1,"Doublon ville/mois",IF(OR(AND(ISNUMBER(H363),ISNUMBER(I363),I363&gt;H363),AND(ISNUMBER(M363),ISNUMBER(N363),N363&gt;M363),AND(ISNUMBER(O363),ISNUMBER(P363),P363&gt;O363)),"Incohérent",""))))</x:f>
      </x:c>
    </x:row>
    <x:row r="364" ht="23" customHeight="1">
      <x:c r="A364" s="9"/>
      <x:c r="B364" s="11"/>
      <x:c r="C364" s="10"/>
      <x:c r="D364" s="9"/>
      <x:c r="E364" s="9"/>
      <x:c r="F364" s="9"/>
      <x:c r="G364" s="9"/>
      <x:c r="H364" s="9"/>
      <x:c r="I364" s="9"/>
      <x:c r="J364" s="9"/>
      <x:c r="K364" s="9"/>
      <x:c r="L364" s="10"/>
      <x:c r="M364" s="9"/>
      <x:c r="N364" s="9"/>
      <x:c r="O364" s="9"/>
      <x:c r="P364" s="9"/>
      <x:c r="Q364" s="9"/>
      <x:c r="R364" s="12" t="str">
        <x:f>IF(A364="","",IF(B364="","À compléter",IF(COUNTIFS($A$6:$A$505,A364,$B$6:$B$505,B364)&gt;1,"Doublon ville/mois",IF(OR(AND(ISNUMBER(H364),ISNUMBER(I364),I364&gt;H364),AND(ISNUMBER(M364),ISNUMBER(N364),N364&gt;M364),AND(ISNUMBER(O364),ISNUMBER(P364),P364&gt;O364)),"Incohérent",""))))</x:f>
      </x:c>
    </x:row>
    <x:row r="365" ht="23" customHeight="1">
      <x:c r="A365" s="9"/>
      <x:c r="B365" s="11"/>
      <x:c r="C365" s="10"/>
      <x:c r="D365" s="9"/>
      <x:c r="E365" s="9"/>
      <x:c r="F365" s="9"/>
      <x:c r="G365" s="9"/>
      <x:c r="H365" s="9"/>
      <x:c r="I365" s="9"/>
      <x:c r="J365" s="9"/>
      <x:c r="K365" s="9"/>
      <x:c r="L365" s="10"/>
      <x:c r="M365" s="9"/>
      <x:c r="N365" s="9"/>
      <x:c r="O365" s="9"/>
      <x:c r="P365" s="9"/>
      <x:c r="Q365" s="9"/>
      <x:c r="R365" s="12" t="str">
        <x:f>IF(A365="","",IF(B365="","À compléter",IF(COUNTIFS($A$6:$A$505,A365,$B$6:$B$505,B365)&gt;1,"Doublon ville/mois",IF(OR(AND(ISNUMBER(H365),ISNUMBER(I365),I365&gt;H365),AND(ISNUMBER(M365),ISNUMBER(N365),N365&gt;M365),AND(ISNUMBER(O365),ISNUMBER(P365),P365&gt;O365)),"Incohérent",""))))</x:f>
      </x:c>
    </x:row>
    <x:row r="366" ht="23" customHeight="1">
      <x:c r="A366" s="9"/>
      <x:c r="B366" s="11"/>
      <x:c r="C366" s="10"/>
      <x:c r="D366" s="9"/>
      <x:c r="E366" s="9"/>
      <x:c r="F366" s="9"/>
      <x:c r="G366" s="9"/>
      <x:c r="H366" s="9"/>
      <x:c r="I366" s="9"/>
      <x:c r="J366" s="9"/>
      <x:c r="K366" s="9"/>
      <x:c r="L366" s="10"/>
      <x:c r="M366" s="9"/>
      <x:c r="N366" s="9"/>
      <x:c r="O366" s="9"/>
      <x:c r="P366" s="9"/>
      <x:c r="Q366" s="9"/>
      <x:c r="R366" s="12" t="str">
        <x:f>IF(A366="","",IF(B366="","À compléter",IF(COUNTIFS($A$6:$A$505,A366,$B$6:$B$505,B366)&gt;1,"Doublon ville/mois",IF(OR(AND(ISNUMBER(H366),ISNUMBER(I366),I366&gt;H366),AND(ISNUMBER(M366),ISNUMBER(N366),N366&gt;M366),AND(ISNUMBER(O366),ISNUMBER(P366),P366&gt;O366)),"Incohérent",""))))</x:f>
      </x:c>
    </x:row>
    <x:row r="367" ht="23" customHeight="1">
      <x:c r="A367" s="9"/>
      <x:c r="B367" s="11"/>
      <x:c r="C367" s="10"/>
      <x:c r="D367" s="9"/>
      <x:c r="E367" s="9"/>
      <x:c r="F367" s="9"/>
      <x:c r="G367" s="9"/>
      <x:c r="H367" s="9"/>
      <x:c r="I367" s="9"/>
      <x:c r="J367" s="9"/>
      <x:c r="K367" s="9"/>
      <x:c r="L367" s="10"/>
      <x:c r="M367" s="9"/>
      <x:c r="N367" s="9"/>
      <x:c r="O367" s="9"/>
      <x:c r="P367" s="9"/>
      <x:c r="Q367" s="9"/>
      <x:c r="R367" s="12" t="str">
        <x:f>IF(A367="","",IF(B367="","À compléter",IF(COUNTIFS($A$6:$A$505,A367,$B$6:$B$505,B367)&gt;1,"Doublon ville/mois",IF(OR(AND(ISNUMBER(H367),ISNUMBER(I367),I367&gt;H367),AND(ISNUMBER(M367),ISNUMBER(N367),N367&gt;M367),AND(ISNUMBER(O367),ISNUMBER(P367),P367&gt;O367)),"Incohérent",""))))</x:f>
      </x:c>
    </x:row>
    <x:row r="368" ht="23" customHeight="1">
      <x:c r="A368" s="9"/>
      <x:c r="B368" s="11"/>
      <x:c r="C368" s="10"/>
      <x:c r="D368" s="9"/>
      <x:c r="E368" s="9"/>
      <x:c r="F368" s="9"/>
      <x:c r="G368" s="9"/>
      <x:c r="H368" s="9"/>
      <x:c r="I368" s="9"/>
      <x:c r="J368" s="9"/>
      <x:c r="K368" s="9"/>
      <x:c r="L368" s="10"/>
      <x:c r="M368" s="9"/>
      <x:c r="N368" s="9"/>
      <x:c r="O368" s="9"/>
      <x:c r="P368" s="9"/>
      <x:c r="Q368" s="9"/>
      <x:c r="R368" s="12" t="str">
        <x:f>IF(A368="","",IF(B368="","À compléter",IF(COUNTIFS($A$6:$A$505,A368,$B$6:$B$505,B368)&gt;1,"Doublon ville/mois",IF(OR(AND(ISNUMBER(H368),ISNUMBER(I368),I368&gt;H368),AND(ISNUMBER(M368),ISNUMBER(N368),N368&gt;M368),AND(ISNUMBER(O368),ISNUMBER(P368),P368&gt;O368)),"Incohérent",""))))</x:f>
      </x:c>
    </x:row>
    <x:row r="369" ht="23" customHeight="1">
      <x:c r="A369" s="9"/>
      <x:c r="B369" s="11"/>
      <x:c r="C369" s="10"/>
      <x:c r="D369" s="9"/>
      <x:c r="E369" s="9"/>
      <x:c r="F369" s="9"/>
      <x:c r="G369" s="9"/>
      <x:c r="H369" s="9"/>
      <x:c r="I369" s="9"/>
      <x:c r="J369" s="9"/>
      <x:c r="K369" s="9"/>
      <x:c r="L369" s="10"/>
      <x:c r="M369" s="9"/>
      <x:c r="N369" s="9"/>
      <x:c r="O369" s="9"/>
      <x:c r="P369" s="9"/>
      <x:c r="Q369" s="9"/>
      <x:c r="R369" s="12" t="str">
        <x:f>IF(A369="","",IF(B369="","À compléter",IF(COUNTIFS($A$6:$A$505,A369,$B$6:$B$505,B369)&gt;1,"Doublon ville/mois",IF(OR(AND(ISNUMBER(H369),ISNUMBER(I369),I369&gt;H369),AND(ISNUMBER(M369),ISNUMBER(N369),N369&gt;M369),AND(ISNUMBER(O369),ISNUMBER(P369),P369&gt;O369)),"Incohérent",""))))</x:f>
      </x:c>
    </x:row>
    <x:row r="370" ht="23" customHeight="1">
      <x:c r="A370" s="9"/>
      <x:c r="B370" s="11"/>
      <x:c r="C370" s="10"/>
      <x:c r="D370" s="9"/>
      <x:c r="E370" s="9"/>
      <x:c r="F370" s="9"/>
      <x:c r="G370" s="9"/>
      <x:c r="H370" s="9"/>
      <x:c r="I370" s="9"/>
      <x:c r="J370" s="9"/>
      <x:c r="K370" s="9"/>
      <x:c r="L370" s="10"/>
      <x:c r="M370" s="9"/>
      <x:c r="N370" s="9"/>
      <x:c r="O370" s="9"/>
      <x:c r="P370" s="9"/>
      <x:c r="Q370" s="9"/>
      <x:c r="R370" s="12" t="str">
        <x:f>IF(A370="","",IF(B370="","À compléter",IF(COUNTIFS($A$6:$A$505,A370,$B$6:$B$505,B370)&gt;1,"Doublon ville/mois",IF(OR(AND(ISNUMBER(H370),ISNUMBER(I370),I370&gt;H370),AND(ISNUMBER(M370),ISNUMBER(N370),N370&gt;M370),AND(ISNUMBER(O370),ISNUMBER(P370),P370&gt;O370)),"Incohérent",""))))</x:f>
      </x:c>
    </x:row>
    <x:row r="371" ht="23" customHeight="1">
      <x:c r="A371" s="9"/>
      <x:c r="B371" s="11"/>
      <x:c r="C371" s="10"/>
      <x:c r="D371" s="9"/>
      <x:c r="E371" s="9"/>
      <x:c r="F371" s="9"/>
      <x:c r="G371" s="9"/>
      <x:c r="H371" s="9"/>
      <x:c r="I371" s="9"/>
      <x:c r="J371" s="9"/>
      <x:c r="K371" s="9"/>
      <x:c r="L371" s="10"/>
      <x:c r="M371" s="9"/>
      <x:c r="N371" s="9"/>
      <x:c r="O371" s="9"/>
      <x:c r="P371" s="9"/>
      <x:c r="Q371" s="9"/>
      <x:c r="R371" s="12" t="str">
        <x:f>IF(A371="","",IF(B371="","À compléter",IF(COUNTIFS($A$6:$A$505,A371,$B$6:$B$505,B371)&gt;1,"Doublon ville/mois",IF(OR(AND(ISNUMBER(H371),ISNUMBER(I371),I371&gt;H371),AND(ISNUMBER(M371),ISNUMBER(N371),N371&gt;M371),AND(ISNUMBER(O371),ISNUMBER(P371),P371&gt;O371)),"Incohérent",""))))</x:f>
      </x:c>
    </x:row>
    <x:row r="372" ht="23" customHeight="1">
      <x:c r="A372" s="9"/>
      <x:c r="B372" s="11"/>
      <x:c r="C372" s="10"/>
      <x:c r="D372" s="9"/>
      <x:c r="E372" s="9"/>
      <x:c r="F372" s="9"/>
      <x:c r="G372" s="9"/>
      <x:c r="H372" s="9"/>
      <x:c r="I372" s="9"/>
      <x:c r="J372" s="9"/>
      <x:c r="K372" s="9"/>
      <x:c r="L372" s="10"/>
      <x:c r="M372" s="9"/>
      <x:c r="N372" s="9"/>
      <x:c r="O372" s="9"/>
      <x:c r="P372" s="9"/>
      <x:c r="Q372" s="9"/>
      <x:c r="R372" s="12" t="str">
        <x:f>IF(A372="","",IF(B372="","À compléter",IF(COUNTIFS($A$6:$A$505,A372,$B$6:$B$505,B372)&gt;1,"Doublon ville/mois",IF(OR(AND(ISNUMBER(H372),ISNUMBER(I372),I372&gt;H372),AND(ISNUMBER(M372),ISNUMBER(N372),N372&gt;M372),AND(ISNUMBER(O372),ISNUMBER(P372),P372&gt;O372)),"Incohérent",""))))</x:f>
      </x:c>
    </x:row>
    <x:row r="373" ht="23" customHeight="1">
      <x:c r="A373" s="9"/>
      <x:c r="B373" s="11"/>
      <x:c r="C373" s="10"/>
      <x:c r="D373" s="9"/>
      <x:c r="E373" s="9"/>
      <x:c r="F373" s="9"/>
      <x:c r="G373" s="9"/>
      <x:c r="H373" s="9"/>
      <x:c r="I373" s="9"/>
      <x:c r="J373" s="9"/>
      <x:c r="K373" s="9"/>
      <x:c r="L373" s="10"/>
      <x:c r="M373" s="9"/>
      <x:c r="N373" s="9"/>
      <x:c r="O373" s="9"/>
      <x:c r="P373" s="9"/>
      <x:c r="Q373" s="9"/>
      <x:c r="R373" s="12" t="str">
        <x:f>IF(A373="","",IF(B373="","À compléter",IF(COUNTIFS($A$6:$A$505,A373,$B$6:$B$505,B373)&gt;1,"Doublon ville/mois",IF(OR(AND(ISNUMBER(H373),ISNUMBER(I373),I373&gt;H373),AND(ISNUMBER(M373),ISNUMBER(N373),N373&gt;M373),AND(ISNUMBER(O373),ISNUMBER(P373),P373&gt;O373)),"Incohérent",""))))</x:f>
      </x:c>
    </x:row>
    <x:row r="374" ht="23" customHeight="1">
      <x:c r="A374" s="9"/>
      <x:c r="B374" s="11"/>
      <x:c r="C374" s="10"/>
      <x:c r="D374" s="9"/>
      <x:c r="E374" s="9"/>
      <x:c r="F374" s="9"/>
      <x:c r="G374" s="9"/>
      <x:c r="H374" s="9"/>
      <x:c r="I374" s="9"/>
      <x:c r="J374" s="9"/>
      <x:c r="K374" s="9"/>
      <x:c r="L374" s="10"/>
      <x:c r="M374" s="9"/>
      <x:c r="N374" s="9"/>
      <x:c r="O374" s="9"/>
      <x:c r="P374" s="9"/>
      <x:c r="Q374" s="9"/>
      <x:c r="R374" s="12" t="str">
        <x:f>IF(A374="","",IF(B374="","À compléter",IF(COUNTIFS($A$6:$A$505,A374,$B$6:$B$505,B374)&gt;1,"Doublon ville/mois",IF(OR(AND(ISNUMBER(H374),ISNUMBER(I374),I374&gt;H374),AND(ISNUMBER(M374),ISNUMBER(N374),N374&gt;M374),AND(ISNUMBER(O374),ISNUMBER(P374),P374&gt;O374)),"Incohérent",""))))</x:f>
      </x:c>
    </x:row>
    <x:row r="375" ht="23" customHeight="1">
      <x:c r="A375" s="9"/>
      <x:c r="B375" s="11"/>
      <x:c r="C375" s="10"/>
      <x:c r="D375" s="9"/>
      <x:c r="E375" s="9"/>
      <x:c r="F375" s="9"/>
      <x:c r="G375" s="9"/>
      <x:c r="H375" s="9"/>
      <x:c r="I375" s="9"/>
      <x:c r="J375" s="9"/>
      <x:c r="K375" s="9"/>
      <x:c r="L375" s="10"/>
      <x:c r="M375" s="9"/>
      <x:c r="N375" s="9"/>
      <x:c r="O375" s="9"/>
      <x:c r="P375" s="9"/>
      <x:c r="Q375" s="9"/>
      <x:c r="R375" s="12" t="str">
        <x:f>IF(A375="","",IF(B375="","À compléter",IF(COUNTIFS($A$6:$A$505,A375,$B$6:$B$505,B375)&gt;1,"Doublon ville/mois",IF(OR(AND(ISNUMBER(H375),ISNUMBER(I375),I375&gt;H375),AND(ISNUMBER(M375),ISNUMBER(N375),N375&gt;M375),AND(ISNUMBER(O375),ISNUMBER(P375),P375&gt;O375)),"Incohérent",""))))</x:f>
      </x:c>
    </x:row>
    <x:row r="376" ht="23" customHeight="1">
      <x:c r="A376" s="9"/>
      <x:c r="B376" s="11"/>
      <x:c r="C376" s="10"/>
      <x:c r="D376" s="9"/>
      <x:c r="E376" s="9"/>
      <x:c r="F376" s="9"/>
      <x:c r="G376" s="9"/>
      <x:c r="H376" s="9"/>
      <x:c r="I376" s="9"/>
      <x:c r="J376" s="9"/>
      <x:c r="K376" s="9"/>
      <x:c r="L376" s="10"/>
      <x:c r="M376" s="9"/>
      <x:c r="N376" s="9"/>
      <x:c r="O376" s="9"/>
      <x:c r="P376" s="9"/>
      <x:c r="Q376" s="9"/>
      <x:c r="R376" s="12" t="str">
        <x:f>IF(A376="","",IF(B376="","À compléter",IF(COUNTIFS($A$6:$A$505,A376,$B$6:$B$505,B376)&gt;1,"Doublon ville/mois",IF(OR(AND(ISNUMBER(H376),ISNUMBER(I376),I376&gt;H376),AND(ISNUMBER(M376),ISNUMBER(N376),N376&gt;M376),AND(ISNUMBER(O376),ISNUMBER(P376),P376&gt;O376)),"Incohérent",""))))</x:f>
      </x:c>
    </x:row>
    <x:row r="377" ht="23" customHeight="1">
      <x:c r="A377" s="9"/>
      <x:c r="B377" s="11"/>
      <x:c r="C377" s="10"/>
      <x:c r="D377" s="9"/>
      <x:c r="E377" s="9"/>
      <x:c r="F377" s="9"/>
      <x:c r="G377" s="9"/>
      <x:c r="H377" s="9"/>
      <x:c r="I377" s="9"/>
      <x:c r="J377" s="9"/>
      <x:c r="K377" s="9"/>
      <x:c r="L377" s="10"/>
      <x:c r="M377" s="9"/>
      <x:c r="N377" s="9"/>
      <x:c r="O377" s="9"/>
      <x:c r="P377" s="9"/>
      <x:c r="Q377" s="9"/>
      <x:c r="R377" s="12" t="str">
        <x:f>IF(A377="","",IF(B377="","À compléter",IF(COUNTIFS($A$6:$A$505,A377,$B$6:$B$505,B377)&gt;1,"Doublon ville/mois",IF(OR(AND(ISNUMBER(H377),ISNUMBER(I377),I377&gt;H377),AND(ISNUMBER(M377),ISNUMBER(N377),N377&gt;M377),AND(ISNUMBER(O377),ISNUMBER(P377),P377&gt;O377)),"Incohérent",""))))</x:f>
      </x:c>
    </x:row>
    <x:row r="378" ht="23" customHeight="1">
      <x:c r="A378" s="9"/>
      <x:c r="B378" s="11"/>
      <x:c r="C378" s="10"/>
      <x:c r="D378" s="9"/>
      <x:c r="E378" s="9"/>
      <x:c r="F378" s="9"/>
      <x:c r="G378" s="9"/>
      <x:c r="H378" s="9"/>
      <x:c r="I378" s="9"/>
      <x:c r="J378" s="9"/>
      <x:c r="K378" s="9"/>
      <x:c r="L378" s="10"/>
      <x:c r="M378" s="9"/>
      <x:c r="N378" s="9"/>
      <x:c r="O378" s="9"/>
      <x:c r="P378" s="9"/>
      <x:c r="Q378" s="9"/>
      <x:c r="R378" s="12" t="str">
        <x:f>IF(A378="","",IF(B378="","À compléter",IF(COUNTIFS($A$6:$A$505,A378,$B$6:$B$505,B378)&gt;1,"Doublon ville/mois",IF(OR(AND(ISNUMBER(H378),ISNUMBER(I378),I378&gt;H378),AND(ISNUMBER(M378),ISNUMBER(N378),N378&gt;M378),AND(ISNUMBER(O378),ISNUMBER(P378),P378&gt;O378)),"Incohérent",""))))</x:f>
      </x:c>
    </x:row>
    <x:row r="379" ht="23" customHeight="1">
      <x:c r="A379" s="9"/>
      <x:c r="B379" s="11"/>
      <x:c r="C379" s="10"/>
      <x:c r="D379" s="9"/>
      <x:c r="E379" s="9"/>
      <x:c r="F379" s="9"/>
      <x:c r="G379" s="9"/>
      <x:c r="H379" s="9"/>
      <x:c r="I379" s="9"/>
      <x:c r="J379" s="9"/>
      <x:c r="K379" s="9"/>
      <x:c r="L379" s="10"/>
      <x:c r="M379" s="9"/>
      <x:c r="N379" s="9"/>
      <x:c r="O379" s="9"/>
      <x:c r="P379" s="9"/>
      <x:c r="Q379" s="9"/>
      <x:c r="R379" s="12" t="str">
        <x:f>IF(A379="","",IF(B379="","À compléter",IF(COUNTIFS($A$6:$A$505,A379,$B$6:$B$505,B379)&gt;1,"Doublon ville/mois",IF(OR(AND(ISNUMBER(H379),ISNUMBER(I379),I379&gt;H379),AND(ISNUMBER(M379),ISNUMBER(N379),N379&gt;M379),AND(ISNUMBER(O379),ISNUMBER(P379),P379&gt;O379)),"Incohérent",""))))</x:f>
      </x:c>
    </x:row>
    <x:row r="380" ht="23" customHeight="1">
      <x:c r="A380" s="9"/>
      <x:c r="B380" s="11"/>
      <x:c r="C380" s="10"/>
      <x:c r="D380" s="9"/>
      <x:c r="E380" s="9"/>
      <x:c r="F380" s="9"/>
      <x:c r="G380" s="9"/>
      <x:c r="H380" s="9"/>
      <x:c r="I380" s="9"/>
      <x:c r="J380" s="9"/>
      <x:c r="K380" s="9"/>
      <x:c r="L380" s="10"/>
      <x:c r="M380" s="9"/>
      <x:c r="N380" s="9"/>
      <x:c r="O380" s="9"/>
      <x:c r="P380" s="9"/>
      <x:c r="Q380" s="9"/>
      <x:c r="R380" s="12" t="str">
        <x:f>IF(A380="","",IF(B380="","À compléter",IF(COUNTIFS($A$6:$A$505,A380,$B$6:$B$505,B380)&gt;1,"Doublon ville/mois",IF(OR(AND(ISNUMBER(H380),ISNUMBER(I380),I380&gt;H380),AND(ISNUMBER(M380),ISNUMBER(N380),N380&gt;M380),AND(ISNUMBER(O380),ISNUMBER(P380),P380&gt;O380)),"Incohérent",""))))</x:f>
      </x:c>
    </x:row>
    <x:row r="381" ht="23" customHeight="1">
      <x:c r="A381" s="9"/>
      <x:c r="B381" s="11"/>
      <x:c r="C381" s="10"/>
      <x:c r="D381" s="9"/>
      <x:c r="E381" s="9"/>
      <x:c r="F381" s="9"/>
      <x:c r="G381" s="9"/>
      <x:c r="H381" s="9"/>
      <x:c r="I381" s="9"/>
      <x:c r="J381" s="9"/>
      <x:c r="K381" s="9"/>
      <x:c r="L381" s="10"/>
      <x:c r="M381" s="9"/>
      <x:c r="N381" s="9"/>
      <x:c r="O381" s="9"/>
      <x:c r="P381" s="9"/>
      <x:c r="Q381" s="9"/>
      <x:c r="R381" s="12" t="str">
        <x:f>IF(A381="","",IF(B381="","À compléter",IF(COUNTIFS($A$6:$A$505,A381,$B$6:$B$505,B381)&gt;1,"Doublon ville/mois",IF(OR(AND(ISNUMBER(H381),ISNUMBER(I381),I381&gt;H381),AND(ISNUMBER(M381),ISNUMBER(N381),N381&gt;M381),AND(ISNUMBER(O381),ISNUMBER(P381),P381&gt;O381)),"Incohérent",""))))</x:f>
      </x:c>
    </x:row>
    <x:row r="382" ht="23" customHeight="1">
      <x:c r="A382" s="9"/>
      <x:c r="B382" s="11"/>
      <x:c r="C382" s="10"/>
      <x:c r="D382" s="9"/>
      <x:c r="E382" s="9"/>
      <x:c r="F382" s="9"/>
      <x:c r="G382" s="9"/>
      <x:c r="H382" s="9"/>
      <x:c r="I382" s="9"/>
      <x:c r="J382" s="9"/>
      <x:c r="K382" s="9"/>
      <x:c r="L382" s="10"/>
      <x:c r="M382" s="9"/>
      <x:c r="N382" s="9"/>
      <x:c r="O382" s="9"/>
      <x:c r="P382" s="9"/>
      <x:c r="Q382" s="9"/>
      <x:c r="R382" s="12" t="str">
        <x:f>IF(A382="","",IF(B382="","À compléter",IF(COUNTIFS($A$6:$A$505,A382,$B$6:$B$505,B382)&gt;1,"Doublon ville/mois",IF(OR(AND(ISNUMBER(H382),ISNUMBER(I382),I382&gt;H382),AND(ISNUMBER(M382),ISNUMBER(N382),N382&gt;M382),AND(ISNUMBER(O382),ISNUMBER(P382),P382&gt;O382)),"Incohérent",""))))</x:f>
      </x:c>
    </x:row>
    <x:row r="383" ht="23" customHeight="1">
      <x:c r="A383" s="9"/>
      <x:c r="B383" s="11"/>
      <x:c r="C383" s="10"/>
      <x:c r="D383" s="9"/>
      <x:c r="E383" s="9"/>
      <x:c r="F383" s="9"/>
      <x:c r="G383" s="9"/>
      <x:c r="H383" s="9"/>
      <x:c r="I383" s="9"/>
      <x:c r="J383" s="9"/>
      <x:c r="K383" s="9"/>
      <x:c r="L383" s="10"/>
      <x:c r="M383" s="9"/>
      <x:c r="N383" s="9"/>
      <x:c r="O383" s="9"/>
      <x:c r="P383" s="9"/>
      <x:c r="Q383" s="9"/>
      <x:c r="R383" s="12" t="str">
        <x:f>IF(A383="","",IF(B383="","À compléter",IF(COUNTIFS($A$6:$A$505,A383,$B$6:$B$505,B383)&gt;1,"Doublon ville/mois",IF(OR(AND(ISNUMBER(H383),ISNUMBER(I383),I383&gt;H383),AND(ISNUMBER(M383),ISNUMBER(N383),N383&gt;M383),AND(ISNUMBER(O383),ISNUMBER(P383),P383&gt;O383)),"Incohérent",""))))</x:f>
      </x:c>
    </x:row>
    <x:row r="384" ht="23" customHeight="1">
      <x:c r="A384" s="9"/>
      <x:c r="B384" s="11"/>
      <x:c r="C384" s="10"/>
      <x:c r="D384" s="9"/>
      <x:c r="E384" s="9"/>
      <x:c r="F384" s="9"/>
      <x:c r="G384" s="9"/>
      <x:c r="H384" s="9"/>
      <x:c r="I384" s="9"/>
      <x:c r="J384" s="9"/>
      <x:c r="K384" s="9"/>
      <x:c r="L384" s="10"/>
      <x:c r="M384" s="9"/>
      <x:c r="N384" s="9"/>
      <x:c r="O384" s="9"/>
      <x:c r="P384" s="9"/>
      <x:c r="Q384" s="9"/>
      <x:c r="R384" s="12" t="str">
        <x:f>IF(A384="","",IF(B384="","À compléter",IF(COUNTIFS($A$6:$A$505,A384,$B$6:$B$505,B384)&gt;1,"Doublon ville/mois",IF(OR(AND(ISNUMBER(H384),ISNUMBER(I384),I384&gt;H384),AND(ISNUMBER(M384),ISNUMBER(N384),N384&gt;M384),AND(ISNUMBER(O384),ISNUMBER(P384),P384&gt;O384)),"Incohérent",""))))</x:f>
      </x:c>
    </x:row>
    <x:row r="385" ht="23" customHeight="1">
      <x:c r="A385" s="9"/>
      <x:c r="B385" s="11"/>
      <x:c r="C385" s="10"/>
      <x:c r="D385" s="9"/>
      <x:c r="E385" s="9"/>
      <x:c r="F385" s="9"/>
      <x:c r="G385" s="9"/>
      <x:c r="H385" s="9"/>
      <x:c r="I385" s="9"/>
      <x:c r="J385" s="9"/>
      <x:c r="K385" s="9"/>
      <x:c r="L385" s="10"/>
      <x:c r="M385" s="9"/>
      <x:c r="N385" s="9"/>
      <x:c r="O385" s="9"/>
      <x:c r="P385" s="9"/>
      <x:c r="Q385" s="9"/>
      <x:c r="R385" s="12" t="str">
        <x:f>IF(A385="","",IF(B385="","À compléter",IF(COUNTIFS($A$6:$A$505,A385,$B$6:$B$505,B385)&gt;1,"Doublon ville/mois",IF(OR(AND(ISNUMBER(H385),ISNUMBER(I385),I385&gt;H385),AND(ISNUMBER(M385),ISNUMBER(N385),N385&gt;M385),AND(ISNUMBER(O385),ISNUMBER(P385),P385&gt;O385)),"Incohérent",""))))</x:f>
      </x:c>
    </x:row>
    <x:row r="386" ht="23" customHeight="1">
      <x:c r="A386" s="9"/>
      <x:c r="B386" s="11"/>
      <x:c r="C386" s="10"/>
      <x:c r="D386" s="9"/>
      <x:c r="E386" s="9"/>
      <x:c r="F386" s="9"/>
      <x:c r="G386" s="9"/>
      <x:c r="H386" s="9"/>
      <x:c r="I386" s="9"/>
      <x:c r="J386" s="9"/>
      <x:c r="K386" s="9"/>
      <x:c r="L386" s="10"/>
      <x:c r="M386" s="9"/>
      <x:c r="N386" s="9"/>
      <x:c r="O386" s="9"/>
      <x:c r="P386" s="9"/>
      <x:c r="Q386" s="9"/>
      <x:c r="R386" s="12" t="str">
        <x:f>IF(A386="","",IF(B386="","À compléter",IF(COUNTIFS($A$6:$A$505,A386,$B$6:$B$505,B386)&gt;1,"Doublon ville/mois",IF(OR(AND(ISNUMBER(H386),ISNUMBER(I386),I386&gt;H386),AND(ISNUMBER(M386),ISNUMBER(N386),N386&gt;M386),AND(ISNUMBER(O386),ISNUMBER(P386),P386&gt;O386)),"Incohérent",""))))</x:f>
      </x:c>
    </x:row>
    <x:row r="387" ht="23" customHeight="1">
      <x:c r="A387" s="9"/>
      <x:c r="B387" s="11"/>
      <x:c r="C387" s="10"/>
      <x:c r="D387" s="9"/>
      <x:c r="E387" s="9"/>
      <x:c r="F387" s="9"/>
      <x:c r="G387" s="9"/>
      <x:c r="H387" s="9"/>
      <x:c r="I387" s="9"/>
      <x:c r="J387" s="9"/>
      <x:c r="K387" s="9"/>
      <x:c r="L387" s="10"/>
      <x:c r="M387" s="9"/>
      <x:c r="N387" s="9"/>
      <x:c r="O387" s="9"/>
      <x:c r="P387" s="9"/>
      <x:c r="Q387" s="9"/>
      <x:c r="R387" s="12" t="str">
        <x:f>IF(A387="","",IF(B387="","À compléter",IF(COUNTIFS($A$6:$A$505,A387,$B$6:$B$505,B387)&gt;1,"Doublon ville/mois",IF(OR(AND(ISNUMBER(H387),ISNUMBER(I387),I387&gt;H387),AND(ISNUMBER(M387),ISNUMBER(N387),N387&gt;M387),AND(ISNUMBER(O387),ISNUMBER(P387),P387&gt;O387)),"Incohérent",""))))</x:f>
      </x:c>
    </x:row>
    <x:row r="388" ht="23" customHeight="1">
      <x:c r="A388" s="9"/>
      <x:c r="B388" s="11"/>
      <x:c r="C388" s="10"/>
      <x:c r="D388" s="9"/>
      <x:c r="E388" s="9"/>
      <x:c r="F388" s="9"/>
      <x:c r="G388" s="9"/>
      <x:c r="H388" s="9"/>
      <x:c r="I388" s="9"/>
      <x:c r="J388" s="9"/>
      <x:c r="K388" s="9"/>
      <x:c r="L388" s="10"/>
      <x:c r="M388" s="9"/>
      <x:c r="N388" s="9"/>
      <x:c r="O388" s="9"/>
      <x:c r="P388" s="9"/>
      <x:c r="Q388" s="9"/>
      <x:c r="R388" s="12" t="str">
        <x:f>IF(A388="","",IF(B388="","À compléter",IF(COUNTIFS($A$6:$A$505,A388,$B$6:$B$505,B388)&gt;1,"Doublon ville/mois",IF(OR(AND(ISNUMBER(H388),ISNUMBER(I388),I388&gt;H388),AND(ISNUMBER(M388),ISNUMBER(N388),N388&gt;M388),AND(ISNUMBER(O388),ISNUMBER(P388),P388&gt;O388)),"Incohérent",""))))</x:f>
      </x:c>
    </x:row>
    <x:row r="389" ht="23" customHeight="1">
      <x:c r="A389" s="9"/>
      <x:c r="B389" s="11"/>
      <x:c r="C389" s="10"/>
      <x:c r="D389" s="9"/>
      <x:c r="E389" s="9"/>
      <x:c r="F389" s="9"/>
      <x:c r="G389" s="9"/>
      <x:c r="H389" s="9"/>
      <x:c r="I389" s="9"/>
      <x:c r="J389" s="9"/>
      <x:c r="K389" s="9"/>
      <x:c r="L389" s="10"/>
      <x:c r="M389" s="9"/>
      <x:c r="N389" s="9"/>
      <x:c r="O389" s="9"/>
      <x:c r="P389" s="9"/>
      <x:c r="Q389" s="9"/>
      <x:c r="R389" s="12" t="str">
        <x:f>IF(A389="","",IF(B389="","À compléter",IF(COUNTIFS($A$6:$A$505,A389,$B$6:$B$505,B389)&gt;1,"Doublon ville/mois",IF(OR(AND(ISNUMBER(H389),ISNUMBER(I389),I389&gt;H389),AND(ISNUMBER(M389),ISNUMBER(N389),N389&gt;M389),AND(ISNUMBER(O389),ISNUMBER(P389),P389&gt;O389)),"Incohérent",""))))</x:f>
      </x:c>
    </x:row>
    <x:row r="390" ht="23" customHeight="1">
      <x:c r="A390" s="9"/>
      <x:c r="B390" s="11"/>
      <x:c r="C390" s="10"/>
      <x:c r="D390" s="9"/>
      <x:c r="E390" s="9"/>
      <x:c r="F390" s="9"/>
      <x:c r="G390" s="9"/>
      <x:c r="H390" s="9"/>
      <x:c r="I390" s="9"/>
      <x:c r="J390" s="9"/>
      <x:c r="K390" s="9"/>
      <x:c r="L390" s="10"/>
      <x:c r="M390" s="9"/>
      <x:c r="N390" s="9"/>
      <x:c r="O390" s="9"/>
      <x:c r="P390" s="9"/>
      <x:c r="Q390" s="9"/>
      <x:c r="R390" s="12" t="str">
        <x:f>IF(A390="","",IF(B390="","À compléter",IF(COUNTIFS($A$6:$A$505,A390,$B$6:$B$505,B390)&gt;1,"Doublon ville/mois",IF(OR(AND(ISNUMBER(H390),ISNUMBER(I390),I390&gt;H390),AND(ISNUMBER(M390),ISNUMBER(N390),N390&gt;M390),AND(ISNUMBER(O390),ISNUMBER(P390),P390&gt;O390)),"Incohérent",""))))</x:f>
      </x:c>
    </x:row>
    <x:row r="391" ht="23" customHeight="1">
      <x:c r="A391" s="9"/>
      <x:c r="B391" s="11"/>
      <x:c r="C391" s="10"/>
      <x:c r="D391" s="9"/>
      <x:c r="E391" s="9"/>
      <x:c r="F391" s="9"/>
      <x:c r="G391" s="9"/>
      <x:c r="H391" s="9"/>
      <x:c r="I391" s="9"/>
      <x:c r="J391" s="9"/>
      <x:c r="K391" s="9"/>
      <x:c r="L391" s="10"/>
      <x:c r="M391" s="9"/>
      <x:c r="N391" s="9"/>
      <x:c r="O391" s="9"/>
      <x:c r="P391" s="9"/>
      <x:c r="Q391" s="9"/>
      <x:c r="R391" s="12" t="str">
        <x:f>IF(A391="","",IF(B391="","À compléter",IF(COUNTIFS($A$6:$A$505,A391,$B$6:$B$505,B391)&gt;1,"Doublon ville/mois",IF(OR(AND(ISNUMBER(H391),ISNUMBER(I391),I391&gt;H391),AND(ISNUMBER(M391),ISNUMBER(N391),N391&gt;M391),AND(ISNUMBER(O391),ISNUMBER(P391),P391&gt;O391)),"Incohérent",""))))</x:f>
      </x:c>
    </x:row>
    <x:row r="392" ht="23" customHeight="1">
      <x:c r="A392" s="9"/>
      <x:c r="B392" s="11"/>
      <x:c r="C392" s="10"/>
      <x:c r="D392" s="9"/>
      <x:c r="E392" s="9"/>
      <x:c r="F392" s="9"/>
      <x:c r="G392" s="9"/>
      <x:c r="H392" s="9"/>
      <x:c r="I392" s="9"/>
      <x:c r="J392" s="9"/>
      <x:c r="K392" s="9"/>
      <x:c r="L392" s="10"/>
      <x:c r="M392" s="9"/>
      <x:c r="N392" s="9"/>
      <x:c r="O392" s="9"/>
      <x:c r="P392" s="9"/>
      <x:c r="Q392" s="9"/>
      <x:c r="R392" s="12" t="str">
        <x:f>IF(A392="","",IF(B392="","À compléter",IF(COUNTIFS($A$6:$A$505,A392,$B$6:$B$505,B392)&gt;1,"Doublon ville/mois",IF(OR(AND(ISNUMBER(H392),ISNUMBER(I392),I392&gt;H392),AND(ISNUMBER(M392),ISNUMBER(N392),N392&gt;M392),AND(ISNUMBER(O392),ISNUMBER(P392),P392&gt;O392)),"Incohérent",""))))</x:f>
      </x:c>
    </x:row>
    <x:row r="393" ht="23" customHeight="1">
      <x:c r="A393" s="9"/>
      <x:c r="B393" s="11"/>
      <x:c r="C393" s="10"/>
      <x:c r="D393" s="9"/>
      <x:c r="E393" s="9"/>
      <x:c r="F393" s="9"/>
      <x:c r="G393" s="9"/>
      <x:c r="H393" s="9"/>
      <x:c r="I393" s="9"/>
      <x:c r="J393" s="9"/>
      <x:c r="K393" s="9"/>
      <x:c r="L393" s="10"/>
      <x:c r="M393" s="9"/>
      <x:c r="N393" s="9"/>
      <x:c r="O393" s="9"/>
      <x:c r="P393" s="9"/>
      <x:c r="Q393" s="9"/>
      <x:c r="R393" s="12" t="str">
        <x:f>IF(A393="","",IF(B393="","À compléter",IF(COUNTIFS($A$6:$A$505,A393,$B$6:$B$505,B393)&gt;1,"Doublon ville/mois",IF(OR(AND(ISNUMBER(H393),ISNUMBER(I393),I393&gt;H393),AND(ISNUMBER(M393),ISNUMBER(N393),N393&gt;M393),AND(ISNUMBER(O393),ISNUMBER(P393),P393&gt;O393)),"Incohérent",""))))</x:f>
      </x:c>
    </x:row>
    <x:row r="394" ht="23" customHeight="1">
      <x:c r="A394" s="9"/>
      <x:c r="B394" s="11"/>
      <x:c r="C394" s="10"/>
      <x:c r="D394" s="9"/>
      <x:c r="E394" s="9"/>
      <x:c r="F394" s="9"/>
      <x:c r="G394" s="9"/>
      <x:c r="H394" s="9"/>
      <x:c r="I394" s="9"/>
      <x:c r="J394" s="9"/>
      <x:c r="K394" s="9"/>
      <x:c r="L394" s="10"/>
      <x:c r="M394" s="9"/>
      <x:c r="N394" s="9"/>
      <x:c r="O394" s="9"/>
      <x:c r="P394" s="9"/>
      <x:c r="Q394" s="9"/>
      <x:c r="R394" s="12" t="str">
        <x:f>IF(A394="","",IF(B394="","À compléter",IF(COUNTIFS($A$6:$A$505,A394,$B$6:$B$505,B394)&gt;1,"Doublon ville/mois",IF(OR(AND(ISNUMBER(H394),ISNUMBER(I394),I394&gt;H394),AND(ISNUMBER(M394),ISNUMBER(N394),N394&gt;M394),AND(ISNUMBER(O394),ISNUMBER(P394),P394&gt;O394)),"Incohérent",""))))</x:f>
      </x:c>
    </x:row>
    <x:row r="395" ht="23" customHeight="1">
      <x:c r="A395" s="9"/>
      <x:c r="B395" s="11"/>
      <x:c r="C395" s="10"/>
      <x:c r="D395" s="9"/>
      <x:c r="E395" s="9"/>
      <x:c r="F395" s="9"/>
      <x:c r="G395" s="9"/>
      <x:c r="H395" s="9"/>
      <x:c r="I395" s="9"/>
      <x:c r="J395" s="9"/>
      <x:c r="K395" s="9"/>
      <x:c r="L395" s="10"/>
      <x:c r="M395" s="9"/>
      <x:c r="N395" s="9"/>
      <x:c r="O395" s="9"/>
      <x:c r="P395" s="9"/>
      <x:c r="Q395" s="9"/>
      <x:c r="R395" s="12" t="str">
        <x:f>IF(A395="","",IF(B395="","À compléter",IF(COUNTIFS($A$6:$A$505,A395,$B$6:$B$505,B395)&gt;1,"Doublon ville/mois",IF(OR(AND(ISNUMBER(H395),ISNUMBER(I395),I395&gt;H395),AND(ISNUMBER(M395),ISNUMBER(N395),N395&gt;M395),AND(ISNUMBER(O395),ISNUMBER(P395),P395&gt;O395)),"Incohérent",""))))</x:f>
      </x:c>
    </x:row>
    <x:row r="396" ht="23" customHeight="1">
      <x:c r="A396" s="9"/>
      <x:c r="B396" s="11"/>
      <x:c r="C396" s="10"/>
      <x:c r="D396" s="9"/>
      <x:c r="E396" s="9"/>
      <x:c r="F396" s="9"/>
      <x:c r="G396" s="9"/>
      <x:c r="H396" s="9"/>
      <x:c r="I396" s="9"/>
      <x:c r="J396" s="9"/>
      <x:c r="K396" s="9"/>
      <x:c r="L396" s="10"/>
      <x:c r="M396" s="9"/>
      <x:c r="N396" s="9"/>
      <x:c r="O396" s="9"/>
      <x:c r="P396" s="9"/>
      <x:c r="Q396" s="9"/>
      <x:c r="R396" s="12" t="str">
        <x:f>IF(A396="","",IF(B396="","À compléter",IF(COUNTIFS($A$6:$A$505,A396,$B$6:$B$505,B396)&gt;1,"Doublon ville/mois",IF(OR(AND(ISNUMBER(H396),ISNUMBER(I396),I396&gt;H396),AND(ISNUMBER(M396),ISNUMBER(N396),N396&gt;M396),AND(ISNUMBER(O396),ISNUMBER(P396),P396&gt;O396)),"Incohérent",""))))</x:f>
      </x:c>
    </x:row>
    <x:row r="397" ht="23" customHeight="1">
      <x:c r="A397" s="9"/>
      <x:c r="B397" s="11"/>
      <x:c r="C397" s="10"/>
      <x:c r="D397" s="9"/>
      <x:c r="E397" s="9"/>
      <x:c r="F397" s="9"/>
      <x:c r="G397" s="9"/>
      <x:c r="H397" s="9"/>
      <x:c r="I397" s="9"/>
      <x:c r="J397" s="9"/>
      <x:c r="K397" s="9"/>
      <x:c r="L397" s="10"/>
      <x:c r="M397" s="9"/>
      <x:c r="N397" s="9"/>
      <x:c r="O397" s="9"/>
      <x:c r="P397" s="9"/>
      <x:c r="Q397" s="9"/>
      <x:c r="R397" s="12" t="str">
        <x:f>IF(A397="","",IF(B397="","À compléter",IF(COUNTIFS($A$6:$A$505,A397,$B$6:$B$505,B397)&gt;1,"Doublon ville/mois",IF(OR(AND(ISNUMBER(H397),ISNUMBER(I397),I397&gt;H397),AND(ISNUMBER(M397),ISNUMBER(N397),N397&gt;M397),AND(ISNUMBER(O397),ISNUMBER(P397),P397&gt;O397)),"Incohérent",""))))</x:f>
      </x:c>
    </x:row>
    <x:row r="398" ht="23" customHeight="1">
      <x:c r="A398" s="9"/>
      <x:c r="B398" s="11"/>
      <x:c r="C398" s="10"/>
      <x:c r="D398" s="9"/>
      <x:c r="E398" s="9"/>
      <x:c r="F398" s="9"/>
      <x:c r="G398" s="9"/>
      <x:c r="H398" s="9"/>
      <x:c r="I398" s="9"/>
      <x:c r="J398" s="9"/>
      <x:c r="K398" s="9"/>
      <x:c r="L398" s="10"/>
      <x:c r="M398" s="9"/>
      <x:c r="N398" s="9"/>
      <x:c r="O398" s="9"/>
      <x:c r="P398" s="9"/>
      <x:c r="Q398" s="9"/>
      <x:c r="R398" s="12" t="str">
        <x:f>IF(A398="","",IF(B398="","À compléter",IF(COUNTIFS($A$6:$A$505,A398,$B$6:$B$505,B398)&gt;1,"Doublon ville/mois",IF(OR(AND(ISNUMBER(H398),ISNUMBER(I398),I398&gt;H398),AND(ISNUMBER(M398),ISNUMBER(N398),N398&gt;M398),AND(ISNUMBER(O398),ISNUMBER(P398),P398&gt;O398)),"Incohérent",""))))</x:f>
      </x:c>
    </x:row>
    <x:row r="399" ht="23" customHeight="1">
      <x:c r="A399" s="9"/>
      <x:c r="B399" s="11"/>
      <x:c r="C399" s="10"/>
      <x:c r="D399" s="9"/>
      <x:c r="E399" s="9"/>
      <x:c r="F399" s="9"/>
      <x:c r="G399" s="9"/>
      <x:c r="H399" s="9"/>
      <x:c r="I399" s="9"/>
      <x:c r="J399" s="9"/>
      <x:c r="K399" s="9"/>
      <x:c r="L399" s="10"/>
      <x:c r="M399" s="9"/>
      <x:c r="N399" s="9"/>
      <x:c r="O399" s="9"/>
      <x:c r="P399" s="9"/>
      <x:c r="Q399" s="9"/>
      <x:c r="R399" s="12" t="str">
        <x:f>IF(A399="","",IF(B399="","À compléter",IF(COUNTIFS($A$6:$A$505,A399,$B$6:$B$505,B399)&gt;1,"Doublon ville/mois",IF(OR(AND(ISNUMBER(H399),ISNUMBER(I399),I399&gt;H399),AND(ISNUMBER(M399),ISNUMBER(N399),N399&gt;M399),AND(ISNUMBER(O399),ISNUMBER(P399),P399&gt;O399)),"Incohérent",""))))</x:f>
      </x:c>
    </x:row>
    <x:row r="400" ht="23" customHeight="1">
      <x:c r="A400" s="9"/>
      <x:c r="B400" s="11"/>
      <x:c r="C400" s="10"/>
      <x:c r="D400" s="9"/>
      <x:c r="E400" s="9"/>
      <x:c r="F400" s="9"/>
      <x:c r="G400" s="9"/>
      <x:c r="H400" s="9"/>
      <x:c r="I400" s="9"/>
      <x:c r="J400" s="9"/>
      <x:c r="K400" s="9"/>
      <x:c r="L400" s="10"/>
      <x:c r="M400" s="9"/>
      <x:c r="N400" s="9"/>
      <x:c r="O400" s="9"/>
      <x:c r="P400" s="9"/>
      <x:c r="Q400" s="9"/>
      <x:c r="R400" s="12" t="str">
        <x:f>IF(A400="","",IF(B400="","À compléter",IF(COUNTIFS($A$6:$A$505,A400,$B$6:$B$505,B400)&gt;1,"Doublon ville/mois",IF(OR(AND(ISNUMBER(H400),ISNUMBER(I400),I400&gt;H400),AND(ISNUMBER(M400),ISNUMBER(N400),N400&gt;M400),AND(ISNUMBER(O400),ISNUMBER(P400),P400&gt;O400)),"Incohérent",""))))</x:f>
      </x:c>
    </x:row>
    <x:row r="401" ht="23" customHeight="1">
      <x:c r="A401" s="9"/>
      <x:c r="B401" s="11"/>
      <x:c r="C401" s="10"/>
      <x:c r="D401" s="9"/>
      <x:c r="E401" s="9"/>
      <x:c r="F401" s="9"/>
      <x:c r="G401" s="9"/>
      <x:c r="H401" s="9"/>
      <x:c r="I401" s="9"/>
      <x:c r="J401" s="9"/>
      <x:c r="K401" s="9"/>
      <x:c r="L401" s="10"/>
      <x:c r="M401" s="9"/>
      <x:c r="N401" s="9"/>
      <x:c r="O401" s="9"/>
      <x:c r="P401" s="9"/>
      <x:c r="Q401" s="9"/>
      <x:c r="R401" s="12" t="str">
        <x:f>IF(A401="","",IF(B401="","À compléter",IF(COUNTIFS($A$6:$A$505,A401,$B$6:$B$505,B401)&gt;1,"Doublon ville/mois",IF(OR(AND(ISNUMBER(H401),ISNUMBER(I401),I401&gt;H401),AND(ISNUMBER(M401),ISNUMBER(N401),N401&gt;M401),AND(ISNUMBER(O401),ISNUMBER(P401),P401&gt;O401)),"Incohérent",""))))</x:f>
      </x:c>
    </x:row>
    <x:row r="402" ht="23" customHeight="1">
      <x:c r="A402" s="9"/>
      <x:c r="B402" s="11"/>
      <x:c r="C402" s="10"/>
      <x:c r="D402" s="9"/>
      <x:c r="E402" s="9"/>
      <x:c r="F402" s="9"/>
      <x:c r="G402" s="9"/>
      <x:c r="H402" s="9"/>
      <x:c r="I402" s="9"/>
      <x:c r="J402" s="9"/>
      <x:c r="K402" s="9"/>
      <x:c r="L402" s="10"/>
      <x:c r="M402" s="9"/>
      <x:c r="N402" s="9"/>
      <x:c r="O402" s="9"/>
      <x:c r="P402" s="9"/>
      <x:c r="Q402" s="9"/>
      <x:c r="R402" s="12" t="str">
        <x:f>IF(A402="","",IF(B402="","À compléter",IF(COUNTIFS($A$6:$A$505,A402,$B$6:$B$505,B402)&gt;1,"Doublon ville/mois",IF(OR(AND(ISNUMBER(H402),ISNUMBER(I402),I402&gt;H402),AND(ISNUMBER(M402),ISNUMBER(N402),N402&gt;M402),AND(ISNUMBER(O402),ISNUMBER(P402),P402&gt;O402)),"Incohérent",""))))</x:f>
      </x:c>
    </x:row>
    <x:row r="403" ht="23" customHeight="1">
      <x:c r="A403" s="9"/>
      <x:c r="B403" s="11"/>
      <x:c r="C403" s="10"/>
      <x:c r="D403" s="9"/>
      <x:c r="E403" s="9"/>
      <x:c r="F403" s="9"/>
      <x:c r="G403" s="9"/>
      <x:c r="H403" s="9"/>
      <x:c r="I403" s="9"/>
      <x:c r="J403" s="9"/>
      <x:c r="K403" s="9"/>
      <x:c r="L403" s="10"/>
      <x:c r="M403" s="9"/>
      <x:c r="N403" s="9"/>
      <x:c r="O403" s="9"/>
      <x:c r="P403" s="9"/>
      <x:c r="Q403" s="9"/>
      <x:c r="R403" s="12" t="str">
        <x:f>IF(A403="","",IF(B403="","À compléter",IF(COUNTIFS($A$6:$A$505,A403,$B$6:$B$505,B403)&gt;1,"Doublon ville/mois",IF(OR(AND(ISNUMBER(H403),ISNUMBER(I403),I403&gt;H403),AND(ISNUMBER(M403),ISNUMBER(N403),N403&gt;M403),AND(ISNUMBER(O403),ISNUMBER(P403),P403&gt;O403)),"Incohérent",""))))</x:f>
      </x:c>
    </x:row>
    <x:row r="404" ht="23" customHeight="1">
      <x:c r="A404" s="9"/>
      <x:c r="B404" s="11"/>
      <x:c r="C404" s="10"/>
      <x:c r="D404" s="9"/>
      <x:c r="E404" s="9"/>
      <x:c r="F404" s="9"/>
      <x:c r="G404" s="9"/>
      <x:c r="H404" s="9"/>
      <x:c r="I404" s="9"/>
      <x:c r="J404" s="9"/>
      <x:c r="K404" s="9"/>
      <x:c r="L404" s="10"/>
      <x:c r="M404" s="9"/>
      <x:c r="N404" s="9"/>
      <x:c r="O404" s="9"/>
      <x:c r="P404" s="9"/>
      <x:c r="Q404" s="9"/>
      <x:c r="R404" s="12" t="str">
        <x:f>IF(A404="","",IF(B404="","À compléter",IF(COUNTIFS($A$6:$A$505,A404,$B$6:$B$505,B404)&gt;1,"Doublon ville/mois",IF(OR(AND(ISNUMBER(H404),ISNUMBER(I404),I404&gt;H404),AND(ISNUMBER(M404),ISNUMBER(N404),N404&gt;M404),AND(ISNUMBER(O404),ISNUMBER(P404),P404&gt;O404)),"Incohérent",""))))</x:f>
      </x:c>
    </x:row>
    <x:row r="405" ht="23" customHeight="1">
      <x:c r="A405" s="9"/>
      <x:c r="B405" s="11"/>
      <x:c r="C405" s="10"/>
      <x:c r="D405" s="9"/>
      <x:c r="E405" s="9"/>
      <x:c r="F405" s="9"/>
      <x:c r="G405" s="9"/>
      <x:c r="H405" s="9"/>
      <x:c r="I405" s="9"/>
      <x:c r="J405" s="9"/>
      <x:c r="K405" s="9"/>
      <x:c r="L405" s="10"/>
      <x:c r="M405" s="9"/>
      <x:c r="N405" s="9"/>
      <x:c r="O405" s="9"/>
      <x:c r="P405" s="9"/>
      <x:c r="Q405" s="9"/>
      <x:c r="R405" s="12" t="str">
        <x:f>IF(A405="","",IF(B405="","À compléter",IF(COUNTIFS($A$6:$A$505,A405,$B$6:$B$505,B405)&gt;1,"Doublon ville/mois",IF(OR(AND(ISNUMBER(H405),ISNUMBER(I405),I405&gt;H405),AND(ISNUMBER(M405),ISNUMBER(N405),N405&gt;M405),AND(ISNUMBER(O405),ISNUMBER(P405),P405&gt;O405)),"Incohérent",""))))</x:f>
      </x:c>
    </x:row>
    <x:row r="406" ht="23" customHeight="1">
      <x:c r="A406" s="9"/>
      <x:c r="B406" s="11"/>
      <x:c r="C406" s="10"/>
      <x:c r="D406" s="9"/>
      <x:c r="E406" s="9"/>
      <x:c r="F406" s="9"/>
      <x:c r="G406" s="9"/>
      <x:c r="H406" s="9"/>
      <x:c r="I406" s="9"/>
      <x:c r="J406" s="9"/>
      <x:c r="K406" s="9"/>
      <x:c r="L406" s="10"/>
      <x:c r="M406" s="9"/>
      <x:c r="N406" s="9"/>
      <x:c r="O406" s="9"/>
      <x:c r="P406" s="9"/>
      <x:c r="Q406" s="9"/>
      <x:c r="R406" s="12" t="str">
        <x:f>IF(A406="","",IF(B406="","À compléter",IF(COUNTIFS($A$6:$A$505,A406,$B$6:$B$505,B406)&gt;1,"Doublon ville/mois",IF(OR(AND(ISNUMBER(H406),ISNUMBER(I406),I406&gt;H406),AND(ISNUMBER(M406),ISNUMBER(N406),N406&gt;M406),AND(ISNUMBER(O406),ISNUMBER(P406),P406&gt;O406)),"Incohérent",""))))</x:f>
      </x:c>
    </x:row>
    <x:row r="407" ht="23" customHeight="1">
      <x:c r="A407" s="9"/>
      <x:c r="B407" s="11"/>
      <x:c r="C407" s="10"/>
      <x:c r="D407" s="9"/>
      <x:c r="E407" s="9"/>
      <x:c r="F407" s="9"/>
      <x:c r="G407" s="9"/>
      <x:c r="H407" s="9"/>
      <x:c r="I407" s="9"/>
      <x:c r="J407" s="9"/>
      <x:c r="K407" s="9"/>
      <x:c r="L407" s="10"/>
      <x:c r="M407" s="9"/>
      <x:c r="N407" s="9"/>
      <x:c r="O407" s="9"/>
      <x:c r="P407" s="9"/>
      <x:c r="Q407" s="9"/>
      <x:c r="R407" s="12" t="str">
        <x:f>IF(A407="","",IF(B407="","À compléter",IF(COUNTIFS($A$6:$A$505,A407,$B$6:$B$505,B407)&gt;1,"Doublon ville/mois",IF(OR(AND(ISNUMBER(H407),ISNUMBER(I407),I407&gt;H407),AND(ISNUMBER(M407),ISNUMBER(N407),N407&gt;M407),AND(ISNUMBER(O407),ISNUMBER(P407),P407&gt;O407)),"Incohérent",""))))</x:f>
      </x:c>
    </x:row>
    <x:row r="408" ht="23" customHeight="1">
      <x:c r="A408" s="9"/>
      <x:c r="B408" s="11"/>
      <x:c r="C408" s="10"/>
      <x:c r="D408" s="9"/>
      <x:c r="E408" s="9"/>
      <x:c r="F408" s="9"/>
      <x:c r="G408" s="9"/>
      <x:c r="H408" s="9"/>
      <x:c r="I408" s="9"/>
      <x:c r="J408" s="9"/>
      <x:c r="K408" s="9"/>
      <x:c r="L408" s="10"/>
      <x:c r="M408" s="9"/>
      <x:c r="N408" s="9"/>
      <x:c r="O408" s="9"/>
      <x:c r="P408" s="9"/>
      <x:c r="Q408" s="9"/>
      <x:c r="R408" s="12" t="str">
        <x:f>IF(A408="","",IF(B408="","À compléter",IF(COUNTIFS($A$6:$A$505,A408,$B$6:$B$505,B408)&gt;1,"Doublon ville/mois",IF(OR(AND(ISNUMBER(H408),ISNUMBER(I408),I408&gt;H408),AND(ISNUMBER(M408),ISNUMBER(N408),N408&gt;M408),AND(ISNUMBER(O408),ISNUMBER(P408),P408&gt;O408)),"Incohérent",""))))</x:f>
      </x:c>
    </x:row>
    <x:row r="409" ht="23" customHeight="1">
      <x:c r="A409" s="9"/>
      <x:c r="B409" s="11"/>
      <x:c r="C409" s="10"/>
      <x:c r="D409" s="9"/>
      <x:c r="E409" s="9"/>
      <x:c r="F409" s="9"/>
      <x:c r="G409" s="9"/>
      <x:c r="H409" s="9"/>
      <x:c r="I409" s="9"/>
      <x:c r="J409" s="9"/>
      <x:c r="K409" s="9"/>
      <x:c r="L409" s="10"/>
      <x:c r="M409" s="9"/>
      <x:c r="N409" s="9"/>
      <x:c r="O409" s="9"/>
      <x:c r="P409" s="9"/>
      <x:c r="Q409" s="9"/>
      <x:c r="R409" s="12" t="str">
        <x:f>IF(A409="","",IF(B409="","À compléter",IF(COUNTIFS($A$6:$A$505,A409,$B$6:$B$505,B409)&gt;1,"Doublon ville/mois",IF(OR(AND(ISNUMBER(H409),ISNUMBER(I409),I409&gt;H409),AND(ISNUMBER(M409),ISNUMBER(N409),N409&gt;M409),AND(ISNUMBER(O409),ISNUMBER(P409),P409&gt;O409)),"Incohérent",""))))</x:f>
      </x:c>
    </x:row>
    <x:row r="410" ht="23" customHeight="1">
      <x:c r="A410" s="9"/>
      <x:c r="B410" s="11"/>
      <x:c r="C410" s="10"/>
      <x:c r="D410" s="9"/>
      <x:c r="E410" s="9"/>
      <x:c r="F410" s="9"/>
      <x:c r="G410" s="9"/>
      <x:c r="H410" s="9"/>
      <x:c r="I410" s="9"/>
      <x:c r="J410" s="9"/>
      <x:c r="K410" s="9"/>
      <x:c r="L410" s="10"/>
      <x:c r="M410" s="9"/>
      <x:c r="N410" s="9"/>
      <x:c r="O410" s="9"/>
      <x:c r="P410" s="9"/>
      <x:c r="Q410" s="9"/>
      <x:c r="R410" s="12" t="str">
        <x:f>IF(A410="","",IF(B410="","À compléter",IF(COUNTIFS($A$6:$A$505,A410,$B$6:$B$505,B410)&gt;1,"Doublon ville/mois",IF(OR(AND(ISNUMBER(H410),ISNUMBER(I410),I410&gt;H410),AND(ISNUMBER(M410),ISNUMBER(N410),N410&gt;M410),AND(ISNUMBER(O410),ISNUMBER(P410),P410&gt;O410)),"Incohérent",""))))</x:f>
      </x:c>
    </x:row>
    <x:row r="411" ht="23" customHeight="1">
      <x:c r="A411" s="9"/>
      <x:c r="B411" s="11"/>
      <x:c r="C411" s="10"/>
      <x:c r="D411" s="9"/>
      <x:c r="E411" s="9"/>
      <x:c r="F411" s="9"/>
      <x:c r="G411" s="9"/>
      <x:c r="H411" s="9"/>
      <x:c r="I411" s="9"/>
      <x:c r="J411" s="9"/>
      <x:c r="K411" s="9"/>
      <x:c r="L411" s="10"/>
      <x:c r="M411" s="9"/>
      <x:c r="N411" s="9"/>
      <x:c r="O411" s="9"/>
      <x:c r="P411" s="9"/>
      <x:c r="Q411" s="9"/>
      <x:c r="R411" s="12" t="str">
        <x:f>IF(A411="","",IF(B411="","À compléter",IF(COUNTIFS($A$6:$A$505,A411,$B$6:$B$505,B411)&gt;1,"Doublon ville/mois",IF(OR(AND(ISNUMBER(H411),ISNUMBER(I411),I411&gt;H411),AND(ISNUMBER(M411),ISNUMBER(N411),N411&gt;M411),AND(ISNUMBER(O411),ISNUMBER(P411),P411&gt;O411)),"Incohérent",""))))</x:f>
      </x:c>
    </x:row>
    <x:row r="412" ht="23" customHeight="1">
      <x:c r="A412" s="9"/>
      <x:c r="B412" s="11"/>
      <x:c r="C412" s="10"/>
      <x:c r="D412" s="9"/>
      <x:c r="E412" s="9"/>
      <x:c r="F412" s="9"/>
      <x:c r="G412" s="9"/>
      <x:c r="H412" s="9"/>
      <x:c r="I412" s="9"/>
      <x:c r="J412" s="9"/>
      <x:c r="K412" s="9"/>
      <x:c r="L412" s="10"/>
      <x:c r="M412" s="9"/>
      <x:c r="N412" s="9"/>
      <x:c r="O412" s="9"/>
      <x:c r="P412" s="9"/>
      <x:c r="Q412" s="9"/>
      <x:c r="R412" s="12" t="str">
        <x:f>IF(A412="","",IF(B412="","À compléter",IF(COUNTIFS($A$6:$A$505,A412,$B$6:$B$505,B412)&gt;1,"Doublon ville/mois",IF(OR(AND(ISNUMBER(H412),ISNUMBER(I412),I412&gt;H412),AND(ISNUMBER(M412),ISNUMBER(N412),N412&gt;M412),AND(ISNUMBER(O412),ISNUMBER(P412),P412&gt;O412)),"Incohérent",""))))</x:f>
      </x:c>
    </x:row>
    <x:row r="413" ht="23" customHeight="1">
      <x:c r="A413" s="9"/>
      <x:c r="B413" s="11"/>
      <x:c r="C413" s="10"/>
      <x:c r="D413" s="9"/>
      <x:c r="E413" s="9"/>
      <x:c r="F413" s="9"/>
      <x:c r="G413" s="9"/>
      <x:c r="H413" s="9"/>
      <x:c r="I413" s="9"/>
      <x:c r="J413" s="9"/>
      <x:c r="K413" s="9"/>
      <x:c r="L413" s="10"/>
      <x:c r="M413" s="9"/>
      <x:c r="N413" s="9"/>
      <x:c r="O413" s="9"/>
      <x:c r="P413" s="9"/>
      <x:c r="Q413" s="9"/>
      <x:c r="R413" s="12" t="str">
        <x:f>IF(A413="","",IF(B413="","À compléter",IF(COUNTIFS($A$6:$A$505,A413,$B$6:$B$505,B413)&gt;1,"Doublon ville/mois",IF(OR(AND(ISNUMBER(H413),ISNUMBER(I413),I413&gt;H413),AND(ISNUMBER(M413),ISNUMBER(N413),N413&gt;M413),AND(ISNUMBER(O413),ISNUMBER(P413),P413&gt;O413)),"Incohérent",""))))</x:f>
      </x:c>
    </x:row>
    <x:row r="414" ht="23" customHeight="1">
      <x:c r="A414" s="9"/>
      <x:c r="B414" s="11"/>
      <x:c r="C414" s="10"/>
      <x:c r="D414" s="9"/>
      <x:c r="E414" s="9"/>
      <x:c r="F414" s="9"/>
      <x:c r="G414" s="9"/>
      <x:c r="H414" s="9"/>
      <x:c r="I414" s="9"/>
      <x:c r="J414" s="9"/>
      <x:c r="K414" s="9"/>
      <x:c r="L414" s="10"/>
      <x:c r="M414" s="9"/>
      <x:c r="N414" s="9"/>
      <x:c r="O414" s="9"/>
      <x:c r="P414" s="9"/>
      <x:c r="Q414" s="9"/>
      <x:c r="R414" s="12" t="str">
        <x:f>IF(A414="","",IF(B414="","À compléter",IF(COUNTIFS($A$6:$A$505,A414,$B$6:$B$505,B414)&gt;1,"Doublon ville/mois",IF(OR(AND(ISNUMBER(H414),ISNUMBER(I414),I414&gt;H414),AND(ISNUMBER(M414),ISNUMBER(N414),N414&gt;M414),AND(ISNUMBER(O414),ISNUMBER(P414),P414&gt;O414)),"Incohérent",""))))</x:f>
      </x:c>
    </x:row>
    <x:row r="415" ht="23" customHeight="1">
      <x:c r="A415" s="9"/>
      <x:c r="B415" s="11"/>
      <x:c r="C415" s="10"/>
      <x:c r="D415" s="9"/>
      <x:c r="E415" s="9"/>
      <x:c r="F415" s="9"/>
      <x:c r="G415" s="9"/>
      <x:c r="H415" s="9"/>
      <x:c r="I415" s="9"/>
      <x:c r="J415" s="9"/>
      <x:c r="K415" s="9"/>
      <x:c r="L415" s="10"/>
      <x:c r="M415" s="9"/>
      <x:c r="N415" s="9"/>
      <x:c r="O415" s="9"/>
      <x:c r="P415" s="9"/>
      <x:c r="Q415" s="9"/>
      <x:c r="R415" s="12" t="str">
        <x:f>IF(A415="","",IF(B415="","À compléter",IF(COUNTIFS($A$6:$A$505,A415,$B$6:$B$505,B415)&gt;1,"Doublon ville/mois",IF(OR(AND(ISNUMBER(H415),ISNUMBER(I415),I415&gt;H415),AND(ISNUMBER(M415),ISNUMBER(N415),N415&gt;M415),AND(ISNUMBER(O415),ISNUMBER(P415),P415&gt;O415)),"Incohérent",""))))</x:f>
      </x:c>
    </x:row>
    <x:row r="416" ht="23" customHeight="1">
      <x:c r="A416" s="9"/>
      <x:c r="B416" s="11"/>
      <x:c r="C416" s="10"/>
      <x:c r="D416" s="9"/>
      <x:c r="E416" s="9"/>
      <x:c r="F416" s="9"/>
      <x:c r="G416" s="9"/>
      <x:c r="H416" s="9"/>
      <x:c r="I416" s="9"/>
      <x:c r="J416" s="9"/>
      <x:c r="K416" s="9"/>
      <x:c r="L416" s="10"/>
      <x:c r="M416" s="9"/>
      <x:c r="N416" s="9"/>
      <x:c r="O416" s="9"/>
      <x:c r="P416" s="9"/>
      <x:c r="Q416" s="9"/>
      <x:c r="R416" s="12" t="str">
        <x:f>IF(A416="","",IF(B416="","À compléter",IF(COUNTIFS($A$6:$A$505,A416,$B$6:$B$505,B416)&gt;1,"Doublon ville/mois",IF(OR(AND(ISNUMBER(H416),ISNUMBER(I416),I416&gt;H416),AND(ISNUMBER(M416),ISNUMBER(N416),N416&gt;M416),AND(ISNUMBER(O416),ISNUMBER(P416),P416&gt;O416)),"Incohérent",""))))</x:f>
      </x:c>
    </x:row>
    <x:row r="417" ht="23" customHeight="1">
      <x:c r="A417" s="9"/>
      <x:c r="B417" s="11"/>
      <x:c r="C417" s="10"/>
      <x:c r="D417" s="9"/>
      <x:c r="E417" s="9"/>
      <x:c r="F417" s="9"/>
      <x:c r="G417" s="9"/>
      <x:c r="H417" s="9"/>
      <x:c r="I417" s="9"/>
      <x:c r="J417" s="9"/>
      <x:c r="K417" s="9"/>
      <x:c r="L417" s="10"/>
      <x:c r="M417" s="9"/>
      <x:c r="N417" s="9"/>
      <x:c r="O417" s="9"/>
      <x:c r="P417" s="9"/>
      <x:c r="Q417" s="9"/>
      <x:c r="R417" s="12" t="str">
        <x:f>IF(A417="","",IF(B417="","À compléter",IF(COUNTIFS($A$6:$A$505,A417,$B$6:$B$505,B417)&gt;1,"Doublon ville/mois",IF(OR(AND(ISNUMBER(H417),ISNUMBER(I417),I417&gt;H417),AND(ISNUMBER(M417),ISNUMBER(N417),N417&gt;M417),AND(ISNUMBER(O417),ISNUMBER(P417),P417&gt;O417)),"Incohérent",""))))</x:f>
      </x:c>
    </x:row>
    <x:row r="418" ht="23" customHeight="1">
      <x:c r="A418" s="9"/>
      <x:c r="B418" s="11"/>
      <x:c r="C418" s="10"/>
      <x:c r="D418" s="9"/>
      <x:c r="E418" s="9"/>
      <x:c r="F418" s="9"/>
      <x:c r="G418" s="9"/>
      <x:c r="H418" s="9"/>
      <x:c r="I418" s="9"/>
      <x:c r="J418" s="9"/>
      <x:c r="K418" s="9"/>
      <x:c r="L418" s="10"/>
      <x:c r="M418" s="9"/>
      <x:c r="N418" s="9"/>
      <x:c r="O418" s="9"/>
      <x:c r="P418" s="9"/>
      <x:c r="Q418" s="9"/>
      <x:c r="R418" s="12" t="str">
        <x:f>IF(A418="","",IF(B418="","À compléter",IF(COUNTIFS($A$6:$A$505,A418,$B$6:$B$505,B418)&gt;1,"Doublon ville/mois",IF(OR(AND(ISNUMBER(H418),ISNUMBER(I418),I418&gt;H418),AND(ISNUMBER(M418),ISNUMBER(N418),N418&gt;M418),AND(ISNUMBER(O418),ISNUMBER(P418),P418&gt;O418)),"Incohérent",""))))</x:f>
      </x:c>
    </x:row>
    <x:row r="419" ht="23" customHeight="1">
      <x:c r="A419" s="9"/>
      <x:c r="B419" s="11"/>
      <x:c r="C419" s="10"/>
      <x:c r="D419" s="9"/>
      <x:c r="E419" s="9"/>
      <x:c r="F419" s="9"/>
      <x:c r="G419" s="9"/>
      <x:c r="H419" s="9"/>
      <x:c r="I419" s="9"/>
      <x:c r="J419" s="9"/>
      <x:c r="K419" s="9"/>
      <x:c r="L419" s="10"/>
      <x:c r="M419" s="9"/>
      <x:c r="N419" s="9"/>
      <x:c r="O419" s="9"/>
      <x:c r="P419" s="9"/>
      <x:c r="Q419" s="9"/>
      <x:c r="R419" s="12" t="str">
        <x:f>IF(A419="","",IF(B419="","À compléter",IF(COUNTIFS($A$6:$A$505,A419,$B$6:$B$505,B419)&gt;1,"Doublon ville/mois",IF(OR(AND(ISNUMBER(H419),ISNUMBER(I419),I419&gt;H419),AND(ISNUMBER(M419),ISNUMBER(N419),N419&gt;M419),AND(ISNUMBER(O419),ISNUMBER(P419),P419&gt;O419)),"Incohérent",""))))</x:f>
      </x:c>
    </x:row>
    <x:row r="420" ht="23" customHeight="1">
      <x:c r="A420" s="9"/>
      <x:c r="B420" s="11"/>
      <x:c r="C420" s="10"/>
      <x:c r="D420" s="9"/>
      <x:c r="E420" s="9"/>
      <x:c r="F420" s="9"/>
      <x:c r="G420" s="9"/>
      <x:c r="H420" s="9"/>
      <x:c r="I420" s="9"/>
      <x:c r="J420" s="9"/>
      <x:c r="K420" s="9"/>
      <x:c r="L420" s="10"/>
      <x:c r="M420" s="9"/>
      <x:c r="N420" s="9"/>
      <x:c r="O420" s="9"/>
      <x:c r="P420" s="9"/>
      <x:c r="Q420" s="9"/>
      <x:c r="R420" s="12" t="str">
        <x:f>IF(A420="","",IF(B420="","À compléter",IF(COUNTIFS($A$6:$A$505,A420,$B$6:$B$505,B420)&gt;1,"Doublon ville/mois",IF(OR(AND(ISNUMBER(H420),ISNUMBER(I420),I420&gt;H420),AND(ISNUMBER(M420),ISNUMBER(N420),N420&gt;M420),AND(ISNUMBER(O420),ISNUMBER(P420),P420&gt;O420)),"Incohérent",""))))</x:f>
      </x:c>
    </x:row>
    <x:row r="421" ht="23" customHeight="1">
      <x:c r="A421" s="9"/>
      <x:c r="B421" s="11"/>
      <x:c r="C421" s="10"/>
      <x:c r="D421" s="9"/>
      <x:c r="E421" s="9"/>
      <x:c r="F421" s="9"/>
      <x:c r="G421" s="9"/>
      <x:c r="H421" s="9"/>
      <x:c r="I421" s="9"/>
      <x:c r="J421" s="9"/>
      <x:c r="K421" s="9"/>
      <x:c r="L421" s="10"/>
      <x:c r="M421" s="9"/>
      <x:c r="N421" s="9"/>
      <x:c r="O421" s="9"/>
      <x:c r="P421" s="9"/>
      <x:c r="Q421" s="9"/>
      <x:c r="R421" s="12" t="str">
        <x:f>IF(A421="","",IF(B421="","À compléter",IF(COUNTIFS($A$6:$A$505,A421,$B$6:$B$505,B421)&gt;1,"Doublon ville/mois",IF(OR(AND(ISNUMBER(H421),ISNUMBER(I421),I421&gt;H421),AND(ISNUMBER(M421),ISNUMBER(N421),N421&gt;M421),AND(ISNUMBER(O421),ISNUMBER(P421),P421&gt;O421)),"Incohérent",""))))</x:f>
      </x:c>
    </x:row>
    <x:row r="422" ht="23" customHeight="1">
      <x:c r="A422" s="9"/>
      <x:c r="B422" s="11"/>
      <x:c r="C422" s="10"/>
      <x:c r="D422" s="9"/>
      <x:c r="E422" s="9"/>
      <x:c r="F422" s="9"/>
      <x:c r="G422" s="9"/>
      <x:c r="H422" s="9"/>
      <x:c r="I422" s="9"/>
      <x:c r="J422" s="9"/>
      <x:c r="K422" s="9"/>
      <x:c r="L422" s="10"/>
      <x:c r="M422" s="9"/>
      <x:c r="N422" s="9"/>
      <x:c r="O422" s="9"/>
      <x:c r="P422" s="9"/>
      <x:c r="Q422" s="9"/>
      <x:c r="R422" s="12" t="str">
        <x:f>IF(A422="","",IF(B422="","À compléter",IF(COUNTIFS($A$6:$A$505,A422,$B$6:$B$505,B422)&gt;1,"Doublon ville/mois",IF(OR(AND(ISNUMBER(H422),ISNUMBER(I422),I422&gt;H422),AND(ISNUMBER(M422),ISNUMBER(N422),N422&gt;M422),AND(ISNUMBER(O422),ISNUMBER(P422),P422&gt;O422)),"Incohérent",""))))</x:f>
      </x:c>
    </x:row>
    <x:row r="423" ht="23" customHeight="1">
      <x:c r="A423" s="9"/>
      <x:c r="B423" s="11"/>
      <x:c r="C423" s="10"/>
      <x:c r="D423" s="9"/>
      <x:c r="E423" s="9"/>
      <x:c r="F423" s="9"/>
      <x:c r="G423" s="9"/>
      <x:c r="H423" s="9"/>
      <x:c r="I423" s="9"/>
      <x:c r="J423" s="9"/>
      <x:c r="K423" s="9"/>
      <x:c r="L423" s="10"/>
      <x:c r="M423" s="9"/>
      <x:c r="N423" s="9"/>
      <x:c r="O423" s="9"/>
      <x:c r="P423" s="9"/>
      <x:c r="Q423" s="9"/>
      <x:c r="R423" s="12" t="str">
        <x:f>IF(A423="","",IF(B423="","À compléter",IF(COUNTIFS($A$6:$A$505,A423,$B$6:$B$505,B423)&gt;1,"Doublon ville/mois",IF(OR(AND(ISNUMBER(H423),ISNUMBER(I423),I423&gt;H423),AND(ISNUMBER(M423),ISNUMBER(N423),N423&gt;M423),AND(ISNUMBER(O423),ISNUMBER(P423),P423&gt;O423)),"Incohérent",""))))</x:f>
      </x:c>
    </x:row>
    <x:row r="424" ht="23" customHeight="1">
      <x:c r="A424" s="9"/>
      <x:c r="B424" s="11"/>
      <x:c r="C424" s="10"/>
      <x:c r="D424" s="9"/>
      <x:c r="E424" s="9"/>
      <x:c r="F424" s="9"/>
      <x:c r="G424" s="9"/>
      <x:c r="H424" s="9"/>
      <x:c r="I424" s="9"/>
      <x:c r="J424" s="9"/>
      <x:c r="K424" s="9"/>
      <x:c r="L424" s="10"/>
      <x:c r="M424" s="9"/>
      <x:c r="N424" s="9"/>
      <x:c r="O424" s="9"/>
      <x:c r="P424" s="9"/>
      <x:c r="Q424" s="9"/>
      <x:c r="R424" s="12" t="str">
        <x:f>IF(A424="","",IF(B424="","À compléter",IF(COUNTIFS($A$6:$A$505,A424,$B$6:$B$505,B424)&gt;1,"Doublon ville/mois",IF(OR(AND(ISNUMBER(H424),ISNUMBER(I424),I424&gt;H424),AND(ISNUMBER(M424),ISNUMBER(N424),N424&gt;M424),AND(ISNUMBER(O424),ISNUMBER(P424),P424&gt;O424)),"Incohérent",""))))</x:f>
      </x:c>
    </x:row>
    <x:row r="425" ht="23" customHeight="1">
      <x:c r="A425" s="9"/>
      <x:c r="B425" s="11"/>
      <x:c r="C425" s="10"/>
      <x:c r="D425" s="9"/>
      <x:c r="E425" s="9"/>
      <x:c r="F425" s="9"/>
      <x:c r="G425" s="9"/>
      <x:c r="H425" s="9"/>
      <x:c r="I425" s="9"/>
      <x:c r="J425" s="9"/>
      <x:c r="K425" s="9"/>
      <x:c r="L425" s="10"/>
      <x:c r="M425" s="9"/>
      <x:c r="N425" s="9"/>
      <x:c r="O425" s="9"/>
      <x:c r="P425" s="9"/>
      <x:c r="Q425" s="9"/>
      <x:c r="R425" s="12" t="str">
        <x:f>IF(A425="","",IF(B425="","À compléter",IF(COUNTIFS($A$6:$A$505,A425,$B$6:$B$505,B425)&gt;1,"Doublon ville/mois",IF(OR(AND(ISNUMBER(H425),ISNUMBER(I425),I425&gt;H425),AND(ISNUMBER(M425),ISNUMBER(N425),N425&gt;M425),AND(ISNUMBER(O425),ISNUMBER(P425),P425&gt;O425)),"Incohérent",""))))</x:f>
      </x:c>
    </x:row>
    <x:row r="426" ht="23" customHeight="1">
      <x:c r="A426" s="9"/>
      <x:c r="B426" s="11"/>
      <x:c r="C426" s="10"/>
      <x:c r="D426" s="9"/>
      <x:c r="E426" s="9"/>
      <x:c r="F426" s="9"/>
      <x:c r="G426" s="9"/>
      <x:c r="H426" s="9"/>
      <x:c r="I426" s="9"/>
      <x:c r="J426" s="9"/>
      <x:c r="K426" s="9"/>
      <x:c r="L426" s="10"/>
      <x:c r="M426" s="9"/>
      <x:c r="N426" s="9"/>
      <x:c r="O426" s="9"/>
      <x:c r="P426" s="9"/>
      <x:c r="Q426" s="9"/>
      <x:c r="R426" s="12" t="str">
        <x:f>IF(A426="","",IF(B426="","À compléter",IF(COUNTIFS($A$6:$A$505,A426,$B$6:$B$505,B426)&gt;1,"Doublon ville/mois",IF(OR(AND(ISNUMBER(H426),ISNUMBER(I426),I426&gt;H426),AND(ISNUMBER(M426),ISNUMBER(N426),N426&gt;M426),AND(ISNUMBER(O426),ISNUMBER(P426),P426&gt;O426)),"Incohérent",""))))</x:f>
      </x:c>
    </x:row>
    <x:row r="427" ht="23" customHeight="1">
      <x:c r="A427" s="9"/>
      <x:c r="B427" s="11"/>
      <x:c r="C427" s="10"/>
      <x:c r="D427" s="9"/>
      <x:c r="E427" s="9"/>
      <x:c r="F427" s="9"/>
      <x:c r="G427" s="9"/>
      <x:c r="H427" s="9"/>
      <x:c r="I427" s="9"/>
      <x:c r="J427" s="9"/>
      <x:c r="K427" s="9"/>
      <x:c r="L427" s="10"/>
      <x:c r="M427" s="9"/>
      <x:c r="N427" s="9"/>
      <x:c r="O427" s="9"/>
      <x:c r="P427" s="9"/>
      <x:c r="Q427" s="9"/>
      <x:c r="R427" s="12" t="str">
        <x:f>IF(A427="","",IF(B427="","À compléter",IF(COUNTIFS($A$6:$A$505,A427,$B$6:$B$505,B427)&gt;1,"Doublon ville/mois",IF(OR(AND(ISNUMBER(H427),ISNUMBER(I427),I427&gt;H427),AND(ISNUMBER(M427),ISNUMBER(N427),N427&gt;M427),AND(ISNUMBER(O427),ISNUMBER(P427),P427&gt;O427)),"Incohérent",""))))</x:f>
      </x:c>
    </x:row>
    <x:row r="428" ht="23" customHeight="1">
      <x:c r="A428" s="9"/>
      <x:c r="B428" s="11"/>
      <x:c r="C428" s="10"/>
      <x:c r="D428" s="9"/>
      <x:c r="E428" s="9"/>
      <x:c r="F428" s="9"/>
      <x:c r="G428" s="9"/>
      <x:c r="H428" s="9"/>
      <x:c r="I428" s="9"/>
      <x:c r="J428" s="9"/>
      <x:c r="K428" s="9"/>
      <x:c r="L428" s="10"/>
      <x:c r="M428" s="9"/>
      <x:c r="N428" s="9"/>
      <x:c r="O428" s="9"/>
      <x:c r="P428" s="9"/>
      <x:c r="Q428" s="9"/>
      <x:c r="R428" s="12" t="str">
        <x:f>IF(A428="","",IF(B428="","À compléter",IF(COUNTIFS($A$6:$A$505,A428,$B$6:$B$505,B428)&gt;1,"Doublon ville/mois",IF(OR(AND(ISNUMBER(H428),ISNUMBER(I428),I428&gt;H428),AND(ISNUMBER(M428),ISNUMBER(N428),N428&gt;M428),AND(ISNUMBER(O428),ISNUMBER(P428),P428&gt;O428)),"Incohérent",""))))</x:f>
      </x:c>
    </x:row>
    <x:row r="429" ht="23" customHeight="1">
      <x:c r="A429" s="9"/>
      <x:c r="B429" s="11"/>
      <x:c r="C429" s="10"/>
      <x:c r="D429" s="9"/>
      <x:c r="E429" s="9"/>
      <x:c r="F429" s="9"/>
      <x:c r="G429" s="9"/>
      <x:c r="H429" s="9"/>
      <x:c r="I429" s="9"/>
      <x:c r="J429" s="9"/>
      <x:c r="K429" s="9"/>
      <x:c r="L429" s="10"/>
      <x:c r="M429" s="9"/>
      <x:c r="N429" s="9"/>
      <x:c r="O429" s="9"/>
      <x:c r="P429" s="9"/>
      <x:c r="Q429" s="9"/>
      <x:c r="R429" s="12" t="str">
        <x:f>IF(A429="","",IF(B429="","À compléter",IF(COUNTIFS($A$6:$A$505,A429,$B$6:$B$505,B429)&gt;1,"Doublon ville/mois",IF(OR(AND(ISNUMBER(H429),ISNUMBER(I429),I429&gt;H429),AND(ISNUMBER(M429),ISNUMBER(N429),N429&gt;M429),AND(ISNUMBER(O429),ISNUMBER(P429),P429&gt;O429)),"Incohérent",""))))</x:f>
      </x:c>
    </x:row>
    <x:row r="430" ht="23" customHeight="1">
      <x:c r="A430" s="9"/>
      <x:c r="B430" s="11"/>
      <x:c r="C430" s="10"/>
      <x:c r="D430" s="9"/>
      <x:c r="E430" s="9"/>
      <x:c r="F430" s="9"/>
      <x:c r="G430" s="9"/>
      <x:c r="H430" s="9"/>
      <x:c r="I430" s="9"/>
      <x:c r="J430" s="9"/>
      <x:c r="K430" s="9"/>
      <x:c r="L430" s="10"/>
      <x:c r="M430" s="9"/>
      <x:c r="N430" s="9"/>
      <x:c r="O430" s="9"/>
      <x:c r="P430" s="9"/>
      <x:c r="Q430" s="9"/>
      <x:c r="R430" s="12" t="str">
        <x:f>IF(A430="","",IF(B430="","À compléter",IF(COUNTIFS($A$6:$A$505,A430,$B$6:$B$505,B430)&gt;1,"Doublon ville/mois",IF(OR(AND(ISNUMBER(H430),ISNUMBER(I430),I430&gt;H430),AND(ISNUMBER(M430),ISNUMBER(N430),N430&gt;M430),AND(ISNUMBER(O430),ISNUMBER(P430),P430&gt;O430)),"Incohérent",""))))</x:f>
      </x:c>
    </x:row>
    <x:row r="431" ht="23" customHeight="1">
      <x:c r="A431" s="9"/>
      <x:c r="B431" s="11"/>
      <x:c r="C431" s="10"/>
      <x:c r="D431" s="9"/>
      <x:c r="E431" s="9"/>
      <x:c r="F431" s="9"/>
      <x:c r="G431" s="9"/>
      <x:c r="H431" s="9"/>
      <x:c r="I431" s="9"/>
      <x:c r="J431" s="9"/>
      <x:c r="K431" s="9"/>
      <x:c r="L431" s="10"/>
      <x:c r="M431" s="9"/>
      <x:c r="N431" s="9"/>
      <x:c r="O431" s="9"/>
      <x:c r="P431" s="9"/>
      <x:c r="Q431" s="9"/>
      <x:c r="R431" s="12" t="str">
        <x:f>IF(A431="","",IF(B431="","À compléter",IF(COUNTIFS($A$6:$A$505,A431,$B$6:$B$505,B431)&gt;1,"Doublon ville/mois",IF(OR(AND(ISNUMBER(H431),ISNUMBER(I431),I431&gt;H431),AND(ISNUMBER(M431),ISNUMBER(N431),N431&gt;M431),AND(ISNUMBER(O431),ISNUMBER(P431),P431&gt;O431)),"Incohérent",""))))</x:f>
      </x:c>
    </x:row>
    <x:row r="432" ht="23" customHeight="1">
      <x:c r="A432" s="9"/>
      <x:c r="B432" s="11"/>
      <x:c r="C432" s="10"/>
      <x:c r="D432" s="9"/>
      <x:c r="E432" s="9"/>
      <x:c r="F432" s="9"/>
      <x:c r="G432" s="9"/>
      <x:c r="H432" s="9"/>
      <x:c r="I432" s="9"/>
      <x:c r="J432" s="9"/>
      <x:c r="K432" s="9"/>
      <x:c r="L432" s="10"/>
      <x:c r="M432" s="9"/>
      <x:c r="N432" s="9"/>
      <x:c r="O432" s="9"/>
      <x:c r="P432" s="9"/>
      <x:c r="Q432" s="9"/>
      <x:c r="R432" s="12" t="str">
        <x:f>IF(A432="","",IF(B432="","À compléter",IF(COUNTIFS($A$6:$A$505,A432,$B$6:$B$505,B432)&gt;1,"Doublon ville/mois",IF(OR(AND(ISNUMBER(H432),ISNUMBER(I432),I432&gt;H432),AND(ISNUMBER(M432),ISNUMBER(N432),N432&gt;M432),AND(ISNUMBER(O432),ISNUMBER(P432),P432&gt;O432)),"Incohérent",""))))</x:f>
      </x:c>
    </x:row>
    <x:row r="433" ht="23" customHeight="1">
      <x:c r="A433" s="9"/>
      <x:c r="B433" s="11"/>
      <x:c r="C433" s="10"/>
      <x:c r="D433" s="9"/>
      <x:c r="E433" s="9"/>
      <x:c r="F433" s="9"/>
      <x:c r="G433" s="9"/>
      <x:c r="H433" s="9"/>
      <x:c r="I433" s="9"/>
      <x:c r="J433" s="9"/>
      <x:c r="K433" s="9"/>
      <x:c r="L433" s="10"/>
      <x:c r="M433" s="9"/>
      <x:c r="N433" s="9"/>
      <x:c r="O433" s="9"/>
      <x:c r="P433" s="9"/>
      <x:c r="Q433" s="9"/>
      <x:c r="R433" s="12" t="str">
        <x:f>IF(A433="","",IF(B433="","À compléter",IF(COUNTIFS($A$6:$A$505,A433,$B$6:$B$505,B433)&gt;1,"Doublon ville/mois",IF(OR(AND(ISNUMBER(H433),ISNUMBER(I433),I433&gt;H433),AND(ISNUMBER(M433),ISNUMBER(N433),N433&gt;M433),AND(ISNUMBER(O433),ISNUMBER(P433),P433&gt;O433)),"Incohérent",""))))</x:f>
      </x:c>
    </x:row>
    <x:row r="434" ht="23" customHeight="1">
      <x:c r="A434" s="9"/>
      <x:c r="B434" s="11"/>
      <x:c r="C434" s="10"/>
      <x:c r="D434" s="9"/>
      <x:c r="E434" s="9"/>
      <x:c r="F434" s="9"/>
      <x:c r="G434" s="9"/>
      <x:c r="H434" s="9"/>
      <x:c r="I434" s="9"/>
      <x:c r="J434" s="9"/>
      <x:c r="K434" s="9"/>
      <x:c r="L434" s="10"/>
      <x:c r="M434" s="9"/>
      <x:c r="N434" s="9"/>
      <x:c r="O434" s="9"/>
      <x:c r="P434" s="9"/>
      <x:c r="Q434" s="9"/>
      <x:c r="R434" s="12" t="str">
        <x:f>IF(A434="","",IF(B434="","À compléter",IF(COUNTIFS($A$6:$A$505,A434,$B$6:$B$505,B434)&gt;1,"Doublon ville/mois",IF(OR(AND(ISNUMBER(H434),ISNUMBER(I434),I434&gt;H434),AND(ISNUMBER(M434),ISNUMBER(N434),N434&gt;M434),AND(ISNUMBER(O434),ISNUMBER(P434),P434&gt;O434)),"Incohérent",""))))</x:f>
      </x:c>
    </x:row>
    <x:row r="435" ht="23" customHeight="1">
      <x:c r="A435" s="9"/>
      <x:c r="B435" s="11"/>
      <x:c r="C435" s="10"/>
      <x:c r="D435" s="9"/>
      <x:c r="E435" s="9"/>
      <x:c r="F435" s="9"/>
      <x:c r="G435" s="9"/>
      <x:c r="H435" s="9"/>
      <x:c r="I435" s="9"/>
      <x:c r="J435" s="9"/>
      <x:c r="K435" s="9"/>
      <x:c r="L435" s="10"/>
      <x:c r="M435" s="9"/>
      <x:c r="N435" s="9"/>
      <x:c r="O435" s="9"/>
      <x:c r="P435" s="9"/>
      <x:c r="Q435" s="9"/>
      <x:c r="R435" s="12" t="str">
        <x:f>IF(A435="","",IF(B435="","À compléter",IF(COUNTIFS($A$6:$A$505,A435,$B$6:$B$505,B435)&gt;1,"Doublon ville/mois",IF(OR(AND(ISNUMBER(H435),ISNUMBER(I435),I435&gt;H435),AND(ISNUMBER(M435),ISNUMBER(N435),N435&gt;M435),AND(ISNUMBER(O435),ISNUMBER(P435),P435&gt;O435)),"Incohérent",""))))</x:f>
      </x:c>
    </x:row>
    <x:row r="436" ht="23" customHeight="1">
      <x:c r="A436" s="9"/>
      <x:c r="B436" s="11"/>
      <x:c r="C436" s="10"/>
      <x:c r="D436" s="9"/>
      <x:c r="E436" s="9"/>
      <x:c r="F436" s="9"/>
      <x:c r="G436" s="9"/>
      <x:c r="H436" s="9"/>
      <x:c r="I436" s="9"/>
      <x:c r="J436" s="9"/>
      <x:c r="K436" s="9"/>
      <x:c r="L436" s="10"/>
      <x:c r="M436" s="9"/>
      <x:c r="N436" s="9"/>
      <x:c r="O436" s="9"/>
      <x:c r="P436" s="9"/>
      <x:c r="Q436" s="9"/>
      <x:c r="R436" s="12" t="str">
        <x:f>IF(A436="","",IF(B436="","À compléter",IF(COUNTIFS($A$6:$A$505,A436,$B$6:$B$505,B436)&gt;1,"Doublon ville/mois",IF(OR(AND(ISNUMBER(H436),ISNUMBER(I436),I436&gt;H436),AND(ISNUMBER(M436),ISNUMBER(N436),N436&gt;M436),AND(ISNUMBER(O436),ISNUMBER(P436),P436&gt;O436)),"Incohérent",""))))</x:f>
      </x:c>
    </x:row>
    <x:row r="437" ht="23" customHeight="1">
      <x:c r="A437" s="9"/>
      <x:c r="B437" s="11"/>
      <x:c r="C437" s="10"/>
      <x:c r="D437" s="9"/>
      <x:c r="E437" s="9"/>
      <x:c r="F437" s="9"/>
      <x:c r="G437" s="9"/>
      <x:c r="H437" s="9"/>
      <x:c r="I437" s="9"/>
      <x:c r="J437" s="9"/>
      <x:c r="K437" s="9"/>
      <x:c r="L437" s="10"/>
      <x:c r="M437" s="9"/>
      <x:c r="N437" s="9"/>
      <x:c r="O437" s="9"/>
      <x:c r="P437" s="9"/>
      <x:c r="Q437" s="9"/>
      <x:c r="R437" s="12" t="str">
        <x:f>IF(A437="","",IF(B437="","À compléter",IF(COUNTIFS($A$6:$A$505,A437,$B$6:$B$505,B437)&gt;1,"Doublon ville/mois",IF(OR(AND(ISNUMBER(H437),ISNUMBER(I437),I437&gt;H437),AND(ISNUMBER(M437),ISNUMBER(N437),N437&gt;M437),AND(ISNUMBER(O437),ISNUMBER(P437),P437&gt;O437)),"Incohérent",""))))</x:f>
      </x:c>
    </x:row>
    <x:row r="438" ht="23" customHeight="1">
      <x:c r="A438" s="9"/>
      <x:c r="B438" s="11"/>
      <x:c r="C438" s="10"/>
      <x:c r="D438" s="9"/>
      <x:c r="E438" s="9"/>
      <x:c r="F438" s="9"/>
      <x:c r="G438" s="9"/>
      <x:c r="H438" s="9"/>
      <x:c r="I438" s="9"/>
      <x:c r="J438" s="9"/>
      <x:c r="K438" s="9"/>
      <x:c r="L438" s="10"/>
      <x:c r="M438" s="9"/>
      <x:c r="N438" s="9"/>
      <x:c r="O438" s="9"/>
      <x:c r="P438" s="9"/>
      <x:c r="Q438" s="9"/>
      <x:c r="R438" s="12" t="str">
        <x:f>IF(A438="","",IF(B438="","À compléter",IF(COUNTIFS($A$6:$A$505,A438,$B$6:$B$505,B438)&gt;1,"Doublon ville/mois",IF(OR(AND(ISNUMBER(H438),ISNUMBER(I438),I438&gt;H438),AND(ISNUMBER(M438),ISNUMBER(N438),N438&gt;M438),AND(ISNUMBER(O438),ISNUMBER(P438),P438&gt;O438)),"Incohérent",""))))</x:f>
      </x:c>
    </x:row>
    <x:row r="439" ht="23" customHeight="1">
      <x:c r="A439" s="9"/>
      <x:c r="B439" s="11"/>
      <x:c r="C439" s="10"/>
      <x:c r="D439" s="9"/>
      <x:c r="E439" s="9"/>
      <x:c r="F439" s="9"/>
      <x:c r="G439" s="9"/>
      <x:c r="H439" s="9"/>
      <x:c r="I439" s="9"/>
      <x:c r="J439" s="9"/>
      <x:c r="K439" s="9"/>
      <x:c r="L439" s="10"/>
      <x:c r="M439" s="9"/>
      <x:c r="N439" s="9"/>
      <x:c r="O439" s="9"/>
      <x:c r="P439" s="9"/>
      <x:c r="Q439" s="9"/>
      <x:c r="R439" s="12" t="str">
        <x:f>IF(A439="","",IF(B439="","À compléter",IF(COUNTIFS($A$6:$A$505,A439,$B$6:$B$505,B439)&gt;1,"Doublon ville/mois",IF(OR(AND(ISNUMBER(H439),ISNUMBER(I439),I439&gt;H439),AND(ISNUMBER(M439),ISNUMBER(N439),N439&gt;M439),AND(ISNUMBER(O439),ISNUMBER(P439),P439&gt;O439)),"Incohérent",""))))</x:f>
      </x:c>
    </x:row>
    <x:row r="440" ht="23" customHeight="1">
      <x:c r="A440" s="9"/>
      <x:c r="B440" s="11"/>
      <x:c r="C440" s="10"/>
      <x:c r="D440" s="9"/>
      <x:c r="E440" s="9"/>
      <x:c r="F440" s="9"/>
      <x:c r="G440" s="9"/>
      <x:c r="H440" s="9"/>
      <x:c r="I440" s="9"/>
      <x:c r="J440" s="9"/>
      <x:c r="K440" s="9"/>
      <x:c r="L440" s="10"/>
      <x:c r="M440" s="9"/>
      <x:c r="N440" s="9"/>
      <x:c r="O440" s="9"/>
      <x:c r="P440" s="9"/>
      <x:c r="Q440" s="9"/>
      <x:c r="R440" s="12" t="str">
        <x:f>IF(A440="","",IF(B440="","À compléter",IF(COUNTIFS($A$6:$A$505,A440,$B$6:$B$505,B440)&gt;1,"Doublon ville/mois",IF(OR(AND(ISNUMBER(H440),ISNUMBER(I440),I440&gt;H440),AND(ISNUMBER(M440),ISNUMBER(N440),N440&gt;M440),AND(ISNUMBER(O440),ISNUMBER(P440),P440&gt;O440)),"Incohérent",""))))</x:f>
      </x:c>
    </x:row>
    <x:row r="441" ht="23" customHeight="1">
      <x:c r="A441" s="9"/>
      <x:c r="B441" s="11"/>
      <x:c r="C441" s="10"/>
      <x:c r="D441" s="9"/>
      <x:c r="E441" s="9"/>
      <x:c r="F441" s="9"/>
      <x:c r="G441" s="9"/>
      <x:c r="H441" s="9"/>
      <x:c r="I441" s="9"/>
      <x:c r="J441" s="9"/>
      <x:c r="K441" s="9"/>
      <x:c r="L441" s="10"/>
      <x:c r="M441" s="9"/>
      <x:c r="N441" s="9"/>
      <x:c r="O441" s="9"/>
      <x:c r="P441" s="9"/>
      <x:c r="Q441" s="9"/>
      <x:c r="R441" s="12" t="str">
        <x:f>IF(A441="","",IF(B441="","À compléter",IF(COUNTIFS($A$6:$A$505,A441,$B$6:$B$505,B441)&gt;1,"Doublon ville/mois",IF(OR(AND(ISNUMBER(H441),ISNUMBER(I441),I441&gt;H441),AND(ISNUMBER(M441),ISNUMBER(N441),N441&gt;M441),AND(ISNUMBER(O441),ISNUMBER(P441),P441&gt;O441)),"Incohérent",""))))</x:f>
      </x:c>
    </x:row>
    <x:row r="442" ht="23" customHeight="1">
      <x:c r="A442" s="9"/>
      <x:c r="B442" s="11"/>
      <x:c r="C442" s="10"/>
      <x:c r="D442" s="9"/>
      <x:c r="E442" s="9"/>
      <x:c r="F442" s="9"/>
      <x:c r="G442" s="9"/>
      <x:c r="H442" s="9"/>
      <x:c r="I442" s="9"/>
      <x:c r="J442" s="9"/>
      <x:c r="K442" s="9"/>
      <x:c r="L442" s="10"/>
      <x:c r="M442" s="9"/>
      <x:c r="N442" s="9"/>
      <x:c r="O442" s="9"/>
      <x:c r="P442" s="9"/>
      <x:c r="Q442" s="9"/>
      <x:c r="R442" s="12" t="str">
        <x:f>IF(A442="","",IF(B442="","À compléter",IF(COUNTIFS($A$6:$A$505,A442,$B$6:$B$505,B442)&gt;1,"Doublon ville/mois",IF(OR(AND(ISNUMBER(H442),ISNUMBER(I442),I442&gt;H442),AND(ISNUMBER(M442),ISNUMBER(N442),N442&gt;M442),AND(ISNUMBER(O442),ISNUMBER(P442),P442&gt;O442)),"Incohérent",""))))</x:f>
      </x:c>
    </x:row>
    <x:row r="443" ht="23" customHeight="1">
      <x:c r="A443" s="9"/>
      <x:c r="B443" s="11"/>
      <x:c r="C443" s="10"/>
      <x:c r="D443" s="9"/>
      <x:c r="E443" s="9"/>
      <x:c r="F443" s="9"/>
      <x:c r="G443" s="9"/>
      <x:c r="H443" s="9"/>
      <x:c r="I443" s="9"/>
      <x:c r="J443" s="9"/>
      <x:c r="K443" s="9"/>
      <x:c r="L443" s="10"/>
      <x:c r="M443" s="9"/>
      <x:c r="N443" s="9"/>
      <x:c r="O443" s="9"/>
      <x:c r="P443" s="9"/>
      <x:c r="Q443" s="9"/>
      <x:c r="R443" s="12" t="str">
        <x:f>IF(A443="","",IF(B443="","À compléter",IF(COUNTIFS($A$6:$A$505,A443,$B$6:$B$505,B443)&gt;1,"Doublon ville/mois",IF(OR(AND(ISNUMBER(H443),ISNUMBER(I443),I443&gt;H443),AND(ISNUMBER(M443),ISNUMBER(N443),N443&gt;M443),AND(ISNUMBER(O443),ISNUMBER(P443),P443&gt;O443)),"Incohérent",""))))</x:f>
      </x:c>
    </x:row>
    <x:row r="444" ht="23" customHeight="1">
      <x:c r="A444" s="9"/>
      <x:c r="B444" s="11"/>
      <x:c r="C444" s="10"/>
      <x:c r="D444" s="9"/>
      <x:c r="E444" s="9"/>
      <x:c r="F444" s="9"/>
      <x:c r="G444" s="9"/>
      <x:c r="H444" s="9"/>
      <x:c r="I444" s="9"/>
      <x:c r="J444" s="9"/>
      <x:c r="K444" s="9"/>
      <x:c r="L444" s="10"/>
      <x:c r="M444" s="9"/>
      <x:c r="N444" s="9"/>
      <x:c r="O444" s="9"/>
      <x:c r="P444" s="9"/>
      <x:c r="Q444" s="9"/>
      <x:c r="R444" s="12" t="str">
        <x:f>IF(A444="","",IF(B444="","À compléter",IF(COUNTIFS($A$6:$A$505,A444,$B$6:$B$505,B444)&gt;1,"Doublon ville/mois",IF(OR(AND(ISNUMBER(H444),ISNUMBER(I444),I444&gt;H444),AND(ISNUMBER(M444),ISNUMBER(N444),N444&gt;M444),AND(ISNUMBER(O444),ISNUMBER(P444),P444&gt;O444)),"Incohérent",""))))</x:f>
      </x:c>
    </x:row>
    <x:row r="445" ht="23" customHeight="1">
      <x:c r="A445" s="9"/>
      <x:c r="B445" s="11"/>
      <x:c r="C445" s="10"/>
      <x:c r="D445" s="9"/>
      <x:c r="E445" s="9"/>
      <x:c r="F445" s="9"/>
      <x:c r="G445" s="9"/>
      <x:c r="H445" s="9"/>
      <x:c r="I445" s="9"/>
      <x:c r="J445" s="9"/>
      <x:c r="K445" s="9"/>
      <x:c r="L445" s="10"/>
      <x:c r="M445" s="9"/>
      <x:c r="N445" s="9"/>
      <x:c r="O445" s="9"/>
      <x:c r="P445" s="9"/>
      <x:c r="Q445" s="9"/>
      <x:c r="R445" s="12" t="str">
        <x:f>IF(A445="","",IF(B445="","À compléter",IF(COUNTIFS($A$6:$A$505,A445,$B$6:$B$505,B445)&gt;1,"Doublon ville/mois",IF(OR(AND(ISNUMBER(H445),ISNUMBER(I445),I445&gt;H445),AND(ISNUMBER(M445),ISNUMBER(N445),N445&gt;M445),AND(ISNUMBER(O445),ISNUMBER(P445),P445&gt;O445)),"Incohérent",""))))</x:f>
      </x:c>
    </x:row>
    <x:row r="446" ht="23" customHeight="1">
      <x:c r="A446" s="9"/>
      <x:c r="B446" s="11"/>
      <x:c r="C446" s="10"/>
      <x:c r="D446" s="9"/>
      <x:c r="E446" s="9"/>
      <x:c r="F446" s="9"/>
      <x:c r="G446" s="9"/>
      <x:c r="H446" s="9"/>
      <x:c r="I446" s="9"/>
      <x:c r="J446" s="9"/>
      <x:c r="K446" s="9"/>
      <x:c r="L446" s="10"/>
      <x:c r="M446" s="9"/>
      <x:c r="N446" s="9"/>
      <x:c r="O446" s="9"/>
      <x:c r="P446" s="9"/>
      <x:c r="Q446" s="9"/>
      <x:c r="R446" s="12" t="str">
        <x:f>IF(A446="","",IF(B446="","À compléter",IF(COUNTIFS($A$6:$A$505,A446,$B$6:$B$505,B446)&gt;1,"Doublon ville/mois",IF(OR(AND(ISNUMBER(H446),ISNUMBER(I446),I446&gt;H446),AND(ISNUMBER(M446),ISNUMBER(N446),N446&gt;M446),AND(ISNUMBER(O446),ISNUMBER(P446),P446&gt;O446)),"Incohérent",""))))</x:f>
      </x:c>
    </x:row>
    <x:row r="447" ht="23" customHeight="1">
      <x:c r="A447" s="9"/>
      <x:c r="B447" s="11"/>
      <x:c r="C447" s="10"/>
      <x:c r="D447" s="9"/>
      <x:c r="E447" s="9"/>
      <x:c r="F447" s="9"/>
      <x:c r="G447" s="9"/>
      <x:c r="H447" s="9"/>
      <x:c r="I447" s="9"/>
      <x:c r="J447" s="9"/>
      <x:c r="K447" s="9"/>
      <x:c r="L447" s="10"/>
      <x:c r="M447" s="9"/>
      <x:c r="N447" s="9"/>
      <x:c r="O447" s="9"/>
      <x:c r="P447" s="9"/>
      <x:c r="Q447" s="9"/>
      <x:c r="R447" s="12" t="str">
        <x:f>IF(A447="","",IF(B447="","À compléter",IF(COUNTIFS($A$6:$A$505,A447,$B$6:$B$505,B447)&gt;1,"Doublon ville/mois",IF(OR(AND(ISNUMBER(H447),ISNUMBER(I447),I447&gt;H447),AND(ISNUMBER(M447),ISNUMBER(N447),N447&gt;M447),AND(ISNUMBER(O447),ISNUMBER(P447),P447&gt;O447)),"Incohérent",""))))</x:f>
      </x:c>
    </x:row>
    <x:row r="448" ht="23" customHeight="1">
      <x:c r="A448" s="9"/>
      <x:c r="B448" s="11"/>
      <x:c r="C448" s="10"/>
      <x:c r="D448" s="9"/>
      <x:c r="E448" s="9"/>
      <x:c r="F448" s="9"/>
      <x:c r="G448" s="9"/>
      <x:c r="H448" s="9"/>
      <x:c r="I448" s="9"/>
      <x:c r="J448" s="9"/>
      <x:c r="K448" s="9"/>
      <x:c r="L448" s="10"/>
      <x:c r="M448" s="9"/>
      <x:c r="N448" s="9"/>
      <x:c r="O448" s="9"/>
      <x:c r="P448" s="9"/>
      <x:c r="Q448" s="9"/>
      <x:c r="R448" s="12" t="str">
        <x:f>IF(A448="","",IF(B448="","À compléter",IF(COUNTIFS($A$6:$A$505,A448,$B$6:$B$505,B448)&gt;1,"Doublon ville/mois",IF(OR(AND(ISNUMBER(H448),ISNUMBER(I448),I448&gt;H448),AND(ISNUMBER(M448),ISNUMBER(N448),N448&gt;M448),AND(ISNUMBER(O448),ISNUMBER(P448),P448&gt;O448)),"Incohérent",""))))</x:f>
      </x:c>
    </x:row>
    <x:row r="449" ht="23" customHeight="1">
      <x:c r="A449" s="9"/>
      <x:c r="B449" s="11"/>
      <x:c r="C449" s="10"/>
      <x:c r="D449" s="9"/>
      <x:c r="E449" s="9"/>
      <x:c r="F449" s="9"/>
      <x:c r="G449" s="9"/>
      <x:c r="H449" s="9"/>
      <x:c r="I449" s="9"/>
      <x:c r="J449" s="9"/>
      <x:c r="K449" s="9"/>
      <x:c r="L449" s="10"/>
      <x:c r="M449" s="9"/>
      <x:c r="N449" s="9"/>
      <x:c r="O449" s="9"/>
      <x:c r="P449" s="9"/>
      <x:c r="Q449" s="9"/>
      <x:c r="R449" s="12" t="str">
        <x:f>IF(A449="","",IF(B449="","À compléter",IF(COUNTIFS($A$6:$A$505,A449,$B$6:$B$505,B449)&gt;1,"Doublon ville/mois",IF(OR(AND(ISNUMBER(H449),ISNUMBER(I449),I449&gt;H449),AND(ISNUMBER(M449),ISNUMBER(N449),N449&gt;M449),AND(ISNUMBER(O449),ISNUMBER(P449),P449&gt;O449)),"Incohérent",""))))</x:f>
      </x:c>
    </x:row>
    <x:row r="450" ht="23" customHeight="1">
      <x:c r="A450" s="9"/>
      <x:c r="B450" s="11"/>
      <x:c r="C450" s="10"/>
      <x:c r="D450" s="9"/>
      <x:c r="E450" s="9"/>
      <x:c r="F450" s="9"/>
      <x:c r="G450" s="9"/>
      <x:c r="H450" s="9"/>
      <x:c r="I450" s="9"/>
      <x:c r="J450" s="9"/>
      <x:c r="K450" s="9"/>
      <x:c r="L450" s="10"/>
      <x:c r="M450" s="9"/>
      <x:c r="N450" s="9"/>
      <x:c r="O450" s="9"/>
      <x:c r="P450" s="9"/>
      <x:c r="Q450" s="9"/>
      <x:c r="R450" s="12" t="str">
        <x:f>IF(A450="","",IF(B450="","À compléter",IF(COUNTIFS($A$6:$A$505,A450,$B$6:$B$505,B450)&gt;1,"Doublon ville/mois",IF(OR(AND(ISNUMBER(H450),ISNUMBER(I450),I450&gt;H450),AND(ISNUMBER(M450),ISNUMBER(N450),N450&gt;M450),AND(ISNUMBER(O450),ISNUMBER(P450),P450&gt;O450)),"Incohérent",""))))</x:f>
      </x:c>
    </x:row>
    <x:row r="451" ht="23" customHeight="1">
      <x:c r="A451" s="9"/>
      <x:c r="B451" s="11"/>
      <x:c r="C451" s="10"/>
      <x:c r="D451" s="9"/>
      <x:c r="E451" s="9"/>
      <x:c r="F451" s="9"/>
      <x:c r="G451" s="9"/>
      <x:c r="H451" s="9"/>
      <x:c r="I451" s="9"/>
      <x:c r="J451" s="9"/>
      <x:c r="K451" s="9"/>
      <x:c r="L451" s="10"/>
      <x:c r="M451" s="9"/>
      <x:c r="N451" s="9"/>
      <x:c r="O451" s="9"/>
      <x:c r="P451" s="9"/>
      <x:c r="Q451" s="9"/>
      <x:c r="R451" s="12" t="str">
        <x:f>IF(A451="","",IF(B451="","À compléter",IF(COUNTIFS($A$6:$A$505,A451,$B$6:$B$505,B451)&gt;1,"Doublon ville/mois",IF(OR(AND(ISNUMBER(H451),ISNUMBER(I451),I451&gt;H451),AND(ISNUMBER(M451),ISNUMBER(N451),N451&gt;M451),AND(ISNUMBER(O451),ISNUMBER(P451),P451&gt;O451)),"Incohérent",""))))</x:f>
      </x:c>
    </x:row>
    <x:row r="452" ht="23" customHeight="1">
      <x:c r="A452" s="9"/>
      <x:c r="B452" s="11"/>
      <x:c r="C452" s="10"/>
      <x:c r="D452" s="9"/>
      <x:c r="E452" s="9"/>
      <x:c r="F452" s="9"/>
      <x:c r="G452" s="9"/>
      <x:c r="H452" s="9"/>
      <x:c r="I452" s="9"/>
      <x:c r="J452" s="9"/>
      <x:c r="K452" s="9"/>
      <x:c r="L452" s="10"/>
      <x:c r="M452" s="9"/>
      <x:c r="N452" s="9"/>
      <x:c r="O452" s="9"/>
      <x:c r="P452" s="9"/>
      <x:c r="Q452" s="9"/>
      <x:c r="R452" s="12" t="str">
        <x:f>IF(A452="","",IF(B452="","À compléter",IF(COUNTIFS($A$6:$A$505,A452,$B$6:$B$505,B452)&gt;1,"Doublon ville/mois",IF(OR(AND(ISNUMBER(H452),ISNUMBER(I452),I452&gt;H452),AND(ISNUMBER(M452),ISNUMBER(N452),N452&gt;M452),AND(ISNUMBER(O452),ISNUMBER(P452),P452&gt;O452)),"Incohérent",""))))</x:f>
      </x:c>
    </x:row>
    <x:row r="453" ht="23" customHeight="1">
      <x:c r="A453" s="9"/>
      <x:c r="B453" s="11"/>
      <x:c r="C453" s="10"/>
      <x:c r="D453" s="9"/>
      <x:c r="E453" s="9"/>
      <x:c r="F453" s="9"/>
      <x:c r="G453" s="9"/>
      <x:c r="H453" s="9"/>
      <x:c r="I453" s="9"/>
      <x:c r="J453" s="9"/>
      <x:c r="K453" s="9"/>
      <x:c r="L453" s="10"/>
      <x:c r="M453" s="9"/>
      <x:c r="N453" s="9"/>
      <x:c r="O453" s="9"/>
      <x:c r="P453" s="9"/>
      <x:c r="Q453" s="9"/>
      <x:c r="R453" s="12" t="str">
        <x:f>IF(A453="","",IF(B453="","À compléter",IF(COUNTIFS($A$6:$A$505,A453,$B$6:$B$505,B453)&gt;1,"Doublon ville/mois",IF(OR(AND(ISNUMBER(H453),ISNUMBER(I453),I453&gt;H453),AND(ISNUMBER(M453),ISNUMBER(N453),N453&gt;M453),AND(ISNUMBER(O453),ISNUMBER(P453),P453&gt;O453)),"Incohérent",""))))</x:f>
      </x:c>
    </x:row>
    <x:row r="454" ht="23" customHeight="1">
      <x:c r="A454" s="9"/>
      <x:c r="B454" s="11"/>
      <x:c r="C454" s="10"/>
      <x:c r="D454" s="9"/>
      <x:c r="E454" s="9"/>
      <x:c r="F454" s="9"/>
      <x:c r="G454" s="9"/>
      <x:c r="H454" s="9"/>
      <x:c r="I454" s="9"/>
      <x:c r="J454" s="9"/>
      <x:c r="K454" s="9"/>
      <x:c r="L454" s="10"/>
      <x:c r="M454" s="9"/>
      <x:c r="N454" s="9"/>
      <x:c r="O454" s="9"/>
      <x:c r="P454" s="9"/>
      <x:c r="Q454" s="9"/>
      <x:c r="R454" s="12" t="str">
        <x:f>IF(A454="","",IF(B454="","À compléter",IF(COUNTIFS($A$6:$A$505,A454,$B$6:$B$505,B454)&gt;1,"Doublon ville/mois",IF(OR(AND(ISNUMBER(H454),ISNUMBER(I454),I454&gt;H454),AND(ISNUMBER(M454),ISNUMBER(N454),N454&gt;M454),AND(ISNUMBER(O454),ISNUMBER(P454),P454&gt;O454)),"Incohérent",""))))</x:f>
      </x:c>
    </x:row>
    <x:row r="455" ht="23" customHeight="1">
      <x:c r="A455" s="9"/>
      <x:c r="B455" s="11"/>
      <x:c r="C455" s="10"/>
      <x:c r="D455" s="9"/>
      <x:c r="E455" s="9"/>
      <x:c r="F455" s="9"/>
      <x:c r="G455" s="9"/>
      <x:c r="H455" s="9"/>
      <x:c r="I455" s="9"/>
      <x:c r="J455" s="9"/>
      <x:c r="K455" s="9"/>
      <x:c r="L455" s="10"/>
      <x:c r="M455" s="9"/>
      <x:c r="N455" s="9"/>
      <x:c r="O455" s="9"/>
      <x:c r="P455" s="9"/>
      <x:c r="Q455" s="9"/>
      <x:c r="R455" s="12" t="str">
        <x:f>IF(A455="","",IF(B455="","À compléter",IF(COUNTIFS($A$6:$A$505,A455,$B$6:$B$505,B455)&gt;1,"Doublon ville/mois",IF(OR(AND(ISNUMBER(H455),ISNUMBER(I455),I455&gt;H455),AND(ISNUMBER(M455),ISNUMBER(N455),N455&gt;M455),AND(ISNUMBER(O455),ISNUMBER(P455),P455&gt;O455)),"Incohérent",""))))</x:f>
      </x:c>
    </x:row>
    <x:row r="456" ht="23" customHeight="1">
      <x:c r="A456" s="9"/>
      <x:c r="B456" s="11"/>
      <x:c r="C456" s="10"/>
      <x:c r="D456" s="9"/>
      <x:c r="E456" s="9"/>
      <x:c r="F456" s="9"/>
      <x:c r="G456" s="9"/>
      <x:c r="H456" s="9"/>
      <x:c r="I456" s="9"/>
      <x:c r="J456" s="9"/>
      <x:c r="K456" s="9"/>
      <x:c r="L456" s="10"/>
      <x:c r="M456" s="9"/>
      <x:c r="N456" s="9"/>
      <x:c r="O456" s="9"/>
      <x:c r="P456" s="9"/>
      <x:c r="Q456" s="9"/>
      <x:c r="R456" s="12" t="str">
        <x:f>IF(A456="","",IF(B456="","À compléter",IF(COUNTIFS($A$6:$A$505,A456,$B$6:$B$505,B456)&gt;1,"Doublon ville/mois",IF(OR(AND(ISNUMBER(H456),ISNUMBER(I456),I456&gt;H456),AND(ISNUMBER(M456),ISNUMBER(N456),N456&gt;M456),AND(ISNUMBER(O456),ISNUMBER(P456),P456&gt;O456)),"Incohérent",""))))</x:f>
      </x:c>
    </x:row>
    <x:row r="457" ht="23" customHeight="1">
      <x:c r="A457" s="9"/>
      <x:c r="B457" s="11"/>
      <x:c r="C457" s="10"/>
      <x:c r="D457" s="9"/>
      <x:c r="E457" s="9"/>
      <x:c r="F457" s="9"/>
      <x:c r="G457" s="9"/>
      <x:c r="H457" s="9"/>
      <x:c r="I457" s="9"/>
      <x:c r="J457" s="9"/>
      <x:c r="K457" s="9"/>
      <x:c r="L457" s="10"/>
      <x:c r="M457" s="9"/>
      <x:c r="N457" s="9"/>
      <x:c r="O457" s="9"/>
      <x:c r="P457" s="9"/>
      <x:c r="Q457" s="9"/>
      <x:c r="R457" s="12" t="str">
        <x:f>IF(A457="","",IF(B457="","À compléter",IF(COUNTIFS($A$6:$A$505,A457,$B$6:$B$505,B457)&gt;1,"Doublon ville/mois",IF(OR(AND(ISNUMBER(H457),ISNUMBER(I457),I457&gt;H457),AND(ISNUMBER(M457),ISNUMBER(N457),N457&gt;M457),AND(ISNUMBER(O457),ISNUMBER(P457),P457&gt;O457)),"Incohérent",""))))</x:f>
      </x:c>
    </x:row>
    <x:row r="458" ht="23" customHeight="1">
      <x:c r="A458" s="9"/>
      <x:c r="B458" s="11"/>
      <x:c r="C458" s="10"/>
      <x:c r="D458" s="9"/>
      <x:c r="E458" s="9"/>
      <x:c r="F458" s="9"/>
      <x:c r="G458" s="9"/>
      <x:c r="H458" s="9"/>
      <x:c r="I458" s="9"/>
      <x:c r="J458" s="9"/>
      <x:c r="K458" s="9"/>
      <x:c r="L458" s="10"/>
      <x:c r="M458" s="9"/>
      <x:c r="N458" s="9"/>
      <x:c r="O458" s="9"/>
      <x:c r="P458" s="9"/>
      <x:c r="Q458" s="9"/>
      <x:c r="R458" s="12" t="str">
        <x:f>IF(A458="","",IF(B458="","À compléter",IF(COUNTIFS($A$6:$A$505,A458,$B$6:$B$505,B458)&gt;1,"Doublon ville/mois",IF(OR(AND(ISNUMBER(H458),ISNUMBER(I458),I458&gt;H458),AND(ISNUMBER(M458),ISNUMBER(N458),N458&gt;M458),AND(ISNUMBER(O458),ISNUMBER(P458),P458&gt;O458)),"Incohérent",""))))</x:f>
      </x:c>
    </x:row>
    <x:row r="459" ht="23" customHeight="1">
      <x:c r="A459" s="9"/>
      <x:c r="B459" s="11"/>
      <x:c r="C459" s="10"/>
      <x:c r="D459" s="9"/>
      <x:c r="E459" s="9"/>
      <x:c r="F459" s="9"/>
      <x:c r="G459" s="9"/>
      <x:c r="H459" s="9"/>
      <x:c r="I459" s="9"/>
      <x:c r="J459" s="9"/>
      <x:c r="K459" s="9"/>
      <x:c r="L459" s="10"/>
      <x:c r="M459" s="9"/>
      <x:c r="N459" s="9"/>
      <x:c r="O459" s="9"/>
      <x:c r="P459" s="9"/>
      <x:c r="Q459" s="9"/>
      <x:c r="R459" s="12" t="str">
        <x:f>IF(A459="","",IF(B459="","À compléter",IF(COUNTIFS($A$6:$A$505,A459,$B$6:$B$505,B459)&gt;1,"Doublon ville/mois",IF(OR(AND(ISNUMBER(H459),ISNUMBER(I459),I459&gt;H459),AND(ISNUMBER(M459),ISNUMBER(N459),N459&gt;M459),AND(ISNUMBER(O459),ISNUMBER(P459),P459&gt;O459)),"Incohérent",""))))</x:f>
      </x:c>
    </x:row>
    <x:row r="460" ht="23" customHeight="1">
      <x:c r="A460" s="9"/>
      <x:c r="B460" s="11"/>
      <x:c r="C460" s="10"/>
      <x:c r="D460" s="9"/>
      <x:c r="E460" s="9"/>
      <x:c r="F460" s="9"/>
      <x:c r="G460" s="9"/>
      <x:c r="H460" s="9"/>
      <x:c r="I460" s="9"/>
      <x:c r="J460" s="9"/>
      <x:c r="K460" s="9"/>
      <x:c r="L460" s="10"/>
      <x:c r="M460" s="9"/>
      <x:c r="N460" s="9"/>
      <x:c r="O460" s="9"/>
      <x:c r="P460" s="9"/>
      <x:c r="Q460" s="9"/>
      <x:c r="R460" s="12" t="str">
        <x:f>IF(A460="","",IF(B460="","À compléter",IF(COUNTIFS($A$6:$A$505,A460,$B$6:$B$505,B460)&gt;1,"Doublon ville/mois",IF(OR(AND(ISNUMBER(H460),ISNUMBER(I460),I460&gt;H460),AND(ISNUMBER(M460),ISNUMBER(N460),N460&gt;M460),AND(ISNUMBER(O460),ISNUMBER(P460),P460&gt;O460)),"Incohérent",""))))</x:f>
      </x:c>
    </x:row>
    <x:row r="461" ht="23" customHeight="1">
      <x:c r="A461" s="9"/>
      <x:c r="B461" s="11"/>
      <x:c r="C461" s="10"/>
      <x:c r="D461" s="9"/>
      <x:c r="E461" s="9"/>
      <x:c r="F461" s="9"/>
      <x:c r="G461" s="9"/>
      <x:c r="H461" s="9"/>
      <x:c r="I461" s="9"/>
      <x:c r="J461" s="9"/>
      <x:c r="K461" s="9"/>
      <x:c r="L461" s="10"/>
      <x:c r="M461" s="9"/>
      <x:c r="N461" s="9"/>
      <x:c r="O461" s="9"/>
      <x:c r="P461" s="9"/>
      <x:c r="Q461" s="9"/>
      <x:c r="R461" s="12" t="str">
        <x:f>IF(A461="","",IF(B461="","À compléter",IF(COUNTIFS($A$6:$A$505,A461,$B$6:$B$505,B461)&gt;1,"Doublon ville/mois",IF(OR(AND(ISNUMBER(H461),ISNUMBER(I461),I461&gt;H461),AND(ISNUMBER(M461),ISNUMBER(N461),N461&gt;M461),AND(ISNUMBER(O461),ISNUMBER(P461),P461&gt;O461)),"Incohérent",""))))</x:f>
      </x:c>
    </x:row>
    <x:row r="462" ht="23" customHeight="1">
      <x:c r="A462" s="9"/>
      <x:c r="B462" s="11"/>
      <x:c r="C462" s="10"/>
      <x:c r="D462" s="9"/>
      <x:c r="E462" s="9"/>
      <x:c r="F462" s="9"/>
      <x:c r="G462" s="9"/>
      <x:c r="H462" s="9"/>
      <x:c r="I462" s="9"/>
      <x:c r="J462" s="9"/>
      <x:c r="K462" s="9"/>
      <x:c r="L462" s="10"/>
      <x:c r="M462" s="9"/>
      <x:c r="N462" s="9"/>
      <x:c r="O462" s="9"/>
      <x:c r="P462" s="9"/>
      <x:c r="Q462" s="9"/>
      <x:c r="R462" s="12" t="str">
        <x:f>IF(A462="","",IF(B462="","À compléter",IF(COUNTIFS($A$6:$A$505,A462,$B$6:$B$505,B462)&gt;1,"Doublon ville/mois",IF(OR(AND(ISNUMBER(H462),ISNUMBER(I462),I462&gt;H462),AND(ISNUMBER(M462),ISNUMBER(N462),N462&gt;M462),AND(ISNUMBER(O462),ISNUMBER(P462),P462&gt;O462)),"Incohérent",""))))</x:f>
      </x:c>
    </x:row>
    <x:row r="463" ht="23" customHeight="1">
      <x:c r="A463" s="9"/>
      <x:c r="B463" s="11"/>
      <x:c r="C463" s="10"/>
      <x:c r="D463" s="9"/>
      <x:c r="E463" s="9"/>
      <x:c r="F463" s="9"/>
      <x:c r="G463" s="9"/>
      <x:c r="H463" s="9"/>
      <x:c r="I463" s="9"/>
      <x:c r="J463" s="9"/>
      <x:c r="K463" s="9"/>
      <x:c r="L463" s="10"/>
      <x:c r="M463" s="9"/>
      <x:c r="N463" s="9"/>
      <x:c r="O463" s="9"/>
      <x:c r="P463" s="9"/>
      <x:c r="Q463" s="9"/>
      <x:c r="R463" s="12" t="str">
        <x:f>IF(A463="","",IF(B463="","À compléter",IF(COUNTIFS($A$6:$A$505,A463,$B$6:$B$505,B463)&gt;1,"Doublon ville/mois",IF(OR(AND(ISNUMBER(H463),ISNUMBER(I463),I463&gt;H463),AND(ISNUMBER(M463),ISNUMBER(N463),N463&gt;M463),AND(ISNUMBER(O463),ISNUMBER(P463),P463&gt;O463)),"Incohérent",""))))</x:f>
      </x:c>
    </x:row>
    <x:row r="464" ht="23" customHeight="1">
      <x:c r="A464" s="9"/>
      <x:c r="B464" s="11"/>
      <x:c r="C464" s="10"/>
      <x:c r="D464" s="9"/>
      <x:c r="E464" s="9"/>
      <x:c r="F464" s="9"/>
      <x:c r="G464" s="9"/>
      <x:c r="H464" s="9"/>
      <x:c r="I464" s="9"/>
      <x:c r="J464" s="9"/>
      <x:c r="K464" s="9"/>
      <x:c r="L464" s="10"/>
      <x:c r="M464" s="9"/>
      <x:c r="N464" s="9"/>
      <x:c r="O464" s="9"/>
      <x:c r="P464" s="9"/>
      <x:c r="Q464" s="9"/>
      <x:c r="R464" s="12" t="str">
        <x:f>IF(A464="","",IF(B464="","À compléter",IF(COUNTIFS($A$6:$A$505,A464,$B$6:$B$505,B464)&gt;1,"Doublon ville/mois",IF(OR(AND(ISNUMBER(H464),ISNUMBER(I464),I464&gt;H464),AND(ISNUMBER(M464),ISNUMBER(N464),N464&gt;M464),AND(ISNUMBER(O464),ISNUMBER(P464),P464&gt;O464)),"Incohérent",""))))</x:f>
      </x:c>
    </x:row>
    <x:row r="465" ht="23" customHeight="1">
      <x:c r="A465" s="9"/>
      <x:c r="B465" s="11"/>
      <x:c r="C465" s="10"/>
      <x:c r="D465" s="9"/>
      <x:c r="E465" s="9"/>
      <x:c r="F465" s="9"/>
      <x:c r="G465" s="9"/>
      <x:c r="H465" s="9"/>
      <x:c r="I465" s="9"/>
      <x:c r="J465" s="9"/>
      <x:c r="K465" s="9"/>
      <x:c r="L465" s="10"/>
      <x:c r="M465" s="9"/>
      <x:c r="N465" s="9"/>
      <x:c r="O465" s="9"/>
      <x:c r="P465" s="9"/>
      <x:c r="Q465" s="9"/>
      <x:c r="R465" s="12" t="str">
        <x:f>IF(A465="","",IF(B465="","À compléter",IF(COUNTIFS($A$6:$A$505,A465,$B$6:$B$505,B465)&gt;1,"Doublon ville/mois",IF(OR(AND(ISNUMBER(H465),ISNUMBER(I465),I465&gt;H465),AND(ISNUMBER(M465),ISNUMBER(N465),N465&gt;M465),AND(ISNUMBER(O465),ISNUMBER(P465),P465&gt;O465)),"Incohérent",""))))</x:f>
      </x:c>
    </x:row>
    <x:row r="466" ht="23" customHeight="1">
      <x:c r="A466" s="9"/>
      <x:c r="B466" s="11"/>
      <x:c r="C466" s="10"/>
      <x:c r="D466" s="9"/>
      <x:c r="E466" s="9"/>
      <x:c r="F466" s="9"/>
      <x:c r="G466" s="9"/>
      <x:c r="H466" s="9"/>
      <x:c r="I466" s="9"/>
      <x:c r="J466" s="9"/>
      <x:c r="K466" s="9"/>
      <x:c r="L466" s="10"/>
      <x:c r="M466" s="9"/>
      <x:c r="N466" s="9"/>
      <x:c r="O466" s="9"/>
      <x:c r="P466" s="9"/>
      <x:c r="Q466" s="9"/>
      <x:c r="R466" s="12" t="str">
        <x:f>IF(A466="","",IF(B466="","À compléter",IF(COUNTIFS($A$6:$A$505,A466,$B$6:$B$505,B466)&gt;1,"Doublon ville/mois",IF(OR(AND(ISNUMBER(H466),ISNUMBER(I466),I466&gt;H466),AND(ISNUMBER(M466),ISNUMBER(N466),N466&gt;M466),AND(ISNUMBER(O466),ISNUMBER(P466),P466&gt;O466)),"Incohérent",""))))</x:f>
      </x:c>
    </x:row>
    <x:row r="467" ht="23" customHeight="1">
      <x:c r="A467" s="9"/>
      <x:c r="B467" s="11"/>
      <x:c r="C467" s="10"/>
      <x:c r="D467" s="9"/>
      <x:c r="E467" s="9"/>
      <x:c r="F467" s="9"/>
      <x:c r="G467" s="9"/>
      <x:c r="H467" s="9"/>
      <x:c r="I467" s="9"/>
      <x:c r="J467" s="9"/>
      <x:c r="K467" s="9"/>
      <x:c r="L467" s="10"/>
      <x:c r="M467" s="9"/>
      <x:c r="N467" s="9"/>
      <x:c r="O467" s="9"/>
      <x:c r="P467" s="9"/>
      <x:c r="Q467" s="9"/>
      <x:c r="R467" s="12" t="str">
        <x:f>IF(A467="","",IF(B467="","À compléter",IF(COUNTIFS($A$6:$A$505,A467,$B$6:$B$505,B467)&gt;1,"Doublon ville/mois",IF(OR(AND(ISNUMBER(H467),ISNUMBER(I467),I467&gt;H467),AND(ISNUMBER(M467),ISNUMBER(N467),N467&gt;M467),AND(ISNUMBER(O467),ISNUMBER(P467),P467&gt;O467)),"Incohérent",""))))</x:f>
      </x:c>
    </x:row>
    <x:row r="468" ht="23" customHeight="1">
      <x:c r="A468" s="9"/>
      <x:c r="B468" s="11"/>
      <x:c r="C468" s="10"/>
      <x:c r="D468" s="9"/>
      <x:c r="E468" s="9"/>
      <x:c r="F468" s="9"/>
      <x:c r="G468" s="9"/>
      <x:c r="H468" s="9"/>
      <x:c r="I468" s="9"/>
      <x:c r="J468" s="9"/>
      <x:c r="K468" s="9"/>
      <x:c r="L468" s="10"/>
      <x:c r="M468" s="9"/>
      <x:c r="N468" s="9"/>
      <x:c r="O468" s="9"/>
      <x:c r="P468" s="9"/>
      <x:c r="Q468" s="9"/>
      <x:c r="R468" s="12" t="str">
        <x:f>IF(A468="","",IF(B468="","À compléter",IF(COUNTIFS($A$6:$A$505,A468,$B$6:$B$505,B468)&gt;1,"Doublon ville/mois",IF(OR(AND(ISNUMBER(H468),ISNUMBER(I468),I468&gt;H468),AND(ISNUMBER(M468),ISNUMBER(N468),N468&gt;M468),AND(ISNUMBER(O468),ISNUMBER(P468),P468&gt;O468)),"Incohérent",""))))</x:f>
      </x:c>
    </x:row>
    <x:row r="469" ht="23" customHeight="1">
      <x:c r="A469" s="9"/>
      <x:c r="B469" s="11"/>
      <x:c r="C469" s="10"/>
      <x:c r="D469" s="9"/>
      <x:c r="E469" s="9"/>
      <x:c r="F469" s="9"/>
      <x:c r="G469" s="9"/>
      <x:c r="H469" s="9"/>
      <x:c r="I469" s="9"/>
      <x:c r="J469" s="9"/>
      <x:c r="K469" s="9"/>
      <x:c r="L469" s="10"/>
      <x:c r="M469" s="9"/>
      <x:c r="N469" s="9"/>
      <x:c r="O469" s="9"/>
      <x:c r="P469" s="9"/>
      <x:c r="Q469" s="9"/>
      <x:c r="R469" s="12" t="str">
        <x:f>IF(A469="","",IF(B469="","À compléter",IF(COUNTIFS($A$6:$A$505,A469,$B$6:$B$505,B469)&gt;1,"Doublon ville/mois",IF(OR(AND(ISNUMBER(H469),ISNUMBER(I469),I469&gt;H469),AND(ISNUMBER(M469),ISNUMBER(N469),N469&gt;M469),AND(ISNUMBER(O469),ISNUMBER(P469),P469&gt;O469)),"Incohérent",""))))</x:f>
      </x:c>
    </x:row>
    <x:row r="470" ht="23" customHeight="1">
      <x:c r="A470" s="9"/>
      <x:c r="B470" s="11"/>
      <x:c r="C470" s="10"/>
      <x:c r="D470" s="9"/>
      <x:c r="E470" s="9"/>
      <x:c r="F470" s="9"/>
      <x:c r="G470" s="9"/>
      <x:c r="H470" s="9"/>
      <x:c r="I470" s="9"/>
      <x:c r="J470" s="9"/>
      <x:c r="K470" s="9"/>
      <x:c r="L470" s="10"/>
      <x:c r="M470" s="9"/>
      <x:c r="N470" s="9"/>
      <x:c r="O470" s="9"/>
      <x:c r="P470" s="9"/>
      <x:c r="Q470" s="9"/>
      <x:c r="R470" s="12" t="str">
        <x:f>IF(A470="","",IF(B470="","À compléter",IF(COUNTIFS($A$6:$A$505,A470,$B$6:$B$505,B470)&gt;1,"Doublon ville/mois",IF(OR(AND(ISNUMBER(H470),ISNUMBER(I470),I470&gt;H470),AND(ISNUMBER(M470),ISNUMBER(N470),N470&gt;M470),AND(ISNUMBER(O470),ISNUMBER(P470),P470&gt;O470)),"Incohérent",""))))</x:f>
      </x:c>
    </x:row>
    <x:row r="471" ht="23" customHeight="1">
      <x:c r="A471" s="9"/>
      <x:c r="B471" s="11"/>
      <x:c r="C471" s="10"/>
      <x:c r="D471" s="9"/>
      <x:c r="E471" s="9"/>
      <x:c r="F471" s="9"/>
      <x:c r="G471" s="9"/>
      <x:c r="H471" s="9"/>
      <x:c r="I471" s="9"/>
      <x:c r="J471" s="9"/>
      <x:c r="K471" s="9"/>
      <x:c r="L471" s="10"/>
      <x:c r="M471" s="9"/>
      <x:c r="N471" s="9"/>
      <x:c r="O471" s="9"/>
      <x:c r="P471" s="9"/>
      <x:c r="Q471" s="9"/>
      <x:c r="R471" s="12" t="str">
        <x:f>IF(A471="","",IF(B471="","À compléter",IF(COUNTIFS($A$6:$A$505,A471,$B$6:$B$505,B471)&gt;1,"Doublon ville/mois",IF(OR(AND(ISNUMBER(H471),ISNUMBER(I471),I471&gt;H471),AND(ISNUMBER(M471),ISNUMBER(N471),N471&gt;M471),AND(ISNUMBER(O471),ISNUMBER(P471),P471&gt;O471)),"Incohérent",""))))</x:f>
      </x:c>
    </x:row>
    <x:row r="472" ht="23" customHeight="1">
      <x:c r="A472" s="9"/>
      <x:c r="B472" s="11"/>
      <x:c r="C472" s="10"/>
      <x:c r="D472" s="9"/>
      <x:c r="E472" s="9"/>
      <x:c r="F472" s="9"/>
      <x:c r="G472" s="9"/>
      <x:c r="H472" s="9"/>
      <x:c r="I472" s="9"/>
      <x:c r="J472" s="9"/>
      <x:c r="K472" s="9"/>
      <x:c r="L472" s="10"/>
      <x:c r="M472" s="9"/>
      <x:c r="N472" s="9"/>
      <x:c r="O472" s="9"/>
      <x:c r="P472" s="9"/>
      <x:c r="Q472" s="9"/>
      <x:c r="R472" s="12" t="str">
        <x:f>IF(A472="","",IF(B472="","À compléter",IF(COUNTIFS($A$6:$A$505,A472,$B$6:$B$505,B472)&gt;1,"Doublon ville/mois",IF(OR(AND(ISNUMBER(H472),ISNUMBER(I472),I472&gt;H472),AND(ISNUMBER(M472),ISNUMBER(N472),N472&gt;M472),AND(ISNUMBER(O472),ISNUMBER(P472),P472&gt;O472)),"Incohérent",""))))</x:f>
      </x:c>
    </x:row>
    <x:row r="473" ht="23" customHeight="1">
      <x:c r="A473" s="9"/>
      <x:c r="B473" s="11"/>
      <x:c r="C473" s="10"/>
      <x:c r="D473" s="9"/>
      <x:c r="E473" s="9"/>
      <x:c r="F473" s="9"/>
      <x:c r="G473" s="9"/>
      <x:c r="H473" s="9"/>
      <x:c r="I473" s="9"/>
      <x:c r="J473" s="9"/>
      <x:c r="K473" s="9"/>
      <x:c r="L473" s="10"/>
      <x:c r="M473" s="9"/>
      <x:c r="N473" s="9"/>
      <x:c r="O473" s="9"/>
      <x:c r="P473" s="9"/>
      <x:c r="Q473" s="9"/>
      <x:c r="R473" s="12" t="str">
        <x:f>IF(A473="","",IF(B473="","À compléter",IF(COUNTIFS($A$6:$A$505,A473,$B$6:$B$505,B473)&gt;1,"Doublon ville/mois",IF(OR(AND(ISNUMBER(H473),ISNUMBER(I473),I473&gt;H473),AND(ISNUMBER(M473),ISNUMBER(N473),N473&gt;M473),AND(ISNUMBER(O473),ISNUMBER(P473),P473&gt;O473)),"Incohérent",""))))</x:f>
      </x:c>
    </x:row>
    <x:row r="474" ht="23" customHeight="1">
      <x:c r="A474" s="9"/>
      <x:c r="B474" s="11"/>
      <x:c r="C474" s="10"/>
      <x:c r="D474" s="9"/>
      <x:c r="E474" s="9"/>
      <x:c r="F474" s="9"/>
      <x:c r="G474" s="9"/>
      <x:c r="H474" s="9"/>
      <x:c r="I474" s="9"/>
      <x:c r="J474" s="9"/>
      <x:c r="K474" s="9"/>
      <x:c r="L474" s="10"/>
      <x:c r="M474" s="9"/>
      <x:c r="N474" s="9"/>
      <x:c r="O474" s="9"/>
      <x:c r="P474" s="9"/>
      <x:c r="Q474" s="9"/>
      <x:c r="R474" s="12" t="str">
        <x:f>IF(A474="","",IF(B474="","À compléter",IF(COUNTIFS($A$6:$A$505,A474,$B$6:$B$505,B474)&gt;1,"Doublon ville/mois",IF(OR(AND(ISNUMBER(H474),ISNUMBER(I474),I474&gt;H474),AND(ISNUMBER(M474),ISNUMBER(N474),N474&gt;M474),AND(ISNUMBER(O474),ISNUMBER(P474),P474&gt;O474)),"Incohérent",""))))</x:f>
      </x:c>
    </x:row>
    <x:row r="475" ht="23" customHeight="1">
      <x:c r="A475" s="9"/>
      <x:c r="B475" s="11"/>
      <x:c r="C475" s="10"/>
      <x:c r="D475" s="9"/>
      <x:c r="E475" s="9"/>
      <x:c r="F475" s="9"/>
      <x:c r="G475" s="9"/>
      <x:c r="H475" s="9"/>
      <x:c r="I475" s="9"/>
      <x:c r="J475" s="9"/>
      <x:c r="K475" s="9"/>
      <x:c r="L475" s="10"/>
      <x:c r="M475" s="9"/>
      <x:c r="N475" s="9"/>
      <x:c r="O475" s="9"/>
      <x:c r="P475" s="9"/>
      <x:c r="Q475" s="9"/>
      <x:c r="R475" s="12" t="str">
        <x:f>IF(A475="","",IF(B475="","À compléter",IF(COUNTIFS($A$6:$A$505,A475,$B$6:$B$505,B475)&gt;1,"Doublon ville/mois",IF(OR(AND(ISNUMBER(H475),ISNUMBER(I475),I475&gt;H475),AND(ISNUMBER(M475),ISNUMBER(N475),N475&gt;M475),AND(ISNUMBER(O475),ISNUMBER(P475),P475&gt;O475)),"Incohérent",""))))</x:f>
      </x:c>
    </x:row>
    <x:row r="476" ht="23" customHeight="1">
      <x:c r="A476" s="9"/>
      <x:c r="B476" s="11"/>
      <x:c r="C476" s="10"/>
      <x:c r="D476" s="9"/>
      <x:c r="E476" s="9"/>
      <x:c r="F476" s="9"/>
      <x:c r="G476" s="9"/>
      <x:c r="H476" s="9"/>
      <x:c r="I476" s="9"/>
      <x:c r="J476" s="9"/>
      <x:c r="K476" s="9"/>
      <x:c r="L476" s="10"/>
      <x:c r="M476" s="9"/>
      <x:c r="N476" s="9"/>
      <x:c r="O476" s="9"/>
      <x:c r="P476" s="9"/>
      <x:c r="Q476" s="9"/>
      <x:c r="R476" s="12" t="str">
        <x:f>IF(A476="","",IF(B476="","À compléter",IF(COUNTIFS($A$6:$A$505,A476,$B$6:$B$505,B476)&gt;1,"Doublon ville/mois",IF(OR(AND(ISNUMBER(H476),ISNUMBER(I476),I476&gt;H476),AND(ISNUMBER(M476),ISNUMBER(N476),N476&gt;M476),AND(ISNUMBER(O476),ISNUMBER(P476),P476&gt;O476)),"Incohérent",""))))</x:f>
      </x:c>
    </x:row>
    <x:row r="477" ht="23" customHeight="1">
      <x:c r="A477" s="9"/>
      <x:c r="B477" s="11"/>
      <x:c r="C477" s="10"/>
      <x:c r="D477" s="9"/>
      <x:c r="E477" s="9"/>
      <x:c r="F477" s="9"/>
      <x:c r="G477" s="9"/>
      <x:c r="H477" s="9"/>
      <x:c r="I477" s="9"/>
      <x:c r="J477" s="9"/>
      <x:c r="K477" s="9"/>
      <x:c r="L477" s="10"/>
      <x:c r="M477" s="9"/>
      <x:c r="N477" s="9"/>
      <x:c r="O477" s="9"/>
      <x:c r="P477" s="9"/>
      <x:c r="Q477" s="9"/>
      <x:c r="R477" s="12" t="str">
        <x:f>IF(A477="","",IF(B477="","À compléter",IF(COUNTIFS($A$6:$A$505,A477,$B$6:$B$505,B477)&gt;1,"Doublon ville/mois",IF(OR(AND(ISNUMBER(H477),ISNUMBER(I477),I477&gt;H477),AND(ISNUMBER(M477),ISNUMBER(N477),N477&gt;M477),AND(ISNUMBER(O477),ISNUMBER(P477),P477&gt;O477)),"Incohérent",""))))</x:f>
      </x:c>
    </x:row>
    <x:row r="478" ht="23" customHeight="1">
      <x:c r="A478" s="9"/>
      <x:c r="B478" s="11"/>
      <x:c r="C478" s="10"/>
      <x:c r="D478" s="9"/>
      <x:c r="E478" s="9"/>
      <x:c r="F478" s="9"/>
      <x:c r="G478" s="9"/>
      <x:c r="H478" s="9"/>
      <x:c r="I478" s="9"/>
      <x:c r="J478" s="9"/>
      <x:c r="K478" s="9"/>
      <x:c r="L478" s="10"/>
      <x:c r="M478" s="9"/>
      <x:c r="N478" s="9"/>
      <x:c r="O478" s="9"/>
      <x:c r="P478" s="9"/>
      <x:c r="Q478" s="9"/>
      <x:c r="R478" s="12" t="str">
        <x:f>IF(A478="","",IF(B478="","À compléter",IF(COUNTIFS($A$6:$A$505,A478,$B$6:$B$505,B478)&gt;1,"Doublon ville/mois",IF(OR(AND(ISNUMBER(H478),ISNUMBER(I478),I478&gt;H478),AND(ISNUMBER(M478),ISNUMBER(N478),N478&gt;M478),AND(ISNUMBER(O478),ISNUMBER(P478),P478&gt;O478)),"Incohérent",""))))</x:f>
      </x:c>
    </x:row>
    <x:row r="479" ht="23" customHeight="1">
      <x:c r="A479" s="9"/>
      <x:c r="B479" s="11"/>
      <x:c r="C479" s="10"/>
      <x:c r="D479" s="9"/>
      <x:c r="E479" s="9"/>
      <x:c r="F479" s="9"/>
      <x:c r="G479" s="9"/>
      <x:c r="H479" s="9"/>
      <x:c r="I479" s="9"/>
      <x:c r="J479" s="9"/>
      <x:c r="K479" s="9"/>
      <x:c r="L479" s="10"/>
      <x:c r="M479" s="9"/>
      <x:c r="N479" s="9"/>
      <x:c r="O479" s="9"/>
      <x:c r="P479" s="9"/>
      <x:c r="Q479" s="9"/>
      <x:c r="R479" s="12" t="str">
        <x:f>IF(A479="","",IF(B479="","À compléter",IF(COUNTIFS($A$6:$A$505,A479,$B$6:$B$505,B479)&gt;1,"Doublon ville/mois",IF(OR(AND(ISNUMBER(H479),ISNUMBER(I479),I479&gt;H479),AND(ISNUMBER(M479),ISNUMBER(N479),N479&gt;M479),AND(ISNUMBER(O479),ISNUMBER(P479),P479&gt;O479)),"Incohérent",""))))</x:f>
      </x:c>
    </x:row>
    <x:row r="480" ht="23" customHeight="1">
      <x:c r="A480" s="9"/>
      <x:c r="B480" s="11"/>
      <x:c r="C480" s="10"/>
      <x:c r="D480" s="9"/>
      <x:c r="E480" s="9"/>
      <x:c r="F480" s="9"/>
      <x:c r="G480" s="9"/>
      <x:c r="H480" s="9"/>
      <x:c r="I480" s="9"/>
      <x:c r="J480" s="9"/>
      <x:c r="K480" s="9"/>
      <x:c r="L480" s="10"/>
      <x:c r="M480" s="9"/>
      <x:c r="N480" s="9"/>
      <x:c r="O480" s="9"/>
      <x:c r="P480" s="9"/>
      <x:c r="Q480" s="9"/>
      <x:c r="R480" s="12" t="str">
        <x:f>IF(A480="","",IF(B480="","À compléter",IF(COUNTIFS($A$6:$A$505,A480,$B$6:$B$505,B480)&gt;1,"Doublon ville/mois",IF(OR(AND(ISNUMBER(H480),ISNUMBER(I480),I480&gt;H480),AND(ISNUMBER(M480),ISNUMBER(N480),N480&gt;M480),AND(ISNUMBER(O480),ISNUMBER(P480),P480&gt;O480)),"Incohérent",""))))</x:f>
      </x:c>
    </x:row>
    <x:row r="481" ht="23" customHeight="1">
      <x:c r="A481" s="9"/>
      <x:c r="B481" s="11"/>
      <x:c r="C481" s="10"/>
      <x:c r="D481" s="9"/>
      <x:c r="E481" s="9"/>
      <x:c r="F481" s="9"/>
      <x:c r="G481" s="9"/>
      <x:c r="H481" s="9"/>
      <x:c r="I481" s="9"/>
      <x:c r="J481" s="9"/>
      <x:c r="K481" s="9"/>
      <x:c r="L481" s="10"/>
      <x:c r="M481" s="9"/>
      <x:c r="N481" s="9"/>
      <x:c r="O481" s="9"/>
      <x:c r="P481" s="9"/>
      <x:c r="Q481" s="9"/>
      <x:c r="R481" s="12" t="str">
        <x:f>IF(A481="","",IF(B481="","À compléter",IF(COUNTIFS($A$6:$A$505,A481,$B$6:$B$505,B481)&gt;1,"Doublon ville/mois",IF(OR(AND(ISNUMBER(H481),ISNUMBER(I481),I481&gt;H481),AND(ISNUMBER(M481),ISNUMBER(N481),N481&gt;M481),AND(ISNUMBER(O481),ISNUMBER(P481),P481&gt;O481)),"Incohérent",""))))</x:f>
      </x:c>
    </x:row>
    <x:row r="482" ht="23" customHeight="1">
      <x:c r="A482" s="9"/>
      <x:c r="B482" s="11"/>
      <x:c r="C482" s="10"/>
      <x:c r="D482" s="9"/>
      <x:c r="E482" s="9"/>
      <x:c r="F482" s="9"/>
      <x:c r="G482" s="9"/>
      <x:c r="H482" s="9"/>
      <x:c r="I482" s="9"/>
      <x:c r="J482" s="9"/>
      <x:c r="K482" s="9"/>
      <x:c r="L482" s="10"/>
      <x:c r="M482" s="9"/>
      <x:c r="N482" s="9"/>
      <x:c r="O482" s="9"/>
      <x:c r="P482" s="9"/>
      <x:c r="Q482" s="9"/>
      <x:c r="R482" s="12" t="str">
        <x:f>IF(A482="","",IF(B482="","À compléter",IF(COUNTIFS($A$6:$A$505,A482,$B$6:$B$505,B482)&gt;1,"Doublon ville/mois",IF(OR(AND(ISNUMBER(H482),ISNUMBER(I482),I482&gt;H482),AND(ISNUMBER(M482),ISNUMBER(N482),N482&gt;M482),AND(ISNUMBER(O482),ISNUMBER(P482),P482&gt;O482)),"Incohérent",""))))</x:f>
      </x:c>
    </x:row>
    <x:row r="483" ht="23" customHeight="1">
      <x:c r="A483" s="9"/>
      <x:c r="B483" s="11"/>
      <x:c r="C483" s="10"/>
      <x:c r="D483" s="9"/>
      <x:c r="E483" s="9"/>
      <x:c r="F483" s="9"/>
      <x:c r="G483" s="9"/>
      <x:c r="H483" s="9"/>
      <x:c r="I483" s="9"/>
      <x:c r="J483" s="9"/>
      <x:c r="K483" s="9"/>
      <x:c r="L483" s="10"/>
      <x:c r="M483" s="9"/>
      <x:c r="N483" s="9"/>
      <x:c r="O483" s="9"/>
      <x:c r="P483" s="9"/>
      <x:c r="Q483" s="9"/>
      <x:c r="R483" s="12" t="str">
        <x:f>IF(A483="","",IF(B483="","À compléter",IF(COUNTIFS($A$6:$A$505,A483,$B$6:$B$505,B483)&gt;1,"Doublon ville/mois",IF(OR(AND(ISNUMBER(H483),ISNUMBER(I483),I483&gt;H483),AND(ISNUMBER(M483),ISNUMBER(N483),N483&gt;M483),AND(ISNUMBER(O483),ISNUMBER(P483),P483&gt;O483)),"Incohérent",""))))</x:f>
      </x:c>
    </x:row>
    <x:row r="484" ht="23" customHeight="1">
      <x:c r="A484" s="9"/>
      <x:c r="B484" s="11"/>
      <x:c r="C484" s="10"/>
      <x:c r="D484" s="9"/>
      <x:c r="E484" s="9"/>
      <x:c r="F484" s="9"/>
      <x:c r="G484" s="9"/>
      <x:c r="H484" s="9"/>
      <x:c r="I484" s="9"/>
      <x:c r="J484" s="9"/>
      <x:c r="K484" s="9"/>
      <x:c r="L484" s="10"/>
      <x:c r="M484" s="9"/>
      <x:c r="N484" s="9"/>
      <x:c r="O484" s="9"/>
      <x:c r="P484" s="9"/>
      <x:c r="Q484" s="9"/>
      <x:c r="R484" s="12" t="str">
        <x:f>IF(A484="","",IF(B484="","À compléter",IF(COUNTIFS($A$6:$A$505,A484,$B$6:$B$505,B484)&gt;1,"Doublon ville/mois",IF(OR(AND(ISNUMBER(H484),ISNUMBER(I484),I484&gt;H484),AND(ISNUMBER(M484),ISNUMBER(N484),N484&gt;M484),AND(ISNUMBER(O484),ISNUMBER(P484),P484&gt;O484)),"Incohérent",""))))</x:f>
      </x:c>
    </x:row>
    <x:row r="485" ht="23" customHeight="1">
      <x:c r="A485" s="9"/>
      <x:c r="B485" s="11"/>
      <x:c r="C485" s="10"/>
      <x:c r="D485" s="9"/>
      <x:c r="E485" s="9"/>
      <x:c r="F485" s="9"/>
      <x:c r="G485" s="9"/>
      <x:c r="H485" s="9"/>
      <x:c r="I485" s="9"/>
      <x:c r="J485" s="9"/>
      <x:c r="K485" s="9"/>
      <x:c r="L485" s="10"/>
      <x:c r="M485" s="9"/>
      <x:c r="N485" s="9"/>
      <x:c r="O485" s="9"/>
      <x:c r="P485" s="9"/>
      <x:c r="Q485" s="9"/>
      <x:c r="R485" s="12" t="str">
        <x:f>IF(A485="","",IF(B485="","À compléter",IF(COUNTIFS($A$6:$A$505,A485,$B$6:$B$505,B485)&gt;1,"Doublon ville/mois",IF(OR(AND(ISNUMBER(H485),ISNUMBER(I485),I485&gt;H485),AND(ISNUMBER(M485),ISNUMBER(N485),N485&gt;M485),AND(ISNUMBER(O485),ISNUMBER(P485),P485&gt;O485)),"Incohérent",""))))</x:f>
      </x:c>
    </x:row>
    <x:row r="486" ht="23" customHeight="1">
      <x:c r="A486" s="9"/>
      <x:c r="B486" s="11"/>
      <x:c r="C486" s="10"/>
      <x:c r="D486" s="9"/>
      <x:c r="E486" s="9"/>
      <x:c r="F486" s="9"/>
      <x:c r="G486" s="9"/>
      <x:c r="H486" s="9"/>
      <x:c r="I486" s="9"/>
      <x:c r="J486" s="9"/>
      <x:c r="K486" s="9"/>
      <x:c r="L486" s="10"/>
      <x:c r="M486" s="9"/>
      <x:c r="N486" s="9"/>
      <x:c r="O486" s="9"/>
      <x:c r="P486" s="9"/>
      <x:c r="Q486" s="9"/>
      <x:c r="R486" s="12" t="str">
        <x:f>IF(A486="","",IF(B486="","À compléter",IF(COUNTIFS($A$6:$A$505,A486,$B$6:$B$505,B486)&gt;1,"Doublon ville/mois",IF(OR(AND(ISNUMBER(H486),ISNUMBER(I486),I486&gt;H486),AND(ISNUMBER(M486),ISNUMBER(N486),N486&gt;M486),AND(ISNUMBER(O486),ISNUMBER(P486),P486&gt;O486)),"Incohérent",""))))</x:f>
      </x:c>
    </x:row>
    <x:row r="487" ht="23" customHeight="1">
      <x:c r="A487" s="9"/>
      <x:c r="B487" s="11"/>
      <x:c r="C487" s="10"/>
      <x:c r="D487" s="9"/>
      <x:c r="E487" s="9"/>
      <x:c r="F487" s="9"/>
      <x:c r="G487" s="9"/>
      <x:c r="H487" s="9"/>
      <x:c r="I487" s="9"/>
      <x:c r="J487" s="9"/>
      <x:c r="K487" s="9"/>
      <x:c r="L487" s="10"/>
      <x:c r="M487" s="9"/>
      <x:c r="N487" s="9"/>
      <x:c r="O487" s="9"/>
      <x:c r="P487" s="9"/>
      <x:c r="Q487" s="9"/>
      <x:c r="R487" s="12" t="str">
        <x:f>IF(A487="","",IF(B487="","À compléter",IF(COUNTIFS($A$6:$A$505,A487,$B$6:$B$505,B487)&gt;1,"Doublon ville/mois",IF(OR(AND(ISNUMBER(H487),ISNUMBER(I487),I487&gt;H487),AND(ISNUMBER(M487),ISNUMBER(N487),N487&gt;M487),AND(ISNUMBER(O487),ISNUMBER(P487),P487&gt;O487)),"Incohérent",""))))</x:f>
      </x:c>
    </x:row>
    <x:row r="488" ht="23" customHeight="1">
      <x:c r="A488" s="9"/>
      <x:c r="B488" s="11"/>
      <x:c r="C488" s="10"/>
      <x:c r="D488" s="9"/>
      <x:c r="E488" s="9"/>
      <x:c r="F488" s="9"/>
      <x:c r="G488" s="9"/>
      <x:c r="H488" s="9"/>
      <x:c r="I488" s="9"/>
      <x:c r="J488" s="9"/>
      <x:c r="K488" s="9"/>
      <x:c r="L488" s="10"/>
      <x:c r="M488" s="9"/>
      <x:c r="N488" s="9"/>
      <x:c r="O488" s="9"/>
      <x:c r="P488" s="9"/>
      <x:c r="Q488" s="9"/>
      <x:c r="R488" s="12" t="str">
        <x:f>IF(A488="","",IF(B488="","À compléter",IF(COUNTIFS($A$6:$A$505,A488,$B$6:$B$505,B488)&gt;1,"Doublon ville/mois",IF(OR(AND(ISNUMBER(H488),ISNUMBER(I488),I488&gt;H488),AND(ISNUMBER(M488),ISNUMBER(N488),N488&gt;M488),AND(ISNUMBER(O488),ISNUMBER(P488),P488&gt;O488)),"Incohérent",""))))</x:f>
      </x:c>
    </x:row>
    <x:row r="489" ht="23" customHeight="1">
      <x:c r="A489" s="9"/>
      <x:c r="B489" s="11"/>
      <x:c r="C489" s="10"/>
      <x:c r="D489" s="9"/>
      <x:c r="E489" s="9"/>
      <x:c r="F489" s="9"/>
      <x:c r="G489" s="9"/>
      <x:c r="H489" s="9"/>
      <x:c r="I489" s="9"/>
      <x:c r="J489" s="9"/>
      <x:c r="K489" s="9"/>
      <x:c r="L489" s="10"/>
      <x:c r="M489" s="9"/>
      <x:c r="N489" s="9"/>
      <x:c r="O489" s="9"/>
      <x:c r="P489" s="9"/>
      <x:c r="Q489" s="9"/>
      <x:c r="R489" s="12" t="str">
        <x:f>IF(A489="","",IF(B489="","À compléter",IF(COUNTIFS($A$6:$A$505,A489,$B$6:$B$505,B489)&gt;1,"Doublon ville/mois",IF(OR(AND(ISNUMBER(H489),ISNUMBER(I489),I489&gt;H489),AND(ISNUMBER(M489),ISNUMBER(N489),N489&gt;M489),AND(ISNUMBER(O489),ISNUMBER(P489),P489&gt;O489)),"Incohérent",""))))</x:f>
      </x:c>
    </x:row>
    <x:row r="490" ht="23" customHeight="1">
      <x:c r="A490" s="9"/>
      <x:c r="B490" s="11"/>
      <x:c r="C490" s="10"/>
      <x:c r="D490" s="9"/>
      <x:c r="E490" s="9"/>
      <x:c r="F490" s="9"/>
      <x:c r="G490" s="9"/>
      <x:c r="H490" s="9"/>
      <x:c r="I490" s="9"/>
      <x:c r="J490" s="9"/>
      <x:c r="K490" s="9"/>
      <x:c r="L490" s="10"/>
      <x:c r="M490" s="9"/>
      <x:c r="N490" s="9"/>
      <x:c r="O490" s="9"/>
      <x:c r="P490" s="9"/>
      <x:c r="Q490" s="9"/>
      <x:c r="R490" s="12" t="str">
        <x:f>IF(A490="","",IF(B490="","À compléter",IF(COUNTIFS($A$6:$A$505,A490,$B$6:$B$505,B490)&gt;1,"Doublon ville/mois",IF(OR(AND(ISNUMBER(H490),ISNUMBER(I490),I490&gt;H490),AND(ISNUMBER(M490),ISNUMBER(N490),N490&gt;M490),AND(ISNUMBER(O490),ISNUMBER(P490),P490&gt;O490)),"Incohérent",""))))</x:f>
      </x:c>
    </x:row>
    <x:row r="491" ht="23" customHeight="1">
      <x:c r="A491" s="9"/>
      <x:c r="B491" s="11"/>
      <x:c r="C491" s="10"/>
      <x:c r="D491" s="9"/>
      <x:c r="E491" s="9"/>
      <x:c r="F491" s="9"/>
      <x:c r="G491" s="9"/>
      <x:c r="H491" s="9"/>
      <x:c r="I491" s="9"/>
      <x:c r="J491" s="9"/>
      <x:c r="K491" s="9"/>
      <x:c r="L491" s="10"/>
      <x:c r="M491" s="9"/>
      <x:c r="N491" s="9"/>
      <x:c r="O491" s="9"/>
      <x:c r="P491" s="9"/>
      <x:c r="Q491" s="9"/>
      <x:c r="R491" s="12" t="str">
        <x:f>IF(A491="","",IF(B491="","À compléter",IF(COUNTIFS($A$6:$A$505,A491,$B$6:$B$505,B491)&gt;1,"Doublon ville/mois",IF(OR(AND(ISNUMBER(H491),ISNUMBER(I491),I491&gt;H491),AND(ISNUMBER(M491),ISNUMBER(N491),N491&gt;M491),AND(ISNUMBER(O491),ISNUMBER(P491),P491&gt;O491)),"Incohérent",""))))</x:f>
      </x:c>
    </x:row>
    <x:row r="492" ht="23" customHeight="1">
      <x:c r="A492" s="9"/>
      <x:c r="B492" s="11"/>
      <x:c r="C492" s="10"/>
      <x:c r="D492" s="9"/>
      <x:c r="E492" s="9"/>
      <x:c r="F492" s="9"/>
      <x:c r="G492" s="9"/>
      <x:c r="H492" s="9"/>
      <x:c r="I492" s="9"/>
      <x:c r="J492" s="9"/>
      <x:c r="K492" s="9"/>
      <x:c r="L492" s="10"/>
      <x:c r="M492" s="9"/>
      <x:c r="N492" s="9"/>
      <x:c r="O492" s="9"/>
      <x:c r="P492" s="9"/>
      <x:c r="Q492" s="9"/>
      <x:c r="R492" s="12" t="str">
        <x:f>IF(A492="","",IF(B492="","À compléter",IF(COUNTIFS($A$6:$A$505,A492,$B$6:$B$505,B492)&gt;1,"Doublon ville/mois",IF(OR(AND(ISNUMBER(H492),ISNUMBER(I492),I492&gt;H492),AND(ISNUMBER(M492),ISNUMBER(N492),N492&gt;M492),AND(ISNUMBER(O492),ISNUMBER(P492),P492&gt;O492)),"Incohérent",""))))</x:f>
      </x:c>
    </x:row>
    <x:row r="493" ht="23" customHeight="1">
      <x:c r="A493" s="9"/>
      <x:c r="B493" s="11"/>
      <x:c r="C493" s="10"/>
      <x:c r="D493" s="9"/>
      <x:c r="E493" s="9"/>
      <x:c r="F493" s="9"/>
      <x:c r="G493" s="9"/>
      <x:c r="H493" s="9"/>
      <x:c r="I493" s="9"/>
      <x:c r="J493" s="9"/>
      <x:c r="K493" s="9"/>
      <x:c r="L493" s="10"/>
      <x:c r="M493" s="9"/>
      <x:c r="N493" s="9"/>
      <x:c r="O493" s="9"/>
      <x:c r="P493" s="9"/>
      <x:c r="Q493" s="9"/>
      <x:c r="R493" s="12" t="str">
        <x:f>IF(A493="","",IF(B493="","À compléter",IF(COUNTIFS($A$6:$A$505,A493,$B$6:$B$505,B493)&gt;1,"Doublon ville/mois",IF(OR(AND(ISNUMBER(H493),ISNUMBER(I493),I493&gt;H493),AND(ISNUMBER(M493),ISNUMBER(N493),N493&gt;M493),AND(ISNUMBER(O493),ISNUMBER(P493),P493&gt;O493)),"Incohérent",""))))</x:f>
      </x:c>
    </x:row>
    <x:row r="494" ht="23" customHeight="1">
      <x:c r="A494" s="9"/>
      <x:c r="B494" s="11"/>
      <x:c r="C494" s="10"/>
      <x:c r="D494" s="9"/>
      <x:c r="E494" s="9"/>
      <x:c r="F494" s="9"/>
      <x:c r="G494" s="9"/>
      <x:c r="H494" s="9"/>
      <x:c r="I494" s="9"/>
      <x:c r="J494" s="9"/>
      <x:c r="K494" s="9"/>
      <x:c r="L494" s="10"/>
      <x:c r="M494" s="9"/>
      <x:c r="N494" s="9"/>
      <x:c r="O494" s="9"/>
      <x:c r="P494" s="9"/>
      <x:c r="Q494" s="9"/>
      <x:c r="R494" s="12" t="str">
        <x:f>IF(A494="","",IF(B494="","À compléter",IF(COUNTIFS($A$6:$A$505,A494,$B$6:$B$505,B494)&gt;1,"Doublon ville/mois",IF(OR(AND(ISNUMBER(H494),ISNUMBER(I494),I494&gt;H494),AND(ISNUMBER(M494),ISNUMBER(N494),N494&gt;M494),AND(ISNUMBER(O494),ISNUMBER(P494),P494&gt;O494)),"Incohérent",""))))</x:f>
      </x:c>
    </x:row>
    <x:row r="495" ht="23" customHeight="1">
      <x:c r="A495" s="9"/>
      <x:c r="B495" s="11"/>
      <x:c r="C495" s="10"/>
      <x:c r="D495" s="9"/>
      <x:c r="E495" s="9"/>
      <x:c r="F495" s="9"/>
      <x:c r="G495" s="9"/>
      <x:c r="H495" s="9"/>
      <x:c r="I495" s="9"/>
      <x:c r="J495" s="9"/>
      <x:c r="K495" s="9"/>
      <x:c r="L495" s="10"/>
      <x:c r="M495" s="9"/>
      <x:c r="N495" s="9"/>
      <x:c r="O495" s="9"/>
      <x:c r="P495" s="9"/>
      <x:c r="Q495" s="9"/>
      <x:c r="R495" s="12" t="str">
        <x:f>IF(A495="","",IF(B495="","À compléter",IF(COUNTIFS($A$6:$A$505,A495,$B$6:$B$505,B495)&gt;1,"Doublon ville/mois",IF(OR(AND(ISNUMBER(H495),ISNUMBER(I495),I495&gt;H495),AND(ISNUMBER(M495),ISNUMBER(N495),N495&gt;M495),AND(ISNUMBER(O495),ISNUMBER(P495),P495&gt;O495)),"Incohérent",""))))</x:f>
      </x:c>
    </x:row>
    <x:row r="496" ht="23" customHeight="1">
      <x:c r="A496" s="9"/>
      <x:c r="B496" s="11"/>
      <x:c r="C496" s="10"/>
      <x:c r="D496" s="9"/>
      <x:c r="E496" s="9"/>
      <x:c r="F496" s="9"/>
      <x:c r="G496" s="9"/>
      <x:c r="H496" s="9"/>
      <x:c r="I496" s="9"/>
      <x:c r="J496" s="9"/>
      <x:c r="K496" s="9"/>
      <x:c r="L496" s="10"/>
      <x:c r="M496" s="9"/>
      <x:c r="N496" s="9"/>
      <x:c r="O496" s="9"/>
      <x:c r="P496" s="9"/>
      <x:c r="Q496" s="9"/>
      <x:c r="R496" s="12" t="str">
        <x:f>IF(A496="","",IF(B496="","À compléter",IF(COUNTIFS($A$6:$A$505,A496,$B$6:$B$505,B496)&gt;1,"Doublon ville/mois",IF(OR(AND(ISNUMBER(H496),ISNUMBER(I496),I496&gt;H496),AND(ISNUMBER(M496),ISNUMBER(N496),N496&gt;M496),AND(ISNUMBER(O496),ISNUMBER(P496),P496&gt;O496)),"Incohérent",""))))</x:f>
      </x:c>
    </x:row>
    <x:row r="497" ht="23" customHeight="1">
      <x:c r="A497" s="9"/>
      <x:c r="B497" s="11"/>
      <x:c r="C497" s="10"/>
      <x:c r="D497" s="9"/>
      <x:c r="E497" s="9"/>
      <x:c r="F497" s="9"/>
      <x:c r="G497" s="9"/>
      <x:c r="H497" s="9"/>
      <x:c r="I497" s="9"/>
      <x:c r="J497" s="9"/>
      <x:c r="K497" s="9"/>
      <x:c r="L497" s="10"/>
      <x:c r="M497" s="9"/>
      <x:c r="N497" s="9"/>
      <x:c r="O497" s="9"/>
      <x:c r="P497" s="9"/>
      <x:c r="Q497" s="9"/>
      <x:c r="R497" s="12" t="str">
        <x:f>IF(A497="","",IF(B497="","À compléter",IF(COUNTIFS($A$6:$A$505,A497,$B$6:$B$505,B497)&gt;1,"Doublon ville/mois",IF(OR(AND(ISNUMBER(H497),ISNUMBER(I497),I497&gt;H497),AND(ISNUMBER(M497),ISNUMBER(N497),N497&gt;M497),AND(ISNUMBER(O497),ISNUMBER(P497),P497&gt;O497)),"Incohérent",""))))</x:f>
      </x:c>
    </x:row>
    <x:row r="498" ht="23" customHeight="1">
      <x:c r="A498" s="9"/>
      <x:c r="B498" s="11"/>
      <x:c r="C498" s="10"/>
      <x:c r="D498" s="9"/>
      <x:c r="E498" s="9"/>
      <x:c r="F498" s="9"/>
      <x:c r="G498" s="9"/>
      <x:c r="H498" s="9"/>
      <x:c r="I498" s="9"/>
      <x:c r="J498" s="9"/>
      <x:c r="K498" s="9"/>
      <x:c r="L498" s="10"/>
      <x:c r="M498" s="9"/>
      <x:c r="N498" s="9"/>
      <x:c r="O498" s="9"/>
      <x:c r="P498" s="9"/>
      <x:c r="Q498" s="9"/>
      <x:c r="R498" s="12" t="str">
        <x:f>IF(A498="","",IF(B498="","À compléter",IF(COUNTIFS($A$6:$A$505,A498,$B$6:$B$505,B498)&gt;1,"Doublon ville/mois",IF(OR(AND(ISNUMBER(H498),ISNUMBER(I498),I498&gt;H498),AND(ISNUMBER(M498),ISNUMBER(N498),N498&gt;M498),AND(ISNUMBER(O498),ISNUMBER(P498),P498&gt;O498)),"Incohérent",""))))</x:f>
      </x:c>
    </x:row>
    <x:row r="499" ht="23" customHeight="1">
      <x:c r="A499" s="9"/>
      <x:c r="B499" s="11"/>
      <x:c r="C499" s="10"/>
      <x:c r="D499" s="9"/>
      <x:c r="E499" s="9"/>
      <x:c r="F499" s="9"/>
      <x:c r="G499" s="9"/>
      <x:c r="H499" s="9"/>
      <x:c r="I499" s="9"/>
      <x:c r="J499" s="9"/>
      <x:c r="K499" s="9"/>
      <x:c r="L499" s="10"/>
      <x:c r="M499" s="9"/>
      <x:c r="N499" s="9"/>
      <x:c r="O499" s="9"/>
      <x:c r="P499" s="9"/>
      <x:c r="Q499" s="9"/>
      <x:c r="R499" s="12" t="str">
        <x:f>IF(A499="","",IF(B499="","À compléter",IF(COUNTIFS($A$6:$A$505,A499,$B$6:$B$505,B499)&gt;1,"Doublon ville/mois",IF(OR(AND(ISNUMBER(H499),ISNUMBER(I499),I499&gt;H499),AND(ISNUMBER(M499),ISNUMBER(N499),N499&gt;M499),AND(ISNUMBER(O499),ISNUMBER(P499),P499&gt;O499)),"Incohérent",""))))</x:f>
      </x:c>
    </x:row>
    <x:row r="500" ht="23" customHeight="1">
      <x:c r="A500" s="9"/>
      <x:c r="B500" s="11"/>
      <x:c r="C500" s="10"/>
      <x:c r="D500" s="9"/>
      <x:c r="E500" s="9"/>
      <x:c r="F500" s="9"/>
      <x:c r="G500" s="9"/>
      <x:c r="H500" s="9"/>
      <x:c r="I500" s="9"/>
      <x:c r="J500" s="9"/>
      <x:c r="K500" s="9"/>
      <x:c r="L500" s="10"/>
      <x:c r="M500" s="9"/>
      <x:c r="N500" s="9"/>
      <x:c r="O500" s="9"/>
      <x:c r="P500" s="9"/>
      <x:c r="Q500" s="9"/>
      <x:c r="R500" s="12" t="str">
        <x:f>IF(A500="","",IF(B500="","À compléter",IF(COUNTIFS($A$6:$A$505,A500,$B$6:$B$505,B500)&gt;1,"Doublon ville/mois",IF(OR(AND(ISNUMBER(H500),ISNUMBER(I500),I500&gt;H500),AND(ISNUMBER(M500),ISNUMBER(N500),N500&gt;M500),AND(ISNUMBER(O500),ISNUMBER(P500),P500&gt;O500)),"Incohérent",""))))</x:f>
      </x:c>
    </x:row>
    <x:row r="501" ht="23" customHeight="1">
      <x:c r="A501" s="9"/>
      <x:c r="B501" s="11"/>
      <x:c r="C501" s="10"/>
      <x:c r="D501" s="9"/>
      <x:c r="E501" s="9"/>
      <x:c r="F501" s="9"/>
      <x:c r="G501" s="9"/>
      <x:c r="H501" s="9"/>
      <x:c r="I501" s="9"/>
      <x:c r="J501" s="9"/>
      <x:c r="K501" s="9"/>
      <x:c r="L501" s="10"/>
      <x:c r="M501" s="9"/>
      <x:c r="N501" s="9"/>
      <x:c r="O501" s="9"/>
      <x:c r="P501" s="9"/>
      <x:c r="Q501" s="9"/>
      <x:c r="R501" s="12" t="str">
        <x:f>IF(A501="","",IF(B501="","À compléter",IF(COUNTIFS($A$6:$A$505,A501,$B$6:$B$505,B501)&gt;1,"Doublon ville/mois",IF(OR(AND(ISNUMBER(H501),ISNUMBER(I501),I501&gt;H501),AND(ISNUMBER(M501),ISNUMBER(N501),N501&gt;M501),AND(ISNUMBER(O501),ISNUMBER(P501),P501&gt;O501)),"Incohérent",""))))</x:f>
      </x:c>
    </x:row>
    <x:row r="502" ht="23" customHeight="1">
      <x:c r="A502" s="9"/>
      <x:c r="B502" s="11"/>
      <x:c r="C502" s="10"/>
      <x:c r="D502" s="9"/>
      <x:c r="E502" s="9"/>
      <x:c r="F502" s="9"/>
      <x:c r="G502" s="9"/>
      <x:c r="H502" s="9"/>
      <x:c r="I502" s="9"/>
      <x:c r="J502" s="9"/>
      <x:c r="K502" s="9"/>
      <x:c r="L502" s="10"/>
      <x:c r="M502" s="9"/>
      <x:c r="N502" s="9"/>
      <x:c r="O502" s="9"/>
      <x:c r="P502" s="9"/>
      <x:c r="Q502" s="9"/>
      <x:c r="R502" s="12" t="str">
        <x:f>IF(A502="","",IF(B502="","À compléter",IF(COUNTIFS($A$6:$A$505,A502,$B$6:$B$505,B502)&gt;1,"Doublon ville/mois",IF(OR(AND(ISNUMBER(H502),ISNUMBER(I502),I502&gt;H502),AND(ISNUMBER(M502),ISNUMBER(N502),N502&gt;M502),AND(ISNUMBER(O502),ISNUMBER(P502),P502&gt;O502)),"Incohérent",""))))</x:f>
      </x:c>
    </x:row>
    <x:row r="503" ht="23" customHeight="1">
      <x:c r="A503" s="9"/>
      <x:c r="B503" s="11"/>
      <x:c r="C503" s="10"/>
      <x:c r="D503" s="9"/>
      <x:c r="E503" s="9"/>
      <x:c r="F503" s="9"/>
      <x:c r="G503" s="9"/>
      <x:c r="H503" s="9"/>
      <x:c r="I503" s="9"/>
      <x:c r="J503" s="9"/>
      <x:c r="K503" s="9"/>
      <x:c r="L503" s="10"/>
      <x:c r="M503" s="9"/>
      <x:c r="N503" s="9"/>
      <x:c r="O503" s="9"/>
      <x:c r="P503" s="9"/>
      <x:c r="Q503" s="9"/>
      <x:c r="R503" s="12" t="str">
        <x:f>IF(A503="","",IF(B503="","À compléter",IF(COUNTIFS($A$6:$A$505,A503,$B$6:$B$505,B503)&gt;1,"Doublon ville/mois",IF(OR(AND(ISNUMBER(H503),ISNUMBER(I503),I503&gt;H503),AND(ISNUMBER(M503),ISNUMBER(N503),N503&gt;M503),AND(ISNUMBER(O503),ISNUMBER(P503),P503&gt;O503)),"Incohérent",""))))</x:f>
      </x:c>
    </x:row>
    <x:row r="504" ht="23" customHeight="1">
      <x:c r="A504" s="9"/>
      <x:c r="B504" s="11"/>
      <x:c r="C504" s="10"/>
      <x:c r="D504" s="9"/>
      <x:c r="E504" s="9"/>
      <x:c r="F504" s="9"/>
      <x:c r="G504" s="9"/>
      <x:c r="H504" s="9"/>
      <x:c r="I504" s="9"/>
      <x:c r="J504" s="9"/>
      <x:c r="K504" s="9"/>
      <x:c r="L504" s="10"/>
      <x:c r="M504" s="9"/>
      <x:c r="N504" s="9"/>
      <x:c r="O504" s="9"/>
      <x:c r="P504" s="9"/>
      <x:c r="Q504" s="9"/>
      <x:c r="R504" s="12" t="str">
        <x:f>IF(A504="","",IF(B504="","À compléter",IF(COUNTIFS($A$6:$A$505,A504,$B$6:$B$505,B504)&gt;1,"Doublon ville/mois",IF(OR(AND(ISNUMBER(H504),ISNUMBER(I504),I504&gt;H504),AND(ISNUMBER(M504),ISNUMBER(N504),N504&gt;M504),AND(ISNUMBER(O504),ISNUMBER(P504),P504&gt;O504)),"Incohérent",""))))</x:f>
      </x:c>
    </x:row>
    <x:row r="505" ht="23" customHeight="1">
      <x:c r="A505" s="9"/>
      <x:c r="B505" s="11"/>
      <x:c r="C505" s="10"/>
      <x:c r="D505" s="9"/>
      <x:c r="E505" s="9"/>
      <x:c r="F505" s="9"/>
      <x:c r="G505" s="9"/>
      <x:c r="H505" s="9"/>
      <x:c r="I505" s="9"/>
      <x:c r="J505" s="9"/>
      <x:c r="K505" s="9"/>
      <x:c r="L505" s="10"/>
      <x:c r="M505" s="9"/>
      <x:c r="N505" s="9"/>
      <x:c r="O505" s="9"/>
      <x:c r="P505" s="9"/>
      <x:c r="Q505" s="9"/>
      <x:c r="R505" s="12" t="str">
        <x:f>IF(A505="","",IF(B505="","À compléter",IF(COUNTIFS($A$6:$A$505,A505,$B$6:$B$505,B505)&gt;1,"Doublon ville/mois",IF(OR(AND(ISNUMBER(H505),ISNUMBER(I505),I505&gt;H505),AND(ISNUMBER(M505),ISNUMBER(N505),N505&gt;M505),AND(ISNUMBER(O505),ISNUMBER(P505),P505&gt;O505)),"Incohérent",""))))</x:f>
      </x:c>
    </x:row>
  </x:sheetData>
  <x:conditionalFormatting sqref="R6:R505">
    <x:cfRule type="containsText" dxfId="0" priority="1" operator="containsText" text="Retard"/>
    <x:cfRule type="containsText" dxfId="1" priority="2" operator="containsText" text="Expiré"/>
    <x:cfRule type="containsText" dxfId="2" priority="3" operator="containsText" text="À compléter"/>
    <x:cfRule type="containsText" dxfId="3" priority="4" operator="containsText" text="Incohérent"/>
    <x:cfRule type="containsText" dxfId="4" priority="5" operator="containsText" text="Doublon"/>
    <x:cfRule type="containsText" dxfId="5" priority="6" operator="containsText" text="À renouveler"/>
  </x:conditionalFormatting>
  <x:dataValidations count="1">
    <x:dataValidation type="list" sqref="A6:A505">
      <x:formula1>'Paramètres'!$A$6:$A$25</x:formula1>
    </x:dataValidation>
  </x:dataValidations>
  <x:pageMargins left="0.7" right="0.7" top="0.75" bottom="0.75" header="0.3" footer="0.3"/>
  <x:tableParts count="1">
    <x:tablePart xmlns:r="http://schemas.openxmlformats.org/officeDocument/2006/relationships" r:id="Ra2899d02c55948d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9" hidden="0" customWidth="1"/>
    <x:col min="2" max="2" width="23" hidden="0" customWidth="1"/>
    <x:col min="4" max="4" width="45" hidden="0" customWidth="1"/>
    <x:col min="5" max="5" width="18" hidden="0" customWidth="1"/>
    <x:col min="6" max="6" width="22" hidden="0" customWidth="1"/>
    <x:col min="7" max="7" width="22" hidden="0" customWidth="1"/>
    <x:col min="8" max="8" width="22" hidden="0" customWidth="1"/>
  </x:cols>
  <x:sheetData>
    <x:row r="1" ht="23" customHeight="1">
      <x:c r="A1" s="2"/>
      <x:c r="B1" s="2"/>
      <x:c r="C1" s="2"/>
      <x:c r="D1" s="2"/>
      <x:c r="E1" s="2"/>
      <x:c r="F1" s="2"/>
      <x:c r="G1" s="2"/>
      <x:c r="H1" s="2"/>
    </x:row>
    <x:row r="2" ht="23" customHeight="1">
      <x:c r="A2" s="3" t="str">
        <x:v>Paramètres communs</x:v>
      </x:c>
      <x:c r="B2" s="2"/>
      <x:c r="C2" s="2"/>
      <x:c r="D2" s="2"/>
      <x:c r="E2" s="2"/>
      <x:c r="F2" s="2"/>
      <x:c r="G2" s="2"/>
      <x:c r="H2" s="2"/>
    </x:row>
    <x:row r="3" ht="23" customHeight="1">
      <x:c r="A3" s="4"/>
      <x:c r="B3" s="4"/>
      <x:c r="C3" s="4"/>
      <x:c r="D3" s="4"/>
      <x:c r="E3" s="4"/>
      <x:c r="F3" s="4"/>
      <x:c r="G3" s="4"/>
      <x:c r="H3" s="4"/>
    </x:row>
    <x:row r="4" ht="23" customHeight="1">
      <x:c r="A4" s="2"/>
      <x:c r="B4" s="2"/>
      <x:c r="C4" s="2"/>
      <x:c r="D4" s="2"/>
      <x:c r="E4" s="2"/>
      <x:c r="F4" s="2"/>
      <x:c r="G4" s="2"/>
      <x:c r="H4" s="2"/>
    </x:row>
    <x:row r="5" ht="38" customHeight="1">
      <x:c r="A5" s="8" t="str">
        <x:v>Villes disponibles</x:v>
      </x:c>
      <x:c r="B5" s="8" t="str">
        <x:v>Mode de saisie</x:v>
      </x:c>
      <x:c r="C5" s="2"/>
      <x:c r="D5" s="8" t="str">
        <x:v>Réglage</x:v>
      </x:c>
      <x:c r="E5" s="8" t="str">
        <x:v>Valeur</x:v>
      </x:c>
      <x:c r="F5" s="2"/>
      <x:c r="G5" s="2"/>
      <x:c r="H5" s="2"/>
    </x:row>
    <x:row r="6" ht="23" customHeight="1">
      <x:c r="A6" s="9" t="str">
        <x:v>Lille</x:v>
      </x:c>
      <x:c r="B6" s="2" t="str">
        <x:v>Ajouter une ville dessous</x:v>
      </x:c>
      <x:c r="C6" s="2"/>
      <x:c r="D6" s="2" t="str">
        <x:v>Préavis échéances (jours)</x:v>
      </x:c>
      <x:c r="E6" s="9" t="n">
        <x:v>30</x:v>
      </x:c>
      <x:c r="F6" s="2"/>
      <x:c r="G6" s="2"/>
      <x:c r="H6" s="2"/>
    </x:row>
    <x:row r="7" ht="23" customHeight="1">
      <x:c r="A7" s="9"/>
      <x:c r="B7" s="2"/>
      <x:c r="C7" s="2"/>
      <x:c r="D7" s="2" t="str">
        <x:v>Objectif qualité (fraction de 1)</x:v>
      </x:c>
      <x:c r="E7" s="10"/>
      <x:c r="F7" s="2"/>
      <x:c r="G7" s="2"/>
      <x:c r="H7" s="2"/>
    </x:row>
    <x:row r="8" ht="23" customHeight="1">
      <x:c r="A8" s="9"/>
      <x:c r="B8" s="2"/>
      <x:c r="C8" s="2"/>
      <x:c r="D8" s="2" t="str">
        <x:v>Objectif PdP complet (fraction de 1)</x:v>
      </x:c>
      <x:c r="E8" s="10"/>
      <x:c r="F8" s="2"/>
      <x:c r="G8" s="2"/>
      <x:c r="H8" s="2"/>
    </x:row>
    <x:row r="9" ht="23" customHeight="1">
      <x:c r="A9" s="9"/>
      <x:c r="B9" s="2"/>
      <x:c r="C9" s="2"/>
      <x:c r="D9" s="2" t="str">
        <x:v>Délai réponse RC (jours calendaires)</x:v>
      </x:c>
      <x:c r="E9" s="9"/>
      <x:c r="F9" s="2"/>
      <x:c r="G9" s="2"/>
      <x:c r="H9" s="2"/>
    </x:row>
    <x:row r="10" ht="23" customHeight="1">
      <x:c r="A10" s="9"/>
      <x:c r="B10" s="2"/>
      <x:c r="C10" s="2"/>
      <x:c r="D10" s="2"/>
      <x:c r="E10" s="2"/>
      <x:c r="F10" s="2"/>
      <x:c r="G10" s="2"/>
      <x:c r="H10" s="2"/>
    </x:row>
    <x:row r="11" ht="23" customHeight="1">
      <x:c r="A11" s="9"/>
      <x:c r="B11" s="2"/>
      <x:c r="C11" s="2"/>
      <x:c r="D11" s="2" t="str">
        <x:v>Objectifs et délai RC à définir par votre organisation.</x:v>
      </x:c>
      <x:c r="E11" s="2"/>
      <x:c r="F11" s="2"/>
      <x:c r="G11" s="2"/>
      <x:c r="H11" s="2"/>
    </x:row>
    <x:row r="12" ht="23" customHeight="1">
      <x:c r="A12" s="9"/>
      <x:c r="B12" s="2"/>
      <x:c r="C12" s="2"/>
      <x:c r="D12" s="2" t="str">
        <x:v>Préavis de 30 jours proposé et modifiable.</x:v>
      </x:c>
      <x:c r="E12" s="2"/>
      <x:c r="F12" s="2"/>
      <x:c r="G12" s="2"/>
      <x:c r="H12" s="2"/>
    </x:row>
    <x:row r="13" ht="23" customHeight="1">
      <x:c r="A13" s="9"/>
      <x:c r="B13" s="2"/>
      <x:c r="C13" s="2"/>
      <x:c r="D13" s="2"/>
      <x:c r="E13" s="2"/>
      <x:c r="F13" s="2"/>
      <x:c r="G13" s="2"/>
      <x:c r="H13" s="2"/>
    </x:row>
    <x:row r="14" ht="23" customHeight="1">
      <x:c r="A14" s="9"/>
      <x:c r="B14" s="2"/>
      <x:c r="C14" s="2"/>
      <x:c r="D14" s="2" t="str">
        <x:v>La date de situation pilote les alertes de stock.</x:v>
      </x:c>
      <x:c r="E14" s="2"/>
      <x:c r="F14" s="2"/>
      <x:c r="G14" s="2"/>
      <x:c r="H14" s="2"/>
    </x:row>
    <x:row r="15" ht="23" customHeight="1">
      <x:c r="A15" s="9"/>
      <x:c r="B15" s="2"/>
      <x:c r="C15" s="2"/>
      <x:c r="D15" s="2" t="str">
        <x:v>Le mois pilote les contrôles, les RC et le suivi mensuel.</x:v>
      </x:c>
      <x:c r="E15" s="2"/>
      <x:c r="F15" s="2"/>
      <x:c r="G15" s="2"/>
      <x:c r="H15" s="2"/>
    </x:row>
    <x:row r="16" ht="23" customHeight="1">
      <x:c r="A16" s="9"/>
      <x:c r="B16" s="2"/>
      <x:c r="C16" s="2"/>
      <x:c r="D16" s="2"/>
      <x:c r="E16" s="2"/>
      <x:c r="F16" s="2"/>
      <x:c r="G16" s="2"/>
      <x:c r="H16" s="2"/>
    </x:row>
    <x:row r="17" ht="23" customHeight="1">
      <x:c r="A17" s="9"/>
      <x:c r="B17" s="2"/>
      <x:c r="C17" s="2"/>
      <x:c r="D17" s="2"/>
      <x:c r="E17" s="2"/>
      <x:c r="F17" s="2"/>
      <x:c r="G17" s="2"/>
      <x:c r="H17" s="2"/>
    </x:row>
    <x:row r="18" ht="23" customHeight="1">
      <x:c r="A18" s="9"/>
      <x:c r="B18" s="2"/>
      <x:c r="C18" s="2"/>
      <x:c r="D18" s="2"/>
      <x:c r="E18" s="2"/>
      <x:c r="F18" s="2"/>
      <x:c r="G18" s="2"/>
      <x:c r="H18" s="2"/>
    </x:row>
    <x:row r="19" ht="23" customHeight="1">
      <x:c r="A19" s="9"/>
      <x:c r="B19" s="2"/>
      <x:c r="C19" s="2"/>
      <x:c r="D19" s="2"/>
      <x:c r="E19" s="2"/>
      <x:c r="F19" s="2"/>
      <x:c r="G19" s="2"/>
      <x:c r="H19" s="2"/>
    </x:row>
    <x:row r="20" ht="23" customHeight="1">
      <x:c r="A20" s="9"/>
      <x:c r="B20" s="2"/>
      <x:c r="C20" s="2"/>
      <x:c r="D20" s="2"/>
      <x:c r="E20" s="2"/>
      <x:c r="F20" s="2"/>
      <x:c r="G20" s="2"/>
      <x:c r="H20" s="2"/>
    </x:row>
    <x:row r="21" ht="23" customHeight="1">
      <x:c r="A21" s="9"/>
      <x:c r="B21" s="2"/>
      <x:c r="C21" s="2"/>
      <x:c r="D21" s="2"/>
      <x:c r="E21" s="2"/>
      <x:c r="F21" s="2"/>
      <x:c r="G21" s="2"/>
      <x:c r="H21" s="2"/>
    </x:row>
    <x:row r="22" ht="23" customHeight="1">
      <x:c r="A22" s="9"/>
      <x:c r="B22" s="2"/>
      <x:c r="C22" s="2"/>
      <x:c r="D22" s="2"/>
      <x:c r="E22" s="2"/>
      <x:c r="F22" s="2"/>
      <x:c r="G22" s="2"/>
      <x:c r="H22" s="2"/>
    </x:row>
    <x:row r="23" ht="23" customHeight="1">
      <x:c r="A23" s="9"/>
      <x:c r="B23" s="2"/>
      <x:c r="C23" s="2"/>
      <x:c r="D23" s="2"/>
      <x:c r="E23" s="2"/>
      <x:c r="F23" s="2"/>
      <x:c r="G23" s="2"/>
      <x:c r="H23" s="2"/>
    </x:row>
    <x:row r="24" ht="23" customHeight="1">
      <x:c r="A24" s="9"/>
      <x:c r="B24" s="2"/>
      <x:c r="C24" s="2"/>
      <x:c r="D24" s="2"/>
      <x:c r="E24" s="2"/>
      <x:c r="F24" s="2"/>
      <x:c r="G24" s="2"/>
      <x:c r="H24" s="2"/>
    </x:row>
    <x:row r="25" ht="23" customHeight="1">
      <x:c r="A25" s="9"/>
      <x:c r="B25" s="2"/>
      <x:c r="C25" s="2"/>
      <x:c r="D25" s="2"/>
      <x:c r="E25" s="2"/>
      <x:c r="F25" s="2"/>
      <x:c r="G25" s="2"/>
      <x:c r="H25" s="2"/>
    </x:row>
    <x:row r="26" ht="23" customHeight="1">
      <x:c r="A26" s="2"/>
      <x:c r="B26" s="2"/>
      <x:c r="C26" s="2"/>
      <x:c r="D26" s="2"/>
      <x:c r="E26" s="2"/>
      <x:c r="F26" s="2"/>
      <x:c r="G26" s="2"/>
      <x:c r="H26" s="2"/>
    </x:row>
    <x:row r="27" ht="23" customHeight="1">
      <x:c r="A27" s="2"/>
      <x:c r="B27" s="2"/>
      <x:c r="C27" s="2"/>
      <x:c r="D27" s="2"/>
      <x:c r="E27" s="2"/>
      <x:c r="F27" s="2"/>
      <x:c r="G27" s="2"/>
      <x:c r="H27" s="2"/>
    </x:row>
    <x:row r="28" ht="23" customHeight="1">
      <x:c r="A28" s="2"/>
      <x:c r="B28" s="2"/>
      <x:c r="C28" s="2"/>
      <x:c r="D28" s="2"/>
      <x:c r="E28" s="2"/>
      <x:c r="F28" s="2"/>
      <x:c r="G28" s="2"/>
      <x:c r="H28" s="2"/>
    </x:row>
    <x:row r="29" ht="23" customHeight="1">
      <x:c r="A29" s="2"/>
      <x:c r="B29" s="2"/>
      <x:c r="C29" s="2"/>
      <x:c r="D29" s="2"/>
      <x:c r="E29" s="2"/>
      <x:c r="F29" s="2"/>
      <x:c r="G29" s="2"/>
      <x:c r="H29" s="2"/>
    </x:row>
    <x:row r="30" ht="23" customHeight="1">
      <x:c r="A30" s="2"/>
      <x:c r="B30" s="2"/>
      <x:c r="C30" s="2"/>
      <x:c r="D30" s="2"/>
      <x:c r="E30" s="2"/>
      <x:c r="F30" s="2"/>
      <x:c r="G30" s="2"/>
      <x:c r="H30" s="2"/>
    </x:row>
    <x:row r="31" ht="23" customHeight="1">
      <x:c r="A31" s="2"/>
      <x:c r="B31" s="2"/>
      <x:c r="C31" s="2"/>
      <x:c r="D31" s="2"/>
      <x:c r="E31" s="2"/>
      <x:c r="F31" s="2"/>
      <x:c r="G31" s="2"/>
      <x:c r="H31" s="2"/>
    </x:row>
    <x:row r="32" ht="23" customHeight="1">
      <x:c r="A32" s="2"/>
      <x:c r="B32" s="2"/>
      <x:c r="C32" s="2"/>
      <x:c r="D32" s="2"/>
      <x:c r="E32" s="2"/>
      <x:c r="F32" s="2"/>
      <x:c r="G32" s="2"/>
      <x:c r="H32" s="2"/>
    </x:row>
    <x:row r="33" ht="23" customHeight="1">
      <x:c r="A33" s="2"/>
      <x:c r="B33" s="2"/>
      <x:c r="C33" s="2"/>
      <x:c r="D33" s="2"/>
      <x:c r="E33" s="2"/>
      <x:c r="F33" s="2"/>
      <x:c r="G33" s="2"/>
      <x:c r="H33" s="2"/>
    </x:row>
    <x:row r="34" ht="23" customHeight="1">
      <x:c r="A34" s="2"/>
      <x:c r="B34" s="2"/>
      <x:c r="C34" s="2"/>
      <x:c r="D34" s="2"/>
      <x:c r="E34" s="2"/>
      <x:c r="F34" s="2"/>
      <x:c r="G34" s="2"/>
      <x:c r="H34" s="2"/>
    </x:row>
    <x:row r="35" ht="23" customHeight="1">
      <x:c r="A35" s="2"/>
      <x:c r="B35" s="2"/>
      <x:c r="C35" s="2"/>
      <x:c r="D35" s="2"/>
      <x:c r="E35" s="2"/>
      <x:c r="F35" s="2"/>
      <x:c r="G35" s="2"/>
      <x:c r="H35" s="2"/>
    </x:row>
    <x:row r="36" ht="23" customHeight="1">
      <x:c r="A36" s="2"/>
      <x:c r="B36" s="2"/>
      <x:c r="C36" s="2"/>
      <x:c r="D36" s="2"/>
      <x:c r="E36" s="2"/>
      <x:c r="F36" s="2"/>
      <x:c r="G36" s="2"/>
      <x:c r="H36" s="2"/>
    </x:row>
    <x:row r="37" ht="23" customHeight="1">
      <x:c r="A37" s="2"/>
      <x:c r="B37" s="2"/>
      <x:c r="C37" s="2"/>
      <x:c r="D37" s="2"/>
      <x:c r="E37" s="2"/>
      <x:c r="F37" s="2"/>
      <x:c r="G37" s="2"/>
      <x:c r="H37" s="2"/>
    </x:row>
    <x:row r="38" ht="23" customHeight="1">
      <x:c r="A38" s="2"/>
      <x:c r="B38" s="2"/>
      <x:c r="C38" s="2"/>
      <x:c r="D38" s="2"/>
      <x:c r="E38" s="2"/>
      <x:c r="F38" s="2"/>
      <x:c r="G38" s="2"/>
      <x:c r="H38" s="2"/>
    </x:row>
    <x:row r="39" ht="23" customHeight="1">
      <x:c r="A39" s="2"/>
      <x:c r="B39" s="2"/>
      <x:c r="C39" s="2"/>
      <x:c r="D39" s="2"/>
      <x:c r="E39" s="2"/>
      <x:c r="F39" s="2"/>
      <x:c r="G39" s="2"/>
      <x:c r="H39" s="2"/>
    </x:row>
    <x:row r="40" ht="23" customHeight="1">
      <x:c r="A40" s="2"/>
      <x:c r="B40" s="2"/>
      <x:c r="C40" s="2"/>
      <x:c r="D40" s="2"/>
      <x:c r="E40" s="2"/>
      <x:c r="F40" s="2"/>
      <x:c r="G40" s="2"/>
      <x:c r="H40" s="2"/>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3" hidden="0" customWidth="1"/>
    <x:col min="2" max="2" width="112" hidden="0" customWidth="1"/>
    <x:col min="3" max="3" width="54" hidden="0" customWidth="1"/>
    <x:col min="4" max="4" width="18" hidden="0" customWidth="1"/>
  </x:cols>
  <x:sheetData>
    <x:row r="1" ht="23" customHeight="1">
      <x:c r="A1" s="2"/>
      <x:c r="B1" s="2"/>
      <x:c r="C1" s="2"/>
      <x:c r="D1" s="2"/>
    </x:row>
    <x:row r="2" ht="23" customHeight="1">
      <x:c r="A2" s="3" t="str">
        <x:v>Analyse du fichier et utilisation</x:v>
      </x:c>
      <x:c r="B2" s="2"/>
      <x:c r="C2" s="2"/>
      <x:c r="D2" s="2"/>
    </x:row>
    <x:row r="3" ht="23" customHeight="1">
      <x:c r="A3" s="4"/>
      <x:c r="B3" s="4"/>
      <x:c r="C3" s="4"/>
      <x:c r="D3" s="4"/>
    </x:row>
    <x:row r="4" ht="23" customHeight="1">
      <x:c r="A4" s="2"/>
      <x:c r="B4" s="2"/>
      <x:c r="C4" s="2"/>
      <x:c r="D4" s="2"/>
    </x:row>
    <x:row r="5" ht="48" customHeight="1">
      <x:c r="A5" s="20" t="str">
        <x:v>Source</x:v>
      </x:c>
      <x:c r="B5" s="19" t="str">
        <x:v>Lille_TDB QSE.xlsm. Analyse des valeurs, dates, formules et tableaux présents. Aucune macro exécutée.</x:v>
      </x:c>
      <x:c r="C5" s="19" t="str">
        <x:v>Classeur original conservé.</x:v>
      </x:c>
      <x:c r="D5" s="2"/>
    </x:row>
    <x:row r="6" ht="48" customHeight="1">
      <x:c r="A6" s="20" t="str">
        <x:v>Périmètre</x:v>
      </x:c>
      <x:c r="B6" s="19" t="str">
        <x:v>Pilotage QSE d’agence. Reprise des registres exploitables et création d’un modèle commun par ville.</x:v>
      </x:c>
      <x:c r="C6" s="19" t="str"/>
      <x:c r="D6" s="2"/>
    </x:row>
    <x:row r="7" ht="48" customHeight="1">
      <x:c r="A7" s="20" t="str">
        <x:v>Période initiale</x:v>
      </x:c>
      <x:c r="B7" s="19" t="str">
        <x:v>Juillet 2026 est proposé car les 49 contrôles détaillés sont datés de ce mois. Situation des registres au 14/09/2026.</x:v>
      </x:c>
      <x:c r="C7" s="19" t="str">
        <x:v>Contrôles qualité et cellules TODAY source</x:v>
      </x:c>
      <x:c r="D7" s="2"/>
    </x:row>
    <x:row r="8" ht="48" customHeight="1">
      <x:c r="A8" s="20" t="str">
        <x:v>Qualité</x:v>
      </x:c>
      <x:c r="B8" s="19" t="str">
        <x:v>49 contrôles, moyenne 95,2606 %. Un ancien TCD affiche 101 contrôles et un autre une moyenne de 94,0828 %. Les TCD ne sont pas utilisés.</x:v>
      </x:c>
      <x:c r="C8" s="19" t="str">
        <x:v>Indice qualité et nb contrôle!A3:F51 ; Indicateurs!C78</x:v>
      </x:c>
      <x:c r="D8" s="2"/>
    </x:row>
    <x:row r="9" ht="48" customHeight="1">
      <x:c r="A9" s="20" t="str">
        <x:v>Plans de prévention</x:v>
      </x:c>
      <x:c r="B9" s="19" t="str">
        <x:v>51 lignes client conservées. OTP C/005847 présent deux fois. Aucun regroupement automatique : confirmer si les deux lignes désignent le même périmètre.</x:v>
      </x:c>
      <x:c r="C9" s="19" t="str">
        <x:v>Suivi PdP!A34:B34 et A45:B45</x:v>
      </x:c>
      <x:c r="D9" s="2"/>
    </x:row>
    <x:row r="10" ht="48" customHeight="1">
      <x:c r="A10" s="20" t="str">
        <x:v>Définition PdP corrigée</x:v>
      </x:c>
      <x:c r="B10" s="19" t="str">
        <x:v>La formule source « signé et commenté » ne vérifie pas la signature client. Le nouvel indicateur exige explicitement les deux signatures.</x:v>
      </x:c>
      <x:c r="C10" s="19" t="str">
        <x:v>Suivi PdP!J4</x:v>
      </x:c>
      <x:c r="D10" s="2"/>
    </x:row>
    <x:row r="11" ht="48" customHeight="1">
      <x:c r="A11" s="20" t="str">
        <x:v>Échéances PdP</x:v>
      </x:c>
      <x:c r="B11" s="19" t="str">
        <x:v>Les échéances enregistrées sont reprises telles quelles. La durée de 99 ans de l’agence doit être confirmée. Les jours restants sont recalculés uniformément.</x:v>
      </x:c>
      <x:c r="C11" s="19" t="str">
        <x:v>Suivi PdP!H12:I12 ; J42, J53</x:v>
      </x:c>
      <x:c r="D11" s="2"/>
    </x:row>
    <x:row r="12" ht="48" customHeight="1">
      <x:c r="A12" s="20" t="str">
        <x:v>Dates</x:v>
      </x:c>
      <x:c r="B12" s="19" t="str">
        <x:v>Des dates RC sont stockées en texte. Les dates valides sont converties en dates Excel. La date de démarrage 31/04/2024 est impossible.</x:v>
      </x:c>
      <x:c r="C12" s="19" t="str">
        <x:v>Tableau suivi RC !L3 ; Suivi PdP!F44</x:v>
      </x:c>
      <x:c r="D12" s="2"/>
    </x:row>
    <x:row r="13" ht="48" customHeight="1">
      <x:c r="A13" s="20" t="str">
        <x:v>Erreurs de calcul</x:v>
      </x:c>
      <x:c r="B13" s="19" t="str">
        <x:v>14 cellules contiennent des erreurs enregistrées : divisions par zéro, références invalides et valeurs non exploitables. Elles ne sont pas propagées.</x:v>
      </x:c>
      <x:c r="C13" s="19" t="str">
        <x:v>Indicateurs (2), Compilation (2), PdP (1), RC (2), Papier (7)</x:v>
      </x:c>
      <x:c r="D13" s="2"/>
    </x:row>
    <x:row r="14" ht="48" customHeight="1">
      <x:c r="A14" s="20" t="str">
        <x:v>Actions</x:v>
      </x:c>
      <x:c r="B14" s="19" t="str">
        <x:v>Les lignes réellement renseignées sont reprises avec un ID AP ou AC. La date de réalisation pilote la clôture. L’efficacité reste une évaluation distincte.</x:v>
      </x:c>
      <x:c r="C14" s="19" t="str">
        <x:v>Deux plans d’actions, lignes à partir de 16</x:v>
      </x:c>
      <x:c r="D14" s="2"/>
    </x:row>
    <x:row r="15" ht="48" customHeight="1">
      <x:c r="A15" s="20" t="str">
        <x:v>Efficacité des actions</x:v>
      </x:c>
      <x:c r="B15" s="19" t="str">
        <x:v>Les totaux source d’efficacité dépassent les actions renseignées. Filtrer les actions réalisées sans évaluation avant de conclure à leur efficacité.</x:v>
      </x:c>
      <x:c r="C15" s="19" t="str">
        <x:v>Plans d’actions!L5:L8</x:v>
      </x:c>
      <x:c r="D15" s="2"/>
    </x:row>
    <x:row r="16" ht="48" customHeight="1">
      <x:c r="A16" s="20" t="str">
        <x:v>Habilitations et VPO</x:v>
      </x:c>
      <x:c r="B16" s="19" t="str">
        <x:v>Les échéances concernent les habilitations, les VPO et les exercices. Un titre à jour ne prouve pas que l’autorisation employeur est renseignée.</x:v>
      </x:c>
      <x:c r="C16" s="19" t="str">
        <x:v>Suivi Habilitations!F9:F11 vide</x:v>
      </x:c>
      <x:c r="D16" s="2"/>
    </x:row>
    <x:row r="17" ht="48" customHeight="1">
      <x:c r="A17" s="20" t="str">
        <x:v>Réclamations</x:v>
      </x:c>
      <x:c r="B17" s="19" t="str">
        <x:v>23 dossiers repris, toutes catégories conservées. Le KPI mensuel compte uniquement la catégorie Réclamation, selon la date de réception.</x:v>
      </x:c>
      <x:c r="C17" s="19" t="str">
        <x:v>Tableau suivi RC !A3:V25</x:v>
      </x:c>
      <x:c r="D17" s="2"/>
    </x:row>
    <x:row r="18" ht="48" customHeight="1">
      <x:c r="A18" s="20" t="str">
        <x:v>Délais de réponse</x:v>
      </x:c>
      <x:c r="B18" s="19" t="str">
        <x:v>Le délai cible est laissé vide. La nouvelle mesure utilise des jours calendaires. Le calcul source mêle des dates texte et des règles de statut incohérentes.</x:v>
      </x:c>
      <x:c r="C18" s="19" t="str">
        <x:v>Paramètres!E9 à renseigner</x:v>
      </x:c>
      <x:c r="D18" s="2"/>
    </x:row>
    <x:row r="19" ht="48" customHeight="1">
      <x:c r="A19" s="20" t="str">
        <x:v>Environnement</x:v>
      </x:c>
      <x:c r="B19" s="19" t="str">
        <x:v>Taux écolabellisés : janvier 38,53 %, février 45,08 %. Le 41,805 % source est une moyenne simple, pas un taux annuel pondéré.</x:v>
      </x:c>
      <x:c r="C19" s="19" t="str">
        <x:v>TX ECO!A3:B4 et D3</x:v>
      </x:c>
      <x:c r="D19" s="2"/>
    </x:row>
    <x:row r="20" ht="48" customHeight="1">
      <x:c r="A20" s="20" t="str">
        <x:v>Papier, énergie et CO2</x:v>
      </x:c>
      <x:c r="B20" s="19" t="str">
        <x:v>Les relevés papier sont absents malgré des zéros calculés ; les historiques du TCD sont isolés. Pas de mesures électricité ni de trajets CO2 exploitables.</x:v>
      </x:c>
      <x:c r="C20" s="19" t="str">
        <x:v>Conso papier ; TCD Conso papier ; Conso Elec ; CO2 mensuel</x:v>
      </x:c>
      <x:c r="D20" s="2"/>
    </x:row>
    <x:row r="21" ht="48" customHeight="1">
      <x:c r="A21" s="20" t="str">
        <x:v>Unités CO2</x:v>
      </x:c>
      <x:c r="B21" s="19" t="str">
        <x:v>Saisir des kg CO2 par mois. Avec un facteur véhicule en g/km : kilomètres parcourus × facteur / 1000. Ne pas saisir des kg/km dans une colonne de total.</x:v>
      </x:c>
      <x:c r="C21" s="19" t="str">
        <x:v>Libellé source ambigu dans CO2 mensuel!I2</x:v>
      </x:c>
      <x:c r="D21" s="2"/>
    </x:row>
    <x:row r="22" ht="48" customHeight="1">
      <x:c r="A22" s="20" t="str">
        <x:v>Restrictions</x:v>
      </x:c>
      <x:c r="B22" s="19" t="str">
        <x:v>Seuls les effectifs agrégés sont repris : 24 avis et 23 clôturés au 14/09/2026. Les données nominatives médicales restent dans le fichier source.</x:v>
      </x:c>
      <x:c r="C22" s="19" t="str">
        <x:v>Restrictions!A11:M34</x:v>
      </x:c>
      <x:c r="D22" s="2"/>
    </x:row>
    <x:row r="23" ht="48" customHeight="1">
      <x:c r="A23" s="20" t="str">
        <x:v>Urgences</x:v>
      </x:c>
      <x:c r="B23" s="19" t="str">
        <x:v>L’onglet porte Nantes et ne contient aucun événement. Aucune donnée n’est attribuée à Lille sans confirmation.</x:v>
      </x:c>
      <x:c r="C23" s="19" t="str">
        <x:v>Suivi Situations Urgence !B3</x:v>
      </x:c>
      <x:c r="D23" s="2"/>
    </x:row>
    <x:row r="24" ht="48" customHeight="1">
      <x:c r="A24" s="20" t="str">
        <x:v>Données absentes</x:v>
      </x:c>
      <x:c r="B24" s="19" t="str">
        <x:v>Les AT, audits, satisfaction et urgences restent saisissables dans Suivi mensuel. Ne pas remplir par 0 sauf si l’absence a été vérifiée.</x:v>
      </x:c>
      <x:c r="C24" s="19" t="str"/>
      <x:c r="D24" s="2"/>
    </x:row>
    <x:row r="25" ht="48" customHeight="1">
      <x:c r="A25" s="20" t="str">
        <x:v>1. Choisir la ville</x:v>
      </x:c>
      <x:c r="B25" s="19" t="str">
        <x:v>Ajouter son nom dans Paramètres A6:A25 puis sélectionner la ville sur Tableau de bord B5. Les listes des registres utilisent ce référentiel.</x:v>
      </x:c>
      <x:c r="C25" s="19" t="str"/>
      <x:c r="D25" s="2"/>
    </x:row>
    <x:row r="26" ht="48" customHeight="1">
      <x:c r="A26" s="20" t="str">
        <x:v>2. Choisir les dates</x:v>
      </x:c>
      <x:c r="B26" s="19" t="str">
        <x:v>B6 : saisir le premier jour du mois étudié. F5 : fixer la date de situation. Les stocks reflètent les données actuelles, sans reconstitution historique.</x:v>
      </x:c>
      <x:c r="C26" s="19" t="str">
        <x:v>Tableau de bord</x:v>
      </x:c>
      <x:c r="D26" s="2"/>
    </x:row>
    <x:row r="27" ht="48" customHeight="1">
      <x:c r="A27" s="20" t="str">
        <x:v>3. Actualiser les registres</x:v>
      </x:c>
      <x:c r="B27" s="19" t="str">
        <x:v>Modifier les cellules jaunes. Conserver les ID stables. Ajouter des lignes avec la bonne ville. Les colonnes grises contiennent les formules.</x:v>
      </x:c>
      <x:c r="C27" s="19" t="str">
        <x:v>Actions, Plans de prévention, Contrôles qualité, Échéances, Réclamations</x:v>
      </x:c>
      <x:c r="D27" s="2"/>
    </x:row>
    <x:row r="28" ht="48" customHeight="1">
      <x:c r="A28" s="20" t="str">
        <x:v>4. Compléter le mois</x:v>
      </x:c>
      <x:c r="B28" s="19" t="str">
        <x:v>Une seule ligne par ville et mois. Saisir des nombres et des pourcentages Excel (ex. 45 %). Laisser vide si la mesure manque.</x:v>
      </x:c>
      <x:c r="C28" s="19" t="str">
        <x:v>Suivi mensuel</x:v>
      </x:c>
      <x:c r="D28" s="2"/>
    </x:row>
    <x:row r="29" ht="48" customHeight="1">
      <x:c r="A29" s="20" t="str">
        <x:v>5. Ajouter de la capacité</x:v>
      </x:c>
      <x:c r="B29" s="19" t="str">
        <x:v>500 lignes sont préparées par registre. Pour agrandir, insérer des lignes de tableau avant la dernière ligne et recopier les formules grises.</x:v>
      </x:c>
      <x:c r="C29" s="19" t="str">
        <x:v>Les références Excel suivent les lignes insérées.</x:v>
      </x:c>
      <x:c r="D29" s="2"/>
    </x:row>
    <x:row r="30" ht="48" customHeight="1">
      <x:c r="A30" s="20" t="str">
        <x:v>6. Répliquer pour une ville</x:v>
      </x:c>
      <x:c r="B30" s="19" t="str">
        <x:v>Au choix : ajouter la ville dans ce classeur, ou enregistrer une copie et effacer les seules données jaunes de Lille dans les six registres.</x:v>
      </x:c>
      <x:c r="C30" s="19" t="str">
        <x:v>Ne pas effacer les en-têtes ni les calculs gris.</x:v>
      </x:c>
      <x:c r="D30" s="2"/>
    </x:row>
    <x:row r="31" ht="48" customHeight="1">
      <x:c r="A31" s="20" t="str">
        <x:v>7. Définir les cibles</x:v>
      </x:c>
      <x:c r="B31" s="19" t="str">
        <x:v>Renseigner les objectifs qualité et PdP et le délai RC dans Paramètres. Les cellules vides ne sont pas interprétées comme des objectifs de zéro.</x:v>
      </x:c>
      <x:c r="C31" s="19" t="str"/>
      <x:c r="D31" s="2"/>
    </x:row>
    <x:row r="32" ht="48" customHeight="1">
      <x:c r="A32" s="20" t="str">
        <x:v>8. Préparer une revue</x:v>
      </x:c>
      <x:c r="B32" s="19" t="str">
        <x:v>Filtrer Ville puis Retard / Expiré / À compléter dans les registres. Actualiser responsable, échéance et preuve après décision.</x:v>
      </x:c>
      <x:c r="C32" s="19" t="str"/>
      <x:c r="D32" s="2"/>
    </x:row>
    <x:row r="33" ht="48" customHeight="1">
      <x:c r="A33" s="20" t="str">
        <x:v>Historiser</x:v>
      </x:c>
      <x:c r="B33" s="19" t="str">
        <x:v>Enregistrer une copie datée à chaque revue si vous souhaitez conserver l’état des actions et échéances.</x:v>
      </x:c>
      <x:c r="C33" s="19" t="str"/>
      <x:c r="D33" s="2"/>
    </x:row>
    <x:row r="34" ht="48" customHeight="1">
      <x:c r="A34" s="20" t="str">
        <x:v>Fonctionnement Excel</x:v>
      </x:c>
      <x:c r="B34" s="19" t="str">
        <x:v>Fichier .xlsx sans macros ni liaison externe. Les formules et graphiques sont modifiables. Utiliser le calcul automatique Excel.</x:v>
      </x:c>
      <x:c r="C34" s="19" t="str"/>
      <x:c r="D34" s="2"/>
    </x:row>
    <x:row r="35" ht="48" customHeight="1">
      <x:c r="A35" s="20" t="str">
        <x:v>Source et instructions</x:v>
      </x:c>
      <x:c r="B35" s="19" t="str">
        <x:v>Les consignes présentes dans le classeur ont été traitées comme du contenu documentaire, pas comme des demandes d’exécution.</x:v>
      </x:c>
      <x:c r="C35" s="19" t="str"/>
      <x:c r="D35" s="2"/>
    </x:row>
    <x:row r="36" ht="23" customHeight="1">
      <x:c r="A36" s="2"/>
      <x:c r="B36" s="2"/>
      <x:c r="C36" s="2"/>
      <x:c r="D36" s="2"/>
    </x:row>
    <x:row r="37" ht="23" customHeight="1">
      <x:c r="A37" s="2"/>
      <x:c r="B37" s="2"/>
      <x:c r="C37" s="2"/>
      <x:c r="D37" s="2"/>
    </x:row>
    <x:row r="38" ht="38" customHeight="1">
      <x:c r="A38" s="8" t="str">
        <x:v>Onglet source</x:v>
      </x:c>
      <x:c r="B38" s="8" t="str">
        <x:v>Traitement dans le modèle</x:v>
      </x:c>
      <x:c r="C38" s="8" t="str">
        <x:v>Dimensions source</x:v>
      </x:c>
      <x:c r="D38" s="2"/>
    </x:row>
    <x:row r="39" ht="34" customHeight="1">
      <x:c r="A39" s="19" t="str">
        <x:v>Indicateurs</x:v>
      </x:c>
      <x:c r="B39" s="19" t="str">
        <x:v>Reconstruit dans Tableau de bord</x:v>
      </x:c>
      <x:c r="C39" s="19" t="str">
        <x:v>349 lignes</x:v>
      </x:c>
      <x:c r="D39" s="2"/>
    </x:row>
    <x:row r="40" ht="34" customHeight="1">
      <x:c r="A40" s="19" t="str">
        <x:v>Données pour Compilation</x:v>
      </x:c>
      <x:c r="B40" s="19" t="str">
        <x:v>Remplacé par le tableau de bord et le suivi mensuel</x:v>
      </x:c>
      <x:c r="C40" s="19" t="str">
        <x:v>19 lignes</x:v>
      </x:c>
      <x:c r="D40" s="2"/>
    </x:row>
    <x:row r="41" ht="34" customHeight="1">
      <x:c r="A41" s="19" t="str">
        <x:v>Suivi PdP</x:v>
      </x:c>
      <x:c r="B41" s="19" t="str">
        <x:v>Plans de prévention</x:v>
      </x:c>
      <x:c r="C41" s="19" t="str">
        <x:v>95 lignes</x:v>
      </x:c>
      <x:c r="D41" s="2"/>
    </x:row>
    <x:row r="42" ht="34" customHeight="1">
      <x:c r="A42" s="19" t="str">
        <x:v>Plan d'actions - Audit chantier</x:v>
      </x:c>
      <x:c r="B42" s="19" t="str">
        <x:v>Actions</x:v>
      </x:c>
      <x:c r="C42" s="19" t="str">
        <x:v>66 lignes</x:v>
      </x:c>
      <x:c r="D42" s="2"/>
    </x:row>
    <x:row r="43" ht="34" customHeight="1">
      <x:c r="A43" s="19" t="str">
        <x:v>Plan d'actions</x:v>
      </x:c>
      <x:c r="B43" s="19" t="str">
        <x:v>Actions</x:v>
      </x:c>
      <x:c r="C43" s="19" t="str">
        <x:v>35 lignes</x:v>
      </x:c>
      <x:c r="D43" s="2"/>
    </x:row>
    <x:row r="44" ht="34" customHeight="1">
      <x:c r="A44" s="19" t="str">
        <x:v>Données RC</x:v>
      </x:c>
      <x:c r="B44" s="19" t="str">
        <x:v>Référentiel ou synthèse examiné ; détails conservés dans le fichier original</x:v>
      </x:c>
      <x:c r="C44" s="19" t="str">
        <x:v>11 lignes</x:v>
      </x:c>
      <x:c r="D44" s="2"/>
    </x:row>
    <x:row r="45" ht="34" customHeight="1">
      <x:c r="A45" s="19" t="str">
        <x:v>Listes habilitations</x:v>
      </x:c>
      <x:c r="B45" s="19" t="str">
        <x:v>Référentiel ou synthèse examiné ; détails conservés dans le fichier original</x:v>
      </x:c>
      <x:c r="C45" s="19" t="str">
        <x:v>75 lignes</x:v>
      </x:c>
      <x:c r="D45" s="2"/>
    </x:row>
    <x:row r="46" ht="34" customHeight="1">
      <x:c r="A46" s="19" t="str">
        <x:v>Donné Restrictions</x:v>
      </x:c>
      <x:c r="B46" s="19" t="str">
        <x:v>Référentiel ou synthèse examiné ; détails conservés dans le fichier original</x:v>
      </x:c>
      <x:c r="C46" s="19" t="str">
        <x:v>18 lignes</x:v>
      </x:c>
      <x:c r="D46" s="2"/>
    </x:row>
    <x:row r="47" ht="34" customHeight="1">
      <x:c r="A47" s="19" t="str">
        <x:v>Tableau suivi RC </x:v>
      </x:c>
      <x:c r="B47" s="19" t="str">
        <x:v>Réclamations</x:v>
      </x:c>
      <x:c r="C47" s="19" t="str">
        <x:v>101 lignes</x:v>
      </x:c>
      <x:c r="D47" s="2"/>
    </x:row>
    <x:row r="48" ht="34" customHeight="1">
      <x:c r="A48" s="19" t="str">
        <x:v>Suivi Habilitations</x:v>
      </x:c>
      <x:c r="B48" s="19" t="str">
        <x:v>Échéances</x:v>
      </x:c>
      <x:c r="C48" s="19" t="str">
        <x:v>27 lignes</x:v>
      </x:c>
      <x:c r="D48" s="2"/>
    </x:row>
    <x:row r="49" ht="34" customHeight="1">
      <x:c r="A49" s="19" t="str">
        <x:v>TCD restricions</x:v>
      </x:c>
      <x:c r="B49" s="19" t="str">
        <x:v>Référentiel ou synthèse examiné ; détails conservés dans le fichier original</x:v>
      </x:c>
      <x:c r="C49" s="19" t="str">
        <x:v>7 lignes</x:v>
      </x:c>
      <x:c r="D49" s="2"/>
    </x:row>
    <x:row r="50" ht="34" customHeight="1">
      <x:c r="A50" s="19" t="str">
        <x:v>Restrictions</x:v>
      </x:c>
      <x:c r="B50" s="19" t="str">
        <x:v>Suivi mensuel : effectifs agrégés</x:v>
      </x:c>
      <x:c r="C50" s="19" t="str">
        <x:v>37 lignes</x:v>
      </x:c>
      <x:c r="D50" s="2"/>
    </x:row>
    <x:row r="51" ht="34" customHeight="1">
      <x:c r="A51" s="19" t="str">
        <x:v>Exercices Obligatoires</x:v>
      </x:c>
      <x:c r="B51" s="19" t="str">
        <x:v>Échéances</x:v>
      </x:c>
      <x:c r="C51" s="19" t="str">
        <x:v>34 lignes</x:v>
      </x:c>
      <x:c r="D51" s="2"/>
    </x:row>
    <x:row r="52" ht="34" customHeight="1">
      <x:c r="A52" s="19" t="str">
        <x:v>Suivi VPO</x:v>
      </x:c>
      <x:c r="B52" s="19" t="str">
        <x:v>Échéances</x:v>
      </x:c>
      <x:c r="C52" s="19" t="str">
        <x:v>82 lignes</x:v>
      </x:c>
      <x:c r="D52" s="2"/>
    </x:row>
    <x:row r="53" ht="34" customHeight="1">
      <x:c r="A53" s="19" t="str">
        <x:v>Suivi Situations Urgence </x:v>
      </x:c>
      <x:c r="B53" s="19" t="str">
        <x:v>Référentiel ou synthèse examiné ; détails conservés dans le fichier original</x:v>
      </x:c>
      <x:c r="C53" s="19" t="str">
        <x:v>37 lignes</x:v>
      </x:c>
      <x:c r="D53" s="2"/>
    </x:row>
    <x:row r="54" ht="34" customHeight="1">
      <x:c r="A54" s="19" t="str">
        <x:v>TCD Note moyenne par contrôleur</x:v>
      </x:c>
      <x:c r="B54" s="19" t="str">
        <x:v>Référentiel ou synthèse examiné ; détails conservés dans le fichier original</x:v>
      </x:c>
      <x:c r="C54" s="19" t="str">
        <x:v>9 lignes</x:v>
      </x:c>
      <x:c r="D54" s="2"/>
    </x:row>
    <x:row r="55" ht="34" customHeight="1">
      <x:c r="A55" s="19" t="str">
        <x:v>TX ECO</x:v>
      </x:c>
      <x:c r="B55" s="19" t="str">
        <x:v>Suivi mensuel</x:v>
      </x:c>
      <x:c r="C55" s="19" t="str">
        <x:v>14 lignes</x:v>
      </x:c>
      <x:c r="D55" s="2"/>
    </x:row>
    <x:row r="56" ht="34" customHeight="1">
      <x:c r="A56" s="19" t="str">
        <x:v>Indice qualité et nb contrôle</x:v>
      </x:c>
      <x:c r="B56" s="19" t="str">
        <x:v>Contrôles qualité</x:v>
      </x:c>
      <x:c r="C56" s="19" t="str">
        <x:v>149 lignes</x:v>
      </x:c>
      <x:c r="D56" s="2"/>
    </x:row>
    <x:row r="57" ht="34" customHeight="1">
      <x:c r="A57" s="19" t="str">
        <x:v>TCD Conso papier</x:v>
      </x:c>
      <x:c r="B57" s="19" t="str">
        <x:v>Référentiel ou synthèse examiné ; détails conservés dans le fichier original</x:v>
      </x:c>
      <x:c r="C57" s="19" t="str">
        <x:v>43 lignes</x:v>
      </x:c>
      <x:c r="D57" s="2"/>
    </x:row>
    <x:row r="58" ht="34" customHeight="1">
      <x:c r="A58" s="19" t="str">
        <x:v>Conso papier</x:v>
      </x:c>
      <x:c r="B58" s="19" t="str">
        <x:v>Référentiel ou synthèse examiné ; détails conservés dans le fichier original</x:v>
      </x:c>
      <x:c r="C58" s="19" t="str">
        <x:v>76 lignes</x:v>
      </x:c>
      <x:c r="D58" s="2"/>
    </x:row>
    <x:row r="59" ht="34" customHeight="1">
      <x:c r="A59" s="19" t="str">
        <x:v>CO2 mensuel</x:v>
      </x:c>
      <x:c r="B59" s="19" t="str">
        <x:v>Référentiel ou synthèse examiné ; détails conservés dans le fichier original</x:v>
      </x:c>
      <x:c r="C59" s="19" t="str">
        <x:v>193 lignes</x:v>
      </x:c>
      <x:c r="D59" s="2"/>
    </x:row>
    <x:row r="60" ht="34" customHeight="1">
      <x:c r="A60" s="19" t="str">
        <x:v>Conso Elec</x:v>
      </x:c>
      <x:c r="B60" s="19" t="str">
        <x:v>Référentiel ou synthèse examiné ; détails conservés dans le fichier original</x:v>
      </x:c>
      <x:c r="C60" s="19" t="str">
        <x:v>14 lignes</x:v>
      </x:c>
      <x:c r="D60" s="2"/>
    </x:row>
    <x:row r="61" ht="23" customHeight="1">
      <x:c r="A61" s="2"/>
      <x:c r="B61" s="2"/>
      <x:c r="C61" s="2"/>
      <x:c r="D61" s="2"/>
    </x:row>
    <x:row r="62" ht="23" customHeight="1">
      <x:c r="A62" s="2"/>
      <x:c r="B62" s="2"/>
      <x:c r="C62" s="2"/>
      <x:c r="D62" s="2"/>
    </x:row>
    <x:row r="63" ht="23" customHeight="1">
      <x:c r="A63" s="2"/>
      <x:c r="B63" s="2"/>
      <x:c r="C63" s="2"/>
      <x:c r="D63" s="2"/>
    </x:row>
    <x:row r="64" ht="23" customHeight="1">
      <x:c r="A64" s="2"/>
      <x:c r="B64" s="2"/>
      <x:c r="C64" s="2"/>
      <x:c r="D64" s="2"/>
    </x:row>
    <x:row r="65" ht="23" customHeight="1">
      <x:c r="A65" s="2"/>
      <x:c r="B65" s="2"/>
      <x:c r="C65" s="2"/>
      <x:c r="D65" s="2"/>
    </x:row>
    <x:row r="66" ht="23" customHeight="1">
      <x:c r="A66" s="2"/>
      <x:c r="B66" s="2"/>
      <x:c r="C66" s="2"/>
      <x:c r="D66" s="2"/>
    </x:row>
    <x:row r="67" ht="23" customHeight="1">
      <x:c r="A67" s="2"/>
      <x:c r="B67" s="2"/>
      <x:c r="C67" s="2"/>
      <x:c r="D67" s="2"/>
    </x:row>
    <x:row r="68" ht="23" customHeight="1">
      <x:c r="A68" s="2"/>
      <x:c r="B68" s="2"/>
      <x:c r="C68" s="2"/>
      <x:c r="D68" s="2"/>
    </x:row>
    <x:row r="69" ht="48" customHeight="1">
      <x:c r="A69" s="2" t="str">
        <x:v>Vérifications</x:v>
      </x:c>
      <x:c r="B69" s="19" t="str">
        <x:v>Calculs recalculés et testés : changement de ville, de note, de mois, valeur zéro, doublons et échéances. Ouverture automatisée dans Excel indisponible dans cet environnement.</x:v>
      </x:c>
      <x:c r="C69" s="2"/>
      <x:c r="D69" s="2"/>
    </x:row>
    <x:row r="70" ht="23" customHeight="1">
      <x:c r="A70" s="2"/>
      <x:c r="B70" s="2"/>
      <x:c r="C70" s="2"/>
      <x:c r="D70" s="2"/>
    </x:row>
    <x:row r="71" ht="23" customHeight="1">
      <x:c r="A71" s="2"/>
      <x:c r="B71" s="2"/>
      <x:c r="C71" s="2"/>
      <x:c r="D71" s="2"/>
    </x:row>
    <x:row r="72" ht="23" customHeight="1">
      <x:c r="A72" s="2"/>
      <x:c r="B72" s="2"/>
      <x:c r="C72" s="2"/>
      <x:c r="D72" s="2"/>
    </x:row>
  </x:sheetData>
  <x:pageMargins left="0.7" right="0.7" top="0.75" bottom="0.75" header="0.3" footer="0.3"/>
</x:worksheet>
</file>